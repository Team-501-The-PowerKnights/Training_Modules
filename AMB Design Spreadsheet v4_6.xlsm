
<file path=[Content_Types].xml><?xml version="1.0" encoding="utf-8"?>
<Types xmlns="http://schemas.openxmlformats.org/package/2006/content-types">
  <Override PartName="/xl/_rels/workbook.xml.rels" ContentType="application/vnd.openxmlformats-package.relationships+xml"/>
  <Override PartName="/xl/media/image2.jpeg" ContentType="image/jpeg"/>
  <Override PartName="/xl/media/image1.png" ContentType="image/png"/>
  <Override PartName="/xl/charts/chart3.xml" ContentType="application/vnd.openxmlformats-officedocument.drawingml.chart+xml"/>
  <Override PartName="/xl/charts/chart1.xml" ContentType="application/vnd.openxmlformats-officedocument.drawingml.chart+xml"/>
  <Override PartName="/xl/charts/chart2.xml" ContentType="application/vnd.openxmlformats-officedocument.drawingml.chart+xml"/>
  <Override PartName="/xl/vbaProject.bin" ContentType="application/vnd.ms-office.vbaProject"/>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_rels/sheet13.xml.rels" ContentType="application/vnd.openxmlformats-package.relationships+xml"/>
  <Override PartName="/xl/worksheets/_rels/sheet11.xml.rels" ContentType="application/vnd.openxmlformats-package.relationships+xml"/>
  <Override PartName="/xl/worksheets/_rels/sheet10.xml.rels" ContentType="application/vnd.openxmlformats-package.relationships+xml"/>
  <Override PartName="/xl/worksheets/_rels/sheet8.xml.rels" ContentType="application/vnd.openxmlformats-package.relationships+xml"/>
  <Override PartName="/xl/worksheets/_rels/sheet2.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worksheets/sheet13.xml" ContentType="application/vnd.openxmlformats-officedocument.spreadsheetml.worksheet+xml"/>
  <Override PartName="/xl/worksheets/sheet3.xml" ContentType="application/vnd.openxmlformats-officedocument.spreadsheetml.worksheet+xml"/>
  <Override PartName="/xl/worksheets/sheet14.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10.xml.rels" ContentType="application/vnd.openxmlformats-package.relationships+xml"/>
  <Override PartName="/xl/drawings/_rels/drawing9.xml.rels" ContentType="application/vnd.openxmlformats-package.relationships+xml"/>
  <Override PartName="/xl/drawings/_rels/drawing5.xml.rels" ContentType="application/vnd.openxmlformats-package.relationships+xml"/>
  <Override PartName="/xl/drawings/_rels/drawing7.xml.rels" ContentType="application/vnd.openxmlformats-package.relationships+xml"/>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HOME" sheetId="1" state="visible" r:id="rId3"/>
    <sheet name="±ÉÇÌÅÒÍ×Ñ¶ÅØÍÓ" sheetId="2" state="hidden" r:id="rId4"/>
    <sheet name="°ÉÅÈ·ÇÖÉÛ" sheetId="3" state="hidden" r:id="rId5"/>
    <sheet name="¨ÖÍÚÉØÖÅÍÒ" sheetId="4" state="hidden" r:id="rId6"/>
    <sheet name="¦ÉÅÑ¦ÉÒÈ" sheetId="5" state="hidden" r:id="rId7"/>
    <sheet name="´ÖÓÎÉÇØÍÐÉ" sheetId="6" state="hidden" r:id="rId8"/>
    <sheet name="§ÌÅÍÒ¦ÉÐØ" sheetId="7" state="hidden" r:id="rId9"/>
    <sheet name="«ÉÅÖ§ÐÉÅÖ" sheetId="8" state="hidden" r:id="rId10"/>
    <sheet name="¶ÅØÍÓ¨Í×Ø" sheetId="9" state="hidden" r:id="rId11"/>
    <sheet name="´ÒÉÙÑÅØÍÇ×" sheetId="10" state="hidden" r:id="rId12"/>
    <sheet name="´ÒÉÙ°ÍÒÏÅËÉ" sheetId="11" state="hidden" r:id="rId13"/>
    <sheet name="º´¨ÅØÅ" sheetId="12" state="hidden" r:id="rId14"/>
    <sheet name="ºÉÖ×Å´ÐÅÒÉØÅÖÝ" sheetId="13" state="hidden" r:id="rId15"/>
    <sheet name="Specs" sheetId="14" state="visible" r:id="rId16"/>
  </sheets>
  <definedNames>
    <definedName function="false" hidden="false" name="ChainBelts" vbProcedure="false">Specs!$J$5:$J$11</definedName>
    <definedName function="false" hidden="false" name="ChainBeltSpecs" vbProcedure="false">Specs!$J$5:$N$11</definedName>
    <definedName function="false" hidden="false" name="Eval_Links_Teeth" vbProcedure="false">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function="false" hidden="false" name="Materials" vbProcedure="false">Specs!$Q$5:$Q$11</definedName>
    <definedName function="false" hidden="false" name="MaterialSpecs" vbProcedure="false">Specs!$Q$5:$S$11</definedName>
    <definedName function="false" hidden="false" name="Motors" vbProcedure="false">Specs!$B$5:$B$28</definedName>
    <definedName function="false" hidden="false" name="MotorSpecs" vbProcedure="false">Specs!$B$5:$G$28</definedName>
    <definedName function="false" hidden="false" name="VP_180" vbProcedure="false">º</definedName>
    <definedName function="false" hidden="false" name="VP_90" vbProcedure="false">º</definedName>
    <definedName function="false" hidden="false" name="VP_Base" vbProcedure="false">º</definedName>
    <definedName function="false" hidden="false" name="VP_DualMotor" vbProcedure="false">º</definedName>
    <definedName function="false" hidden="false" name="VP_Encoder" vbProcedure="false">º</definedName>
    <definedName function="false" hidden="false" name="VP_Load" vbProcedure="false">º</definedName>
    <definedName function="false" hidden="false" name="VP_Motor" vbProcedure="false">º</definedName>
    <definedName function="false" hidden="false" name="VP_Ratchet" vbProcedure="false">º</definedName>
    <definedName function="false" hidden="false" name="VP_Stage" vbProcedure="false">º</definedName>
    <definedName function="true" hidden="false" name="Module1.Add_MechanismRatio" vbProcedure="true"/>
    <definedName function="true" hidden="false" name="Module1.Add_LeadScrew" vbProcedure="true"/>
    <definedName function="true" hidden="false" name="Module1.Add_Drivetrain" vbProcedure="true"/>
    <definedName function="true" hidden="false" name="Module1.Add_BeamBend" vbProcedure="true"/>
    <definedName function="true" hidden="false" name="Module1.Add_Projectile" vbProcedure="true"/>
    <definedName function="true" hidden="false" name="Module1.Add_ChainBelt" vbProcedure="true"/>
    <definedName function="true" hidden="false" name="Module1.Add_GearClear" vbProcedure="true"/>
    <definedName function="true" hidden="false" name="Module1.Add_RatioDist" vbProcedure="true"/>
    <definedName function="true" hidden="false" name="Module1.Add_Pneumatics" vbProcedure="true"/>
    <definedName function="true" hidden="false" name="Module1.Add_PneuLinkage" vbProcedure="true"/>
    <definedName function="true" hidden="false" name="Module1.Add_All" vbProcedure="true"/>
    <definedName function="true" hidden="false" name="Module1.Add_VersaPlanetary" vbProcedure="true"/>
    <definedName function="true" hidden="false" name="Module1.MechanismRatio_Metric" vbProcedure="true"/>
    <definedName function="true" hidden="false" name="Module1.LeadScrew_Metric" vbProcedure="true"/>
    <definedName function="true" hidden="false" name="Module1.Drivetrain_Metric" vbProcedure="true"/>
    <definedName function="true" hidden="false" name="Module1.Drivetrain_Shifting" vbProcedure="true"/>
    <definedName function="true" hidden="false" name="Module1.Drivetrain_2Wheels" vbProcedure="true"/>
    <definedName function="true" hidden="false" name="Module1.Projectile_Metric" vbProcedure="true"/>
    <definedName function="true" hidden="false" name="Module1.ChainBelt_Metric" vbProcedure="true"/>
    <definedName function="true" hidden="false" name="Module1.GearClear_Metric" vbProcedure="true"/>
    <definedName function="true" hidden="false" name="Module1.RatioDist_Metric" vbProcedure="true"/>
    <definedName function="true" hidden="false" name="Module1.Pneumatics_Metric" vbProcedure="tru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<sst xmlns="http://schemas.openxmlformats.org/spreadsheetml/2006/main" count="3001" uniqueCount="361">
  <si>
    <t xml:space="preserve">AMB Design Spreadsheet</t>
  </si>
  <si>
    <t xml:space="preserve">Version 4.6</t>
  </si>
  <si>
    <t xml:space="preserve">Made by Ari Meles-Braverman: Mentor, FRC 5987</t>
  </si>
  <si>
    <t xml:space="preserve">Click "ADD" to insert an instance of that calculator to the spreadsheet</t>
  </si>
  <si>
    <t xml:space="preserve">Key</t>
  </si>
  <si>
    <t xml:space="preserve">X</t>
  </si>
  <si>
    <t xml:space="preserve"> = Input Value</t>
  </si>
  <si>
    <t xml:space="preserve"> = Calculated Value</t>
  </si>
  <si>
    <t xml:space="preserve"> = Warning</t>
  </si>
  <si>
    <t xml:space="preserve"> = Invalid Input</t>
  </si>
  <si>
    <t xml:space="preserve">Mechanism Gear Ratio Calculator:</t>
  </si>
  <si>
    <t xml:space="preserve">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</si>
  <si>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 xml:space="preserve">Lead Screw Calculator:</t>
  </si>
  <si>
    <t xml:space="preserve">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</si>
  <si>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 xml:space="preserve">Drivetrain Calculator:</t>
  </si>
  <si>
    <t xml:space="preserve">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</si>
  <si>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 xml:space="preserve">Beam Bend Calculator:</t>
  </si>
  <si>
    <t xml:space="preserve">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</si>
  <si>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 xml:space="preserve">Projectile Trajectory Calculator</t>
  </si>
  <si>
    <t xml:space="preserve">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</si>
  <si>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 xml:space="preserve">Chain/Belt C-C Calculator:</t>
  </si>
  <si>
    <t xml:space="preserve">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</si>
  <si>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 xml:space="preserve">Gear Clearance Calculator:</t>
  </si>
  <si>
    <t xml:space="preserve">This sheet calculates whether or not two sets of parallel gears will hit each other, and if not, how much clearance they will have. It also calculates whether or not the first gear will clear the second shaft with no gear on it.</t>
  </si>
  <si>
    <t xml:space="preserve">Ratio &amp; Distance Calculator:</t>
  </si>
  <si>
    <t xml:space="preserve">This sheet calculates the gear pair that have a given reduction and C-C distance, and then calculates the pitch and clearance diameter for both gears. </t>
  </si>
  <si>
    <t xml:space="preserve">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</si>
  <si>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</si>
  <si>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 xml:space="preserve">Pneumatic Linkage Calculator:</t>
  </si>
  <si>
    <t xml:space="preserve">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</si>
  <si>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 xml:space="preserve">VersaPlanetary Configuration Calculator</t>
  </si>
  <si>
    <t xml:space="preserve">This sheet helps visualize the data from the VersaPlanetary Load Ratings Guide, as well as showing the part numbers needed to order for that configuration, the price of the configuration, and the output speed and torque.</t>
  </si>
  <si>
    <t xml:space="preserve">Sources:</t>
  </si>
  <si>
    <t xml:space="preserve">JVN's Mechanical Design Calculator</t>
  </si>
  <si>
    <t xml:space="preserve">Ether's Simple Motor Calculator</t>
  </si>
  <si>
    <t xml:space="preserve">Clem1640's Chain/Belt Calculator</t>
  </si>
  <si>
    <t xml:space="preserve">NickBrickMaster's Pneumatic System Simulator</t>
  </si>
  <si>
    <t xml:space="preserve">Shigley's Mechanical Engineering Design</t>
  </si>
  <si>
    <t xml:space="preserve">Andrew Schreiber's VersaPlanetary Configuration Tool</t>
  </si>
  <si>
    <t xml:space="preserve">Mechanism Gear Ratio Calculator</t>
  </si>
  <si>
    <t xml:space="preserve">Metric?</t>
  </si>
  <si>
    <t xml:space="preserve">775pro</t>
  </si>
  <si>
    <t xml:space="preserve">Adjusted</t>
  </si>
  <si>
    <t xml:space="preserve">By Ratio</t>
  </si>
  <si>
    <t xml:space="preserve">Max. Power</t>
  </si>
  <si>
    <t xml:space="preserve">Max. Eff.</t>
  </si>
  <si>
    <t xml:space="preserve">At Stall</t>
  </si>
  <si>
    <t xml:space="preserve">Rot. Speed</t>
  </si>
  <si>
    <t xml:space="preserve">Lin. Speed</t>
  </si>
  <si>
    <t xml:space="preserve">Current</t>
  </si>
  <si>
    <t xml:space="preserve">Stall Load</t>
  </si>
  <si>
    <t xml:space="preserve">Stall Voltage</t>
  </si>
  <si>
    <t xml:space="preserve">Free Speed (RPM)</t>
  </si>
  <si>
    <t xml:space="preserve">Gear Ratio</t>
  </si>
  <si>
    <t xml:space="preserve">Stall Torque (Nm)</t>
  </si>
  <si>
    <t xml:space="preserve">Free Rot. Speed (rps)</t>
  </si>
  <si>
    <t xml:space="preserve">Free Current (A)</t>
  </si>
  <si>
    <t xml:space="preserve">Loaded Rot. Speed (rps)</t>
  </si>
  <si>
    <t xml:space="preserve">Stall Current (A)</t>
  </si>
  <si>
    <t xml:space="preserve">Power (W)</t>
  </si>
  <si>
    <t xml:space="preserve">Current Per Motor (A)</t>
  </si>
  <si>
    <t xml:space="preserve"># of Motors</t>
  </si>
  <si>
    <t xml:space="preserve">Voltage Applied (V)</t>
  </si>
  <si>
    <t xml:space="preserve">Stall Voltage (V)</t>
  </si>
  <si>
    <t xml:space="preserve">Gearbox Efficiency</t>
  </si>
  <si>
    <t xml:space="preserve">Ratio Tester</t>
  </si>
  <si>
    <t xml:space="preserve">EXAMPLE USES</t>
  </si>
  <si>
    <r>
      <rPr>
        <b val="true"/>
        <u val="single"/>
        <sz val="11"/>
        <color rgb="FF000000"/>
        <rFont val="Arial"/>
        <family val="2"/>
        <charset val="1"/>
      </rPr>
      <t xml:space="preserve">Winch</t>
    </r>
    <r>
      <rPr>
        <b val="true"/>
        <sz val="11"/>
        <color rgb="FF000000"/>
        <rFont val="Arial"/>
        <family val="2"/>
        <charset val="1"/>
      </rPr>
      <t xml:space="preserve">:</t>
    </r>
    <r>
      <rPr>
        <sz val="11"/>
        <color rgb="FF000000"/>
        <rFont val="Arial"/>
        <family val="2"/>
        <charset val="1"/>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</si>
  <si>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rPr>
        <b val="true"/>
        <u val="single"/>
        <sz val="11"/>
        <color rgb="FF000000"/>
        <rFont val="Arial"/>
        <family val="2"/>
        <charset val="1"/>
      </rPr>
      <t xml:space="preserve">Elevator</t>
    </r>
    <r>
      <rPr>
        <b val="true"/>
        <sz val="11"/>
        <color rgb="FF000000"/>
        <rFont val="Arial"/>
        <family val="2"/>
        <charset val="1"/>
      </rPr>
      <t xml:space="preserve">:</t>
    </r>
    <r>
      <rPr>
        <sz val="11"/>
        <color rgb="FF000000"/>
        <rFont val="Arial"/>
        <family val="2"/>
        <charset val="1"/>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</si>
  <si>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rPr>
        <b val="true"/>
        <u val="single"/>
        <sz val="11"/>
        <color rgb="FF000000"/>
        <rFont val="Arial"/>
        <family val="2"/>
        <charset val="1"/>
      </rPr>
      <t xml:space="preserve">Arm</t>
    </r>
    <r>
      <rPr>
        <b val="true"/>
        <sz val="11"/>
        <color rgb="FF000000"/>
        <rFont val="Arial"/>
        <family val="2"/>
        <charset val="1"/>
      </rPr>
      <t xml:space="preserve">:</t>
    </r>
    <r>
      <rPr>
        <sz val="11"/>
        <color rgb="FF000000"/>
        <rFont val="Arial"/>
        <family val="2"/>
        <charset val="1"/>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</si>
  <si>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 xml:space="preserve">Lead Screw Calculator</t>
  </si>
  <si>
    <t xml:space="preserve">Efficiency</t>
  </si>
  <si>
    <t xml:space="preserve"># of Starts</t>
  </si>
  <si>
    <t xml:space="preserve">Thread Angle (°)</t>
  </si>
  <si>
    <t xml:space="preserve">Screw Material</t>
  </si>
  <si>
    <t xml:space="preserve">Steel</t>
  </si>
  <si>
    <t xml:space="preserve">Nut Material</t>
  </si>
  <si>
    <t xml:space="preserve">Bronze</t>
  </si>
  <si>
    <t xml:space="preserve">Lubricated?</t>
  </si>
  <si>
    <t xml:space="preserve">Yes</t>
  </si>
  <si>
    <t xml:space="preserve">Rotational Speed (rpm)</t>
  </si>
  <si>
    <t xml:space="preserve">Backdrive-able?</t>
  </si>
  <si>
    <t xml:space="preserve">To use a leadscrew in the Mechanism Gear Ratio Calculator, use the Equivalent Radius for the Radius. For the Load, use the Equivalent Raise/Lower Load, depending on whether you are moving in the same or opposite direction as the applied force.</t>
  </si>
  <si>
    <t xml:space="preserve">The Mechanism gearbox efficiency should not include the leadscrew efficiency.</t>
  </si>
  <si>
    <t xml:space="preserve">Raise Torque is the torque needed to move the leadscrew the direction opposing the force (e.g. raising a weight). Lower Torque is the torque needed to move the leadscrew in the same direction as the load (e.g. lowering a weight).</t>
  </si>
  <si>
    <t xml:space="preserve">If Lower Torque is negative, the leadscrew is backdrive-able (i.e. not self-locking). If positive, it is not backdrive-able.</t>
  </si>
  <si>
    <t xml:space="preserve">Drivetrain Calculator</t>
  </si>
  <si>
    <t xml:space="preserve">Forward</t>
  </si>
  <si>
    <t xml:space="preserve">Reverse</t>
  </si>
  <si>
    <t xml:space="preserve">CIM</t>
  </si>
  <si>
    <t xml:space="preserve">Drive Gear</t>
  </si>
  <si>
    <t xml:space="preserve">Driven Gear</t>
  </si>
  <si>
    <t xml:space="preserve">dp</t>
  </si>
  <si>
    <t xml:space="preserve">Min Allowable Voltage (V)</t>
  </si>
  <si>
    <t xml:space="preserve">Battery Resting Voltage (V)</t>
  </si>
  <si>
    <t xml:space="preserve">Batt/Mains Resistance (mΩ)</t>
  </si>
  <si>
    <t xml:space="preserve">Per-Branch Resistance (mΩ)</t>
  </si>
  <si>
    <t xml:space="preserve">Max Total Current Draw (A)</t>
  </si>
  <si>
    <t xml:space="preserve">Final Ratio</t>
  </si>
  <si>
    <t xml:space="preserve">Wheel Slip Gear Ratio</t>
  </si>
  <si>
    <t xml:space="preserve"># of Drivetrain Motors</t>
  </si>
  <si>
    <t xml:space="preserve">Drivetrain Efficiency</t>
  </si>
  <si>
    <t xml:space="preserve">Wheel Slip Current (A)</t>
  </si>
  <si>
    <t xml:space="preserve">Speed Loss Coeff.</t>
  </si>
  <si>
    <t xml:space="preserve">% Driven Weight</t>
  </si>
  <si>
    <t xml:space="preserve">Wheel Friction Coeff.</t>
  </si>
  <si>
    <t xml:space="preserve">Shifting?</t>
  </si>
  <si>
    <t xml:space="preserve">Articulated Drive?</t>
  </si>
  <si>
    <t xml:space="preserve">2nd Wheel CoF</t>
  </si>
  <si>
    <t xml:space="preserve">Beam Bend Calculator</t>
  </si>
  <si>
    <t xml:space="preserve">┴  Force Btwn. Supports</t>
  </si>
  <si>
    <t xml:space="preserve">┴  Cantilevered Force</t>
  </si>
  <si>
    <t xml:space="preserve">║ Buckling Force</t>
  </si>
  <si>
    <t xml:space="preserve">Twisting Torque</t>
  </si>
  <si>
    <t xml:space="preserve">Material</t>
  </si>
  <si>
    <t xml:space="preserve">7075-T6 Al</t>
  </si>
  <si>
    <t xml:space="preserve">K (see chart in image)</t>
  </si>
  <si>
    <t xml:space="preserve">Beam/Axle Type</t>
  </si>
  <si>
    <t xml:space="preserve">Hex</t>
  </si>
  <si>
    <t xml:space="preserve">Twist Angle (°)</t>
  </si>
  <si>
    <t xml:space="preserve">Note: Hover mouse over subtitles to see images explaining beam setup</t>
  </si>
  <si>
    <t xml:space="preserve">I</t>
  </si>
  <si>
    <t xml:space="preserve">J</t>
  </si>
  <si>
    <t xml:space="preserve">E</t>
  </si>
  <si>
    <t xml:space="preserve">G</t>
  </si>
  <si>
    <t xml:space="preserve">     ^ Tolerance (%)</t>
  </si>
  <si>
    <t xml:space="preserve">Release Angle (°)</t>
  </si>
  <si>
    <t xml:space="preserve">Target Angle (°)</t>
  </si>
  <si>
    <t xml:space="preserve">     ^ Tolerance (°)</t>
  </si>
  <si>
    <t xml:space="preserve">Final Angle (°)</t>
  </si>
  <si>
    <t xml:space="preserve">     ^ Range (°)</t>
  </si>
  <si>
    <t xml:space="preserve">This calculator relies on standard projectile motion equation only. It does not account for air resistance, magnus effect, etc. Use these results as a starting place for prototyping, not as a replacement for it.</t>
  </si>
  <si>
    <t xml:space="preserve">For an "exact" solution set all Tolerance inputs to 0. For a range of solutions, add tolerances according to your use case.</t>
  </si>
  <si>
    <t xml:space="preserve">Note that the range output shows the max. and min. outputs across all solutions, but the max. of one output does not necessarily correspond to the same trajectory as the max. of the other, and same for min.</t>
  </si>
  <si>
    <t xml:space="preserve">Chain/Belt C-C Calculator</t>
  </si>
  <si>
    <t xml:space="preserve">Type</t>
  </si>
  <si>
    <t xml:space="preserve">#35 Chain</t>
  </si>
  <si>
    <t xml:space="preserve"># Links/Teeth</t>
  </si>
  <si>
    <t xml:space="preserve">D</t>
  </si>
  <si>
    <t xml:space="preserve">a</t>
  </si>
  <si>
    <t xml:space="preserve">L</t>
  </si>
  <si>
    <t xml:space="preserve"># links</t>
  </si>
  <si>
    <t xml:space="preserve">target</t>
  </si>
  <si>
    <t xml:space="preserve">y</t>
  </si>
  <si>
    <r>
      <rPr>
        <sz val="11"/>
        <color rgb="FF000000"/>
        <rFont val="Symbol"/>
        <family val="1"/>
        <charset val="2"/>
      </rPr>
      <t xml:space="preserve">D</t>
    </r>
    <r>
      <rPr>
        <sz val="11"/>
        <color rgb="FF000000"/>
        <rFont val="Calibri"/>
        <family val="2"/>
        <charset val="1"/>
      </rPr>
      <t xml:space="preserve">y/</t>
    </r>
    <r>
      <rPr>
        <sz val="11"/>
        <color rgb="FF000000"/>
        <rFont val="Symbol"/>
        <family val="1"/>
        <charset val="2"/>
      </rPr>
      <t xml:space="preserve">D</t>
    </r>
    <r>
      <rPr>
        <sz val="11"/>
        <color rgb="FF000000"/>
        <rFont val="Calibri"/>
        <family val="2"/>
        <charset val="1"/>
      </rPr>
      <t xml:space="preserve">x</t>
    </r>
  </si>
  <si>
    <t xml:space="preserve">Round Type</t>
  </si>
  <si>
    <t xml:space="preserve">Nearest</t>
  </si>
  <si>
    <t xml:space="preserve"># Teeth 1</t>
  </si>
  <si>
    <t xml:space="preserve">Modulus</t>
  </si>
  <si>
    <t xml:space="preserve"># Teeth 2</t>
  </si>
  <si>
    <t xml:space="preserve">Chain/Belt Dimensions</t>
  </si>
  <si>
    <t xml:space="preserve">Gear Clearance Calculator</t>
  </si>
  <si>
    <t xml:space="preserve">Axle Clearance</t>
  </si>
  <si>
    <t xml:space="preserve">Gear Clearance</t>
  </si>
  <si>
    <t xml:space="preserve">Gear 1 Teeth</t>
  </si>
  <si>
    <t xml:space="preserve">Axle Type</t>
  </si>
  <si>
    <t xml:space="preserve">1/2" Hex</t>
  </si>
  <si>
    <t xml:space="preserve">Gear 4 Teeth</t>
  </si>
  <si>
    <t xml:space="preserve">Gear 1 dp</t>
  </si>
  <si>
    <t xml:space="preserve">Gear 4 dp</t>
  </si>
  <si>
    <t xml:space="preserve">Gear 2 Teeth</t>
  </si>
  <si>
    <t xml:space="preserve">Gear 3 Teeth</t>
  </si>
  <si>
    <t xml:space="preserve">Clears?</t>
  </si>
  <si>
    <t xml:space="preserve">Gear 2/3 dp</t>
  </si>
  <si>
    <t xml:space="preserve">Ratio &amp; Distance Calculator</t>
  </si>
  <si>
    <t xml:space="preserve">Gear Pitch (dp)</t>
  </si>
  <si>
    <t xml:space="preserve">Desired Ratio</t>
  </si>
  <si>
    <t xml:space="preserve">Driving Gear (teeth)</t>
  </si>
  <si>
    <t xml:space="preserve">Driven Gear (teeth)</t>
  </si>
  <si>
    <t xml:space="preserve">GEAR TEETH ARE NOT</t>
  </si>
  <si>
    <t xml:space="preserve">WHOLE NUMBERS</t>
  </si>
  <si>
    <t xml:space="preserve">Pneumatics Calculator</t>
  </si>
  <si>
    <t xml:space="preserve">Cylinder 1</t>
  </si>
  <si>
    <t xml:space="preserve">Cylinder 2</t>
  </si>
  <si>
    <t xml:space="preserve">Cylinder 3</t>
  </si>
  <si>
    <t xml:space="preserve">Cylinder 4</t>
  </si>
  <si>
    <t xml:space="preserve">Cylinder 5</t>
  </si>
  <si>
    <t xml:space="preserve">Cylinder 6</t>
  </si>
  <si>
    <t xml:space="preserve">Cylinder 7</t>
  </si>
  <si>
    <t xml:space="preserve">Cylinder 8</t>
  </si>
  <si>
    <t xml:space="preserve">Tank 1</t>
  </si>
  <si>
    <t xml:space="preserve">Tank 2</t>
  </si>
  <si>
    <t xml:space="preserve">Tank 3</t>
  </si>
  <si>
    <t xml:space="preserve">Tank 4</t>
  </si>
  <si>
    <t xml:space="preserve"># of Tanks</t>
  </si>
  <si>
    <t xml:space="preserve">Tank Pressure (psig)</t>
  </si>
  <si>
    <t xml:space="preserve">Push Pressure (psig)</t>
  </si>
  <si>
    <t xml:space="preserve">(equivalent volume at 120 psi)</t>
  </si>
  <si>
    <t xml:space="preserve">Pull Pressure (psig)</t>
  </si>
  <si>
    <t xml:space="preserve">Compressor Type</t>
  </si>
  <si>
    <t xml:space="preserve">1.1 Pump</t>
  </si>
  <si>
    <t xml:space="preserve">Time Per Cycle (s)</t>
  </si>
  <si>
    <t xml:space="preserve">Initial Pressure (psig)</t>
  </si>
  <si>
    <t xml:space="preserve">Start Time (s)</t>
  </si>
  <si>
    <t xml:space="preserve">Comp. Triggger (psig)</t>
  </si>
  <si>
    <t xml:space="preserve">End Time (s)</t>
  </si>
  <si>
    <t xml:space="preserve">Min. Pressure (psig)</t>
  </si>
  <si>
    <t xml:space="preserve">Final Pressure (psig)</t>
  </si>
  <si>
    <t xml:space="preserve">t</t>
  </si>
  <si>
    <t xml:space="preserve">P</t>
  </si>
  <si>
    <t xml:space="preserve">comp</t>
  </si>
  <si>
    <t xml:space="preserve">cyl1</t>
  </si>
  <si>
    <t xml:space="preserve">cyl2</t>
  </si>
  <si>
    <t xml:space="preserve">cyl3</t>
  </si>
  <si>
    <t xml:space="preserve">cyl4</t>
  </si>
  <si>
    <t xml:space="preserve">cyl5</t>
  </si>
  <si>
    <t xml:space="preserve">cyl6</t>
  </si>
  <si>
    <t xml:space="preserve">cyl7</t>
  </si>
  <si>
    <t xml:space="preserve">cyl8</t>
  </si>
  <si>
    <t xml:space="preserve">Pneumatic Linkage Calculator</t>
  </si>
  <si>
    <t xml:space="preserve">Note: L is the distance between pivots when the cylinder is retracted (includes mountings, clevises, etc)</t>
  </si>
  <si>
    <t xml:space="preserve">A</t>
  </si>
  <si>
    <t xml:space="preserve">B</t>
  </si>
  <si>
    <t xml:space="preserve">Y</t>
  </si>
  <si>
    <t xml:space="preserve">L (Retracted)</t>
  </si>
  <si>
    <t xml:space="preserve">ΔL (Stroke)</t>
  </si>
  <si>
    <t xml:space="preserve">Retracted θ</t>
  </si>
  <si>
    <t xml:space="preserve">Extended θ</t>
  </si>
  <si>
    <t xml:space="preserve">Note: any units will work as long as they remain consistent</t>
  </si>
  <si>
    <t xml:space="preserve">• Gray lines represent the piston</t>
  </si>
  <si>
    <t xml:space="preserve">• Black lines represent the linkage</t>
  </si>
  <si>
    <t xml:space="preserve">• Black circles represent pivots</t>
  </si>
  <si>
    <t xml:space="preserve">θ R</t>
  </si>
  <si>
    <t xml:space="preserve">θ L</t>
  </si>
  <si>
    <t xml:space="preserve">L+ΔL</t>
  </si>
  <si>
    <t xml:space="preserve">Output</t>
  </si>
  <si>
    <t xml:space="preserve">Motor</t>
  </si>
  <si>
    <t xml:space="preserve">Stage 1/2</t>
  </si>
  <si>
    <t xml:space="preserve">Stage 3</t>
  </si>
  <si>
    <t xml:space="preserve">1:1 DM</t>
  </si>
  <si>
    <t xml:space="preserve">3.75 DM</t>
  </si>
  <si>
    <t xml:space="preserve">5.33 DM</t>
  </si>
  <si>
    <t xml:space="preserve">Lite 3</t>
  </si>
  <si>
    <t xml:space="preserve">1:1 Lite</t>
  </si>
  <si>
    <t xml:space="preserve">3.75 Lite</t>
  </si>
  <si>
    <t xml:space="preserve">5.33 Lite</t>
  </si>
  <si>
    <t xml:space="preserve">AM 9015</t>
  </si>
  <si>
    <t xml:space="preserve">BB RS-550</t>
  </si>
  <si>
    <t xml:space="preserve">Base</t>
  </si>
  <si>
    <t xml:space="preserve">BB RS-775</t>
  </si>
  <si>
    <t xml:space="preserve">217-4973,</t>
  </si>
  <si>
    <t xml:space="preserve">217-5823,217-2897,</t>
  </si>
  <si>
    <t xml:space="preserve">BAG Motor</t>
  </si>
  <si>
    <t xml:space="preserve">1/2" Round</t>
  </si>
  <si>
    <t xml:space="preserve">217-4975,</t>
  </si>
  <si>
    <t xml:space="preserve">217-5823,217-2895,</t>
  </si>
  <si>
    <t xml:space="preserve">3/8" Hex</t>
  </si>
  <si>
    <t xml:space="preserve">217-4974,</t>
  </si>
  <si>
    <t xml:space="preserve">217-5823,</t>
  </si>
  <si>
    <t xml:space="preserve">Mini CIM</t>
  </si>
  <si>
    <t xml:space="preserve">CIM Motor</t>
  </si>
  <si>
    <t xml:space="preserve">217-4976,</t>
  </si>
  <si>
    <t xml:space="preserve">217-5823,217-2893,</t>
  </si>
  <si>
    <t xml:space="preserve">Female</t>
  </si>
  <si>
    <t xml:space="preserve">217-6473,</t>
  </si>
  <si>
    <t xml:space="preserve">217-5995,</t>
  </si>
  <si>
    <t xml:space="preserve">NEO</t>
  </si>
  <si>
    <t xml:space="preserve">Falcon 500</t>
  </si>
  <si>
    <t xml:space="preserve">Motor Plate</t>
  </si>
  <si>
    <t xml:space="preserve">217-3564,217-4649,</t>
  </si>
  <si>
    <t xml:space="preserve">NeveRest</t>
  </si>
  <si>
    <t xml:space="preserve">217-4018,</t>
  </si>
  <si>
    <t xml:space="preserve">Stage</t>
  </si>
  <si>
    <t xml:space="preserve">None</t>
  </si>
  <si>
    <t xml:space="preserve">3 : 1</t>
  </si>
  <si>
    <t xml:space="preserve">217-2816,217-2817,</t>
  </si>
  <si>
    <t xml:space="preserve">217-5832,217-2817,</t>
  </si>
  <si>
    <t xml:space="preserve">4 : 1</t>
  </si>
  <si>
    <t xml:space="preserve">217-2816,217-2818,</t>
  </si>
  <si>
    <t xml:space="preserve">217-5832,217-2818,</t>
  </si>
  <si>
    <t xml:space="preserve">5 : 1</t>
  </si>
  <si>
    <t xml:space="preserve">217-2816,217-2819,</t>
  </si>
  <si>
    <t xml:space="preserve">217-5832,217-2819,</t>
  </si>
  <si>
    <t xml:space="preserve">7 : 1</t>
  </si>
  <si>
    <t xml:space="preserve">217-2816,217-3102,</t>
  </si>
  <si>
    <t xml:space="preserve">217-5832,217-3102,</t>
  </si>
  <si>
    <t xml:space="preserve">9 : 1</t>
  </si>
  <si>
    <t xml:space="preserve">217-2816,217-3106,</t>
  </si>
  <si>
    <t xml:space="preserve">217-5832,217-3106,</t>
  </si>
  <si>
    <t xml:space="preserve">10 : 1</t>
  </si>
  <si>
    <t xml:space="preserve">217-2816,217-2820,</t>
  </si>
  <si>
    <t xml:space="preserve">217-5832,217-2820,</t>
  </si>
  <si>
    <t xml:space="preserve">Dual Motor</t>
  </si>
  <si>
    <t xml:space="preserve">DM Nyl 1:1</t>
  </si>
  <si>
    <t xml:space="preserve">217-6342,217-2701,217-6432,</t>
  </si>
  <si>
    <t xml:space="preserve">DM Nyl 3.75:1</t>
  </si>
  <si>
    <t xml:space="preserve">217-6342,217-3210,217-6367,</t>
  </si>
  <si>
    <t xml:space="preserve">217-6342,217-3210,217-6362,</t>
  </si>
  <si>
    <t xml:space="preserve">217-6342,217-3210,217-6368,</t>
  </si>
  <si>
    <t xml:space="preserve">DM Nyl 5.33:1</t>
  </si>
  <si>
    <t xml:space="preserve">217-6342,217-5455,217-6333,</t>
  </si>
  <si>
    <t xml:space="preserve">217-6342,217-5455,217-6285,</t>
  </si>
  <si>
    <t xml:space="preserve">217-6342,217-5455,217-6339,</t>
  </si>
  <si>
    <t xml:space="preserve">DM Al 1:1</t>
  </si>
  <si>
    <t xml:space="preserve">217-6417,217-2701,217-6432,</t>
  </si>
  <si>
    <t xml:space="preserve">DM Al 3.75:1</t>
  </si>
  <si>
    <t xml:space="preserve">217-6417,217-3210,217-6367,</t>
  </si>
  <si>
    <t xml:space="preserve">217-6417,217-3210,217-6362,</t>
  </si>
  <si>
    <t xml:space="preserve">217-6417,217-3210,217-6368,</t>
  </si>
  <si>
    <t xml:space="preserve">DM Al 5.33:1</t>
  </si>
  <si>
    <t xml:space="preserve">217-6417,217-5455,217-6333,</t>
  </si>
  <si>
    <t xml:space="preserve">217-6417,217-5455,217-6285,</t>
  </si>
  <si>
    <t xml:space="preserve">217-6417,217-5455,217-6339,</t>
  </si>
  <si>
    <t xml:space="preserve">217-3141,</t>
  </si>
  <si>
    <t xml:space="preserve">180° Drive Kit</t>
  </si>
  <si>
    <t xml:space="preserve">217-6011,217-6043,217-5882,217-5875,217-5870,</t>
  </si>
  <si>
    <t xml:space="preserve">217-6011,217-6043,217-5882,217-5875,217-5871,</t>
  </si>
  <si>
    <t xml:space="preserve">217-6011,217-6043,217-5882,217-5875,217-5872,</t>
  </si>
  <si>
    <t xml:space="preserve">No</t>
  </si>
  <si>
    <t xml:space="preserve">90° Drive</t>
  </si>
  <si>
    <t xml:space="preserve">217-6293,</t>
  </si>
  <si>
    <t xml:space="preserve">Ratchet Stage</t>
  </si>
  <si>
    <t xml:space="preserve">217-6048,</t>
  </si>
  <si>
    <t xml:space="preserve">Encoder Stage</t>
  </si>
  <si>
    <t xml:space="preserve">217-5046,</t>
  </si>
  <si>
    <t xml:space="preserve">VP Parts Needed:</t>
  </si>
  <si>
    <t xml:space="preserve">VP Lite Parts Needed:</t>
  </si>
  <si>
    <t xml:space="preserve">Motor Type</t>
  </si>
  <si>
    <t xml:space="preserve">Note: The 90° Drive, Ratchet Stage, and Encoder Stage can go in any location in the gearbox without changing the results of this calculator.</t>
  </si>
  <si>
    <t xml:space="preserve">Qty</t>
  </si>
  <si>
    <t xml:space="preserve">P/N</t>
  </si>
  <si>
    <t xml:space="preserve">Dual Input</t>
  </si>
  <si>
    <t xml:space="preserve">180° Drive</t>
  </si>
  <si>
    <t xml:space="preserve">Stage 1</t>
  </si>
  <si>
    <t xml:space="preserve">Stage 2</t>
  </si>
  <si>
    <t xml:space="preserve">Note: Vex may change prices or part numbers without notice, and they will not update here automatically.</t>
  </si>
  <si>
    <t xml:space="preserve">Total Ratio</t>
  </si>
  <si>
    <t xml:space="preserve">DUAL INPUT NOT AVAILABLE FOR THIS MOTOR SELECTION</t>
  </si>
  <si>
    <t xml:space="preserve">Free Speed (rpm)</t>
  </si>
  <si>
    <t xml:space="preserve">VP Safe?</t>
  </si>
  <si>
    <t xml:space="preserve">STAGES SHOULD BE ORDERED WITH DECREASING RATIO FROM INPUT TO OUTPUT</t>
  </si>
  <si>
    <t xml:space="preserve">VP Price</t>
  </si>
  <si>
    <t xml:space="preserve">VP Lite Safe?</t>
  </si>
  <si>
    <t xml:space="preserve">VP Lite Price</t>
  </si>
  <si>
    <t xml:space="preserve">Motor Specs</t>
  </si>
  <si>
    <t xml:space="preserve">Material Properties</t>
  </si>
  <si>
    <t xml:space="preserve">Pitch</t>
  </si>
  <si>
    <t xml:space="preserve">Width</t>
  </si>
  <si>
    <t xml:space="preserve">Thick</t>
  </si>
  <si>
    <t xml:space="preserve">C-C Add.</t>
  </si>
  <si>
    <t xml:space="preserve">Young's Modulus (MPa)</t>
  </si>
  <si>
    <t xml:space="preserve">Shear Modulus (MPa)</t>
  </si>
  <si>
    <t xml:space="preserve">#25 Chain</t>
  </si>
  <si>
    <t xml:space="preserve">6061-T6 Al</t>
  </si>
  <si>
    <t xml:space="preserve">5mm HTD</t>
  </si>
  <si>
    <t xml:space="preserve">3mm GT2</t>
  </si>
  <si>
    <t xml:space="preserve">Stainless</t>
  </si>
  <si>
    <t xml:space="preserve">Redline</t>
  </si>
  <si>
    <t xml:space="preserve">NEO 550</t>
  </si>
  <si>
    <t xml:space="preserve">AM 775</t>
  </si>
  <si>
    <t xml:space="preserve">(Dimensions in mm)</t>
  </si>
  <si>
    <t xml:space="preserve">Johnson Motor</t>
  </si>
  <si>
    <t xml:space="preserve">Snowblower</t>
  </si>
  <si>
    <t xml:space="preserve">Throttle Motor</t>
  </si>
  <si>
    <t xml:space="preserve">Bosch Motor</t>
  </si>
  <si>
    <t xml:space="preserve">Dynamo</t>
  </si>
  <si>
    <t xml:space="preserve">Window Motor</t>
  </si>
  <si>
    <t xml:space="preserve">CIM + Mini</t>
  </si>
  <si>
    <t xml:space="preserve">CIM + 2 Mini</t>
  </si>
  <si>
    <t xml:space="preserve">2 CIM + Mini</t>
  </si>
  <si>
    <t xml:space="preserve">Note: For beginners there is no need to modify this page. Advanced users can choose to add their own motors, belt/chains, or material properties.</t>
  </si>
</sst>
</file>

<file path=xl/styles.xml><?xml version="1.0" encoding="utf-8"?>
<styleSheet xmlns="http://schemas.openxmlformats.org/spreadsheetml/2006/main">
  <numFmts count="18">
    <numFmt numFmtId="164" formatCode="General"/>
    <numFmt numFmtId="165" formatCode="0"/>
    <numFmt numFmtId="166" formatCode="0.00&quot; : 1&quot;"/>
    <numFmt numFmtId="167" formatCode="0.00"/>
    <numFmt numFmtId="168" formatCode="0.0"/>
    <numFmt numFmtId="169" formatCode="0%"/>
    <numFmt numFmtId="170" formatCode="0.000"/>
    <numFmt numFmtId="171" formatCode="0.0%"/>
    <numFmt numFmtId="172" formatCode="0.0\°"/>
    <numFmt numFmtId="173" formatCode="0.00000"/>
    <numFmt numFmtId="174" formatCode="\±0%"/>
    <numFmt numFmtId="175" formatCode="\±0.00"/>
    <numFmt numFmtId="176" formatCode="0\°"/>
    <numFmt numFmtId="177" formatCode="\±0\°"/>
    <numFmt numFmtId="178" formatCode="\±0.0"/>
    <numFmt numFmtId="179" formatCode="@"/>
    <numFmt numFmtId="180" formatCode="0&quot; : 1&quot;"/>
    <numFmt numFmtId="181" formatCode="\$#,##0.00"/>
  </numFmts>
  <fonts count="31">
    <font>
      <sz val="11"/>
      <color rgb="FF000000"/>
      <name val="Calibri"/>
      <family val="2"/>
      <charset val="1"/>
    </font>
    <font>
      <sz val="10"/>
      <name val="Arial"/>
      <family val="0"/>
    </font>
    <font>
      <sz val="10"/>
      <name val="Arial"/>
      <family val="0"/>
    </font>
    <font>
      <sz val="10"/>
      <name val="Arial"/>
      <family val="0"/>
    </font>
    <font>
      <sz val="11"/>
      <name val="Calibri"/>
      <family val="2"/>
      <charset val="1"/>
    </font>
    <font>
      <sz val="11"/>
      <color rgb="FF9C6500"/>
      <name val="Calibri"/>
      <family val="2"/>
      <charset val="1"/>
    </font>
    <font>
      <sz val="12"/>
      <color rgb="FF000000"/>
      <name val="Calibri"/>
      <family val="2"/>
      <charset val="1"/>
    </font>
    <font>
      <sz val="11"/>
      <color rgb="FF000000"/>
      <name val="Arial"/>
      <family val="2"/>
      <charset val="1"/>
    </font>
    <font>
      <sz val="24"/>
      <color rgb="FFFF0000"/>
      <name val="Calibri"/>
      <family val="2"/>
      <charset val="1"/>
    </font>
    <font>
      <b val="true"/>
      <sz val="12"/>
      <color rgb="FFFF0000"/>
      <name val="Calibri"/>
      <family val="2"/>
      <charset val="1"/>
    </font>
    <font>
      <b val="true"/>
      <sz val="11"/>
      <color rgb="FF000000"/>
      <name val="Calibri"/>
      <family val="2"/>
      <charset val="1"/>
    </font>
    <font>
      <sz val="11"/>
      <color rgb="FF663300"/>
      <name val="Calibri"/>
      <family val="2"/>
      <charset val="1"/>
    </font>
    <font>
      <sz val="11"/>
      <color rgb="FF800000"/>
      <name val="Calibri"/>
      <family val="2"/>
      <charset val="1"/>
    </font>
    <font>
      <u val="single"/>
      <sz val="11"/>
      <color rgb="FF000000"/>
      <name val="Calibri"/>
      <family val="2"/>
      <charset val="1"/>
    </font>
    <font>
      <u val="single"/>
      <sz val="11"/>
      <color rgb="FF0000FF"/>
      <name val="Calibri"/>
      <family val="2"/>
      <charset val="1"/>
    </font>
    <font>
      <b val="true"/>
      <sz val="28"/>
      <color rgb="FF000000"/>
      <name val="Calibri"/>
      <family val="0"/>
      <charset val="1"/>
    </font>
    <font>
      <b val="true"/>
      <sz val="20"/>
      <color rgb="FF000000"/>
      <name val="Calibri"/>
      <family val="0"/>
      <charset val="1"/>
    </font>
    <font>
      <b val="true"/>
      <sz val="24"/>
      <color rgb="FF000000"/>
      <name val="Calibri"/>
      <family val="2"/>
      <charset val="1"/>
    </font>
    <font>
      <sz val="11"/>
      <color rgb="FFFFFFFF"/>
      <name val="Calibri"/>
      <family val="2"/>
      <charset val="1"/>
    </font>
    <font>
      <b val="true"/>
      <sz val="14"/>
      <color rgb="FF000000"/>
      <name val="Arial"/>
      <family val="2"/>
      <charset val="1"/>
    </font>
    <font>
      <b val="true"/>
      <u val="single"/>
      <sz val="11"/>
      <color rgb="FF000000"/>
      <name val="Arial"/>
      <family val="2"/>
      <charset val="1"/>
    </font>
    <font>
      <b val="true"/>
      <sz val="11"/>
      <color rgb="FF000000"/>
      <name val="Arial"/>
      <family val="2"/>
      <charset val="1"/>
    </font>
    <font>
      <sz val="11"/>
      <color rgb="FFFF0000"/>
      <name val="Calibri"/>
      <family val="2"/>
      <charset val="1"/>
    </font>
    <font>
      <b val="true"/>
      <sz val="14"/>
      <color rgb="FF000000"/>
      <name val="Calibri"/>
      <family val="2"/>
      <charset val="1"/>
    </font>
    <font>
      <b val="true"/>
      <sz val="11"/>
      <color rgb="FFFF0000"/>
      <name val="Calibri"/>
      <family val="2"/>
      <charset val="1"/>
    </font>
    <font>
      <sz val="12"/>
      <color rgb="FFFF0000"/>
      <name val="Calibri"/>
      <family val="2"/>
      <charset val="1"/>
    </font>
    <font>
      <sz val="9"/>
      <color rgb="FF595959"/>
      <name val="Calibri"/>
      <family val="2"/>
    </font>
    <font>
      <sz val="11"/>
      <color rgb="FF000000"/>
      <name val="Symbol"/>
      <family val="1"/>
      <charset val="2"/>
    </font>
    <font>
      <sz val="10"/>
      <color rgb="FF000000"/>
      <name val="Calibri"/>
      <family val="2"/>
    </font>
    <font>
      <b val="true"/>
      <sz val="10"/>
      <color rgb="FF000000"/>
      <name val="Calibri"/>
      <family val="2"/>
    </font>
    <font>
      <sz val="8"/>
      <color rgb="FF000000"/>
      <name val="Tahoma"/>
      <family val="0"/>
      <charset val="1"/>
    </font>
  </fonts>
  <fills count="12">
    <fill>
      <patternFill patternType="none"/>
    </fill>
    <fill>
      <patternFill patternType="gray125"/>
    </fill>
    <fill>
      <patternFill patternType="solid">
        <fgColor rgb="FFC0504D"/>
        <bgColor rgb="FFBE4B48"/>
      </patternFill>
    </fill>
    <fill>
      <patternFill patternType="solid">
        <fgColor rgb="FFFFEB9C"/>
        <bgColor rgb="FFFFFFCC"/>
      </patternFill>
    </fill>
    <fill>
      <patternFill patternType="solid">
        <fgColor rgb="FF8EB4E3"/>
        <bgColor rgb="FF8DB3E2"/>
      </patternFill>
    </fill>
    <fill>
      <patternFill patternType="solid">
        <fgColor rgb="FFD9D9D9"/>
        <bgColor rgb="FFD8D8D8"/>
      </patternFill>
    </fill>
    <fill>
      <patternFill patternType="solid">
        <fgColor rgb="FFFFCC66"/>
        <bgColor rgb="FFFFEB9C"/>
      </patternFill>
    </fill>
    <fill>
      <patternFill patternType="solid">
        <fgColor rgb="FFFF5050"/>
        <bgColor rgb="FFC0504D"/>
      </patternFill>
    </fill>
    <fill>
      <patternFill patternType="solid">
        <fgColor rgb="FFFFFFFF"/>
        <bgColor rgb="FFFFFFCC"/>
      </patternFill>
    </fill>
    <fill>
      <patternFill patternType="solid">
        <fgColor rgb="FF9FC5E8"/>
        <bgColor rgb="FFA5B5D3"/>
      </patternFill>
    </fill>
    <fill>
      <patternFill patternType="solid">
        <fgColor rgb="FF8DB3E2"/>
        <bgColor rgb="FF8EB4E3"/>
      </patternFill>
    </fill>
    <fill>
      <patternFill patternType="solid">
        <fgColor rgb="FFD8D8D8"/>
        <bgColor rgb="FFD9D9D9"/>
      </patternFill>
    </fill>
  </fills>
  <borders count="50">
    <border diagonalUp="false" diagonalDown="false">
      <left/>
      <right/>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thin"/>
      <right style="thin"/>
      <top style="thin"/>
      <bottom style="thin">
        <color rgb="FFFFFFFF"/>
      </bottom>
      <diagonal/>
    </border>
    <border diagonalUp="false" diagonalDown="false">
      <left style="thin"/>
      <right style="thin"/>
      <top style="thin">
        <color rgb="FFFFFFFF"/>
      </top>
      <bottom style="thin">
        <color rgb="FFFFFFFF"/>
      </bottom>
      <diagonal/>
    </border>
    <border diagonalUp="false" diagonalDown="false">
      <left style="thin"/>
      <right style="thin"/>
      <top style="thin">
        <color rgb="FFFFFFFF"/>
      </top>
      <bottom style="thin"/>
      <diagonal/>
    </border>
    <border diagonalUp="false" diagonalDown="false">
      <left/>
      <right style="thin"/>
      <top/>
      <bottom style="thin"/>
      <diagonal/>
    </border>
    <border diagonalUp="false" diagonalDown="false">
      <left style="thin"/>
      <right style="thin">
        <color rgb="FF7F7F7F"/>
      </right>
      <top style="thin"/>
      <bottom style="thin">
        <color rgb="FF7F7F7F"/>
      </bottom>
      <diagonal/>
    </border>
    <border diagonalUp="false" diagonalDown="false">
      <left style="thin">
        <color rgb="FF7F7F7F"/>
      </left>
      <right style="thin">
        <color rgb="FF7F7F7F"/>
      </right>
      <top style="thin"/>
      <bottom style="thin">
        <color rgb="FF7F7F7F"/>
      </bottom>
      <diagonal/>
    </border>
    <border diagonalUp="false" diagonalDown="false">
      <left style="thin">
        <color rgb="FF7F7F7F"/>
      </left>
      <right style="thin"/>
      <top style="thin"/>
      <bottom style="thin">
        <color rgb="FF7F7F7F"/>
      </bottom>
      <diagonal/>
    </border>
    <border diagonalUp="false" diagonalDown="false">
      <left style="thin"/>
      <right style="thin"/>
      <top/>
      <bottom style="thin">
        <color rgb="FF7F7F7F"/>
      </bottom>
      <diagonal/>
    </border>
    <border diagonalUp="false" diagonalDown="false">
      <left style="thin"/>
      <right style="thin"/>
      <top style="thin">
        <color rgb="FF808080"/>
      </top>
      <bottom style="thin">
        <color rgb="FF808080"/>
      </bottom>
      <diagonal/>
    </border>
    <border diagonalUp="false" diagonalDown="false">
      <left style="thin"/>
      <right style="thin">
        <color rgb="FF7F7F7F"/>
      </right>
      <top style="thin">
        <color rgb="FF7F7F7F"/>
      </top>
      <bottom style="thin">
        <color rgb="FF7F7F7F"/>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style="thin">
        <color rgb="FF7F7F7F"/>
      </left>
      <right style="thin"/>
      <top style="thin">
        <color rgb="FF7F7F7F"/>
      </top>
      <bottom style="thin">
        <color rgb="FF7F7F7F"/>
      </bottom>
      <diagonal/>
    </border>
    <border diagonalUp="false" diagonalDown="false">
      <left style="thin"/>
      <right style="thin"/>
      <top style="thin">
        <color rgb="FF7F7F7F"/>
      </top>
      <bottom style="thin">
        <color rgb="FF7F7F7F"/>
      </bottom>
      <diagonal/>
    </border>
    <border diagonalUp="false" diagonalDown="false">
      <left style="thin"/>
      <right style="thin">
        <color rgb="FF7F7F7F"/>
      </right>
      <top style="thin">
        <color rgb="FF7F7F7F"/>
      </top>
      <bottom style="thin"/>
      <diagonal/>
    </border>
    <border diagonalUp="false" diagonalDown="false">
      <left style="thin">
        <color rgb="FF7F7F7F"/>
      </left>
      <right style="thin">
        <color rgb="FF7F7F7F"/>
      </right>
      <top style="thin">
        <color rgb="FF7F7F7F"/>
      </top>
      <bottom style="thin"/>
      <diagonal/>
    </border>
    <border diagonalUp="false" diagonalDown="false">
      <left style="thin">
        <color rgb="FF7F7F7F"/>
      </left>
      <right style="thin"/>
      <top style="thin">
        <color rgb="FF7F7F7F"/>
      </top>
      <bottom style="thin"/>
      <diagonal/>
    </border>
    <border diagonalUp="false" diagonalDown="false">
      <left style="thin"/>
      <right style="thin">
        <color rgb="FF7F7F7F"/>
      </right>
      <top style="thin"/>
      <bottom style="thin"/>
      <diagonal/>
    </border>
    <border diagonalUp="false" diagonalDown="false">
      <left style="thin">
        <color rgb="FF7F7F7F"/>
      </left>
      <right style="thin"/>
      <top style="thin"/>
      <bottom style="thin"/>
      <diagonal/>
    </border>
    <border diagonalUp="false" diagonalDown="false">
      <left style="thin"/>
      <right style="thin"/>
      <top style="thin">
        <color rgb="FF7F7F7F"/>
      </top>
      <bottom style="thin"/>
      <diagonal/>
    </border>
    <border diagonalUp="false" diagonalDown="false">
      <left style="thin"/>
      <right style="thin">
        <color rgb="FF808080"/>
      </right>
      <top style="thin"/>
      <bottom style="thin"/>
      <diagonal/>
    </border>
    <border diagonalUp="false" diagonalDown="false">
      <left style="thin">
        <color rgb="FF808080"/>
      </left>
      <right style="thin"/>
      <top style="thin"/>
      <bottom style="thin"/>
      <diagonal/>
    </border>
    <border diagonalUp="false" diagonalDown="false">
      <left style="medium">
        <color rgb="FF980000"/>
      </left>
      <right style="medium">
        <color rgb="FF980000"/>
      </right>
      <top style="medium">
        <color rgb="FF980000"/>
      </top>
      <bottom/>
      <diagonal/>
    </border>
    <border diagonalUp="false" diagonalDown="false">
      <left style="medium">
        <color rgb="FF980000"/>
      </left>
      <right style="medium">
        <color rgb="FF980000"/>
      </right>
      <top/>
      <bottom/>
      <diagonal/>
    </border>
    <border diagonalUp="false" diagonalDown="false">
      <left style="medium">
        <color rgb="FF980000"/>
      </left>
      <right style="medium">
        <color rgb="FF980000"/>
      </right>
      <top/>
      <bottom style="medium">
        <color rgb="FF980000"/>
      </bottom>
      <diagonal/>
    </border>
    <border diagonalUp="false" diagonalDown="false">
      <left style="thin"/>
      <right style="thin"/>
      <top style="thin"/>
      <bottom style="thin">
        <color rgb="FF7F7F7F"/>
      </bottom>
      <diagonal/>
    </border>
    <border diagonalUp="false" diagonalDown="false">
      <left style="thin">
        <color rgb="FF7F7F7F"/>
      </left>
      <right style="thin">
        <color rgb="FF7F7F7F"/>
      </right>
      <top style="thin"/>
      <bottom style="thin"/>
      <diagonal/>
    </border>
    <border diagonalUp="false" diagonalDown="false">
      <left style="thin">
        <color rgb="FF7F7F7F"/>
      </left>
      <right style="thin"/>
      <top style="thin">
        <color rgb="FF7F7F7F"/>
      </top>
      <bottom/>
      <diagonal/>
    </border>
    <border diagonalUp="false" diagonalDown="false">
      <left style="thin"/>
      <right/>
      <top style="thin"/>
      <bottom style="thin"/>
      <diagonal/>
    </border>
    <border diagonalUp="false" diagonalDown="false">
      <left style="thin">
        <color rgb="FFFF0000"/>
      </left>
      <right style="thin">
        <color rgb="FFFF0000"/>
      </right>
      <top style="thin">
        <color rgb="FFFF0000"/>
      </top>
      <bottom style="thin">
        <color rgb="FFFF0000"/>
      </bottom>
      <diagonal/>
    </border>
    <border diagonalUp="false" diagonalDown="false">
      <left/>
      <right/>
      <top/>
      <bottom style="thin">
        <color rgb="FFFFFFFF"/>
      </bottom>
      <diagonal/>
    </border>
    <border diagonalUp="false" diagonalDown="false">
      <left/>
      <right/>
      <top style="thin">
        <color rgb="FFFFFFFF"/>
      </top>
      <bottom/>
      <diagonal/>
    </border>
    <border diagonalUp="false" diagonalDown="false">
      <left/>
      <right style="thin">
        <color rgb="FFFFFFFF"/>
      </right>
      <top/>
      <bottom/>
      <diagonal/>
    </border>
    <border diagonalUp="false" diagonalDown="false">
      <left style="thin">
        <color rgb="FFFFFFFF"/>
      </left>
      <right style="thin">
        <color rgb="FFFFFFFF"/>
      </right>
      <top/>
      <bottom/>
      <diagonal/>
    </border>
    <border diagonalUp="false" diagonalDown="false">
      <left style="thin">
        <color rgb="FFFFFFFF"/>
      </left>
      <right/>
      <top/>
      <bottom/>
      <diagonal/>
    </border>
    <border diagonalUp="false" diagonalDown="false">
      <left style="thin"/>
      <right style="thin">
        <color rgb="FF7F7F7F"/>
      </right>
      <top/>
      <bottom style="thin">
        <color rgb="FF7F7F7F"/>
      </bottom>
      <diagonal/>
    </border>
    <border diagonalUp="false" diagonalDown="false">
      <left style="thin">
        <color rgb="FF7F7F7F"/>
      </left>
      <right style="thin"/>
      <top/>
      <bottom style="thin">
        <color rgb="FF7F7F7F"/>
      </bottom>
      <diagonal/>
    </border>
    <border diagonalUp="false" diagonalDown="false">
      <left style="thin"/>
      <right style="thin">
        <color rgb="FF7F7F7F"/>
      </right>
      <top/>
      <bottom/>
      <diagonal/>
    </border>
    <border diagonalUp="false" diagonalDown="false">
      <left style="thin">
        <color rgb="FF7F7F7F"/>
      </left>
      <right style="thin"/>
      <top/>
      <bottom/>
      <diagonal/>
    </border>
    <border diagonalUp="false" diagonalDown="false">
      <left style="medium">
        <color rgb="FFFF0000"/>
      </left>
      <right style="medium">
        <color rgb="FFFF0000"/>
      </right>
      <top style="medium">
        <color rgb="FFFF0000"/>
      </top>
      <bottom style="medium">
        <color rgb="FFFF0000"/>
      </bottom>
      <diagonal/>
    </border>
    <border diagonalUp="false" diagonalDown="false">
      <left style="thin"/>
      <right style="thin">
        <color rgb="FF7F7F7F"/>
      </right>
      <top/>
      <bottom style="thin"/>
      <diagonal/>
    </border>
    <border diagonalUp="false" diagonalDown="false">
      <left style="thin">
        <color rgb="FF7F7F7F"/>
      </left>
      <right style="thin"/>
      <top/>
      <bottom style="thin"/>
      <diagonal/>
    </border>
    <border diagonalUp="false" diagonalDown="false">
      <left style="thin"/>
      <right style="thin">
        <color rgb="FF7F7F7F"/>
      </right>
      <top style="thin"/>
      <bottom/>
      <diagonal/>
    </border>
    <border diagonalUp="false" diagonalDown="false">
      <left style="thin">
        <color rgb="FF7F7F7F"/>
      </left>
      <right style="thin">
        <color rgb="FF7F7F7F"/>
      </right>
      <top style="thin"/>
      <bottom/>
      <diagonal/>
    </border>
    <border diagonalUp="false" diagonalDown="false">
      <left style="thin">
        <color rgb="FF7F7F7F"/>
      </left>
      <right style="thin"/>
      <top style="thin"/>
      <bottom/>
      <diagonal/>
    </border>
    <border diagonalUp="false" diagonalDown="false">
      <left/>
      <right style="thin">
        <color rgb="FF7F7F7F"/>
      </right>
      <top style="thin"/>
      <bottom style="thin"/>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164" fontId="14"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5" fillId="3" borderId="0" applyFont="true" applyBorder="false" applyAlignment="true" applyProtection="false">
      <alignment horizontal="general" vertical="bottom" textRotation="0" wrapText="false" indent="0" shrinkToFit="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20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4" fontId="9" fillId="0" borderId="1" xfId="0" applyFont="true" applyBorder="true" applyAlignment="true" applyProtection="false">
      <alignment horizontal="center" vertical="center" textRotation="0" wrapText="tru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4" fontId="0" fillId="4" borderId="1" xfId="0" applyFont="true" applyBorder="true" applyAlignment="true" applyProtection="false">
      <alignment horizontal="center" vertical="bottom" textRotation="0" wrapText="false" indent="0" shrinkToFit="false"/>
      <protection locked="true" hidden="false"/>
    </xf>
    <xf numFmtId="164" fontId="0" fillId="5" borderId="1" xfId="0" applyFont="true" applyBorder="true" applyAlignment="true" applyProtection="false">
      <alignment horizontal="center" vertical="bottom" textRotation="0" wrapText="false" indent="0" shrinkToFit="false"/>
      <protection locked="true" hidden="false"/>
    </xf>
    <xf numFmtId="164" fontId="11" fillId="6" borderId="1" xfId="22" applyFont="true" applyBorder="true" applyAlignment="true" applyProtection="true">
      <alignment horizontal="center" vertical="bottom" textRotation="0" wrapText="false" indent="0" shrinkToFit="false"/>
      <protection locked="true" hidden="false"/>
    </xf>
    <xf numFmtId="164" fontId="12" fillId="7" borderId="1" xfId="21" applyFont="true" applyBorder="true" applyAlignment="true" applyProtection="true">
      <alignment horizontal="center" vertical="bottom" textRotation="0" wrapText="false" indent="0" shrinkToFit="false"/>
      <protection locked="true" hidden="false"/>
    </xf>
    <xf numFmtId="164" fontId="13" fillId="8" borderId="2" xfId="0" applyFont="true" applyBorder="true" applyAlignment="true" applyProtection="false">
      <alignment horizontal="general" vertical="bottom" textRotation="0" wrapText="false" indent="0" shrinkToFit="false"/>
      <protection locked="true" hidden="false"/>
    </xf>
    <xf numFmtId="164" fontId="0" fillId="8" borderId="3" xfId="0" applyFont="true" applyBorder="true" applyAlignment="true" applyProtection="false">
      <alignment horizontal="general" vertical="top" textRotation="0" wrapText="true" indent="0" shrinkToFit="false"/>
      <protection locked="true" hidden="false"/>
    </xf>
    <xf numFmtId="164" fontId="0" fillId="8" borderId="4" xfId="0" applyFont="false" applyBorder="true" applyAlignment="true" applyProtection="false">
      <alignment horizontal="general" vertical="bottom" textRotation="0" wrapText="false" indent="0" shrinkToFit="false"/>
      <protection locked="true" hidden="false"/>
    </xf>
    <xf numFmtId="164" fontId="13" fillId="8" borderId="5" xfId="0" applyFont="true" applyBorder="true" applyAlignment="true" applyProtection="false">
      <alignment horizontal="general" vertical="bottom" textRotation="0" wrapText="false" indent="0" shrinkToFit="false"/>
      <protection locked="true" hidden="false"/>
    </xf>
    <xf numFmtId="164" fontId="14" fillId="8" borderId="6" xfId="20" applyFont="true" applyBorder="true" applyAlignment="true" applyProtection="tru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14" fillId="0" borderId="6" xfId="20" applyFont="true" applyBorder="true" applyAlignment="true" applyProtection="true">
      <alignment horizontal="general" vertical="bottom" textRotation="0" wrapText="false" indent="0" shrinkToFit="false"/>
      <protection locked="true" hidden="false"/>
    </xf>
    <xf numFmtId="164" fontId="14" fillId="0" borderId="7" xfId="2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17"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false" hidden="false"/>
    </xf>
    <xf numFmtId="164" fontId="0" fillId="9" borderId="1" xfId="0" applyFont="true" applyBorder="true" applyAlignment="true" applyProtection="true">
      <alignment horizontal="left" vertical="center" textRotation="0" wrapText="false" indent="0" shrinkToFit="false"/>
      <protection locked="fals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0" fillId="0" borderId="8" xfId="0" applyFont="false" applyBorder="true" applyAlignment="true" applyProtection="true">
      <alignment horizontal="general" vertical="center" textRotation="0" wrapText="false" indent="0" shrinkToFit="false"/>
      <protection locked="true" hidden="false"/>
    </xf>
    <xf numFmtId="164" fontId="10" fillId="0" borderId="2" xfId="0" applyFont="true" applyBorder="true" applyAlignment="true" applyProtection="true">
      <alignment horizontal="general" vertical="center" textRotation="0" wrapText="false" indent="0" shrinkToFit="false"/>
      <protection locked="true" hidden="false"/>
    </xf>
    <xf numFmtId="164" fontId="0" fillId="0" borderId="9" xfId="0" applyFont="true" applyBorder="true" applyAlignment="true" applyProtection="true">
      <alignment horizontal="left" vertical="center" textRotation="0" wrapText="false" indent="0" shrinkToFit="false"/>
      <protection locked="true" hidden="false"/>
    </xf>
    <xf numFmtId="165" fontId="0" fillId="0" borderId="10" xfId="0" applyFont="false" applyBorder="true" applyAlignment="true" applyProtection="true">
      <alignment horizontal="general" vertical="center" textRotation="0" wrapText="false" indent="0" shrinkToFit="false"/>
      <protection locked="true" hidden="false"/>
    </xf>
    <xf numFmtId="165" fontId="0" fillId="0" borderId="11" xfId="0" applyFont="false" applyBorder="true" applyAlignment="true" applyProtection="true">
      <alignment horizontal="general" vertical="center" textRotation="0" wrapText="false" indent="0" shrinkToFit="false"/>
      <protection locked="true" hidden="false"/>
    </xf>
    <xf numFmtId="164" fontId="0" fillId="0" borderId="12" xfId="0" applyFont="true" applyBorder="true" applyAlignment="true" applyProtection="true">
      <alignment horizontal="general" vertical="center" textRotation="0" wrapText="false" indent="0" shrinkToFit="false"/>
      <protection locked="true" hidden="false"/>
    </xf>
    <xf numFmtId="166" fontId="0" fillId="5" borderId="13" xfId="0" applyFont="true" applyBorder="true" applyAlignment="true" applyProtection="true">
      <alignment horizontal="general" vertical="center" textRotation="0" wrapText="false" indent="0" shrinkToFit="false"/>
      <protection locked="true" hidden="false"/>
    </xf>
    <xf numFmtId="164" fontId="0" fillId="0" borderId="14" xfId="0" applyFont="true" applyBorder="true" applyAlignment="true" applyProtection="true">
      <alignment horizontal="left" vertical="center" textRotation="0" wrapText="false" indent="0" shrinkToFit="false"/>
      <protection locked="true" hidden="false"/>
    </xf>
    <xf numFmtId="167" fontId="0" fillId="0" borderId="15" xfId="0" applyFont="false" applyBorder="true" applyAlignment="true" applyProtection="true">
      <alignment horizontal="general" vertical="center" textRotation="0" wrapText="false" indent="0" shrinkToFit="false"/>
      <protection locked="true" hidden="false"/>
    </xf>
    <xf numFmtId="167" fontId="0" fillId="0" borderId="16" xfId="0" applyFont="false" applyBorder="true" applyAlignment="true" applyProtection="true">
      <alignment horizontal="general" vertical="center" textRotation="0" wrapText="false" indent="0" shrinkToFit="false"/>
      <protection locked="true" hidden="false"/>
    </xf>
    <xf numFmtId="164" fontId="0" fillId="0" borderId="17" xfId="0" applyFont="true" applyBorder="true" applyAlignment="true" applyProtection="true">
      <alignment horizontal="general" vertical="center" textRotation="0" wrapText="false" indent="0" shrinkToFit="false"/>
      <protection locked="true" hidden="false"/>
    </xf>
    <xf numFmtId="167" fontId="0" fillId="5" borderId="12" xfId="0" applyFont="false" applyBorder="true" applyAlignment="true" applyProtection="true">
      <alignment horizontal="general" vertical="center" textRotation="0" wrapText="false" indent="0" shrinkToFit="false"/>
      <protection locked="true" hidden="false"/>
    </xf>
    <xf numFmtId="168" fontId="0" fillId="0" borderId="15" xfId="0" applyFont="false" applyBorder="true" applyAlignment="true" applyProtection="true">
      <alignment horizontal="general" vertical="center" textRotation="0" wrapText="false" indent="0" shrinkToFit="false"/>
      <protection locked="true" hidden="false"/>
    </xf>
    <xf numFmtId="168" fontId="0" fillId="0" borderId="16" xfId="0" applyFont="false" applyBorder="true" applyAlignment="true" applyProtection="true">
      <alignment horizontal="general" vertical="center" textRotation="0" wrapText="false" indent="0" shrinkToFit="false"/>
      <protection locked="true" hidden="false"/>
    </xf>
    <xf numFmtId="167" fontId="0" fillId="5" borderId="17" xfId="0" applyFont="false" applyBorder="true" applyAlignment="true" applyProtection="true">
      <alignment horizontal="general" vertical="center" textRotation="0" wrapText="false" indent="0" shrinkToFit="false"/>
      <protection locked="true" hidden="false"/>
    </xf>
    <xf numFmtId="167" fontId="0" fillId="9" borderId="17" xfId="0" applyFont="false" applyBorder="true" applyAlignment="true" applyProtection="true">
      <alignment horizontal="general" vertical="center" textRotation="0" wrapText="false" indent="0" shrinkToFit="false"/>
      <protection locked="false" hidden="false"/>
    </xf>
    <xf numFmtId="165" fontId="0" fillId="0" borderId="15" xfId="0" applyFont="false" applyBorder="true" applyAlignment="true" applyProtection="true">
      <alignment horizontal="general" vertical="center" textRotation="0" wrapText="false" indent="0" shrinkToFit="false"/>
      <protection locked="true" hidden="false"/>
    </xf>
    <xf numFmtId="165" fontId="0" fillId="0" borderId="16" xfId="0" applyFont="false" applyBorder="true" applyAlignment="true" applyProtection="true">
      <alignment horizontal="general" vertical="center" textRotation="0" wrapText="false" indent="0" shrinkToFit="false"/>
      <protection locked="true" hidden="false"/>
    </xf>
    <xf numFmtId="164" fontId="0" fillId="0" borderId="18" xfId="0" applyFont="true" applyBorder="true" applyAlignment="true" applyProtection="true">
      <alignment horizontal="left" vertical="center" textRotation="0" wrapText="false" indent="0" shrinkToFit="false"/>
      <protection locked="true" hidden="false"/>
    </xf>
    <xf numFmtId="168" fontId="0" fillId="0" borderId="19" xfId="0" applyFont="false" applyBorder="true" applyAlignment="true" applyProtection="true">
      <alignment horizontal="general" vertical="center" textRotation="0" wrapText="false" indent="0" shrinkToFit="false"/>
      <protection locked="true" hidden="false"/>
    </xf>
    <xf numFmtId="168" fontId="0" fillId="0" borderId="20" xfId="0" applyFont="false" applyBorder="true" applyAlignment="true" applyProtection="true">
      <alignment horizontal="general" vertical="center" textRotation="0" wrapText="false" indent="0" shrinkToFit="false"/>
      <protection locked="true" hidden="false"/>
    </xf>
    <xf numFmtId="168" fontId="0" fillId="5" borderId="17" xfId="0" applyFont="false" applyBorder="true" applyAlignment="true" applyProtection="true">
      <alignment horizontal="general" vertical="center" textRotation="0" wrapText="false" indent="0" shrinkToFit="false"/>
      <protection locked="true" hidden="false"/>
    </xf>
    <xf numFmtId="168" fontId="0" fillId="9" borderId="17" xfId="0" applyFont="false" applyBorder="true" applyAlignment="true" applyProtection="true">
      <alignment horizontal="general" vertical="center" textRotation="0" wrapText="false" indent="0" shrinkToFit="false"/>
      <protection locked="false" hidden="false"/>
    </xf>
    <xf numFmtId="164" fontId="0" fillId="0" borderId="21" xfId="0" applyFont="true" applyBorder="true" applyAlignment="true" applyProtection="true">
      <alignment horizontal="left" vertical="center" textRotation="0" wrapText="false" indent="0" shrinkToFit="false"/>
      <protection locked="true" hidden="false"/>
    </xf>
    <xf numFmtId="164" fontId="0" fillId="9" borderId="22" xfId="0" applyFont="false" applyBorder="true" applyAlignment="true" applyProtection="true">
      <alignment horizontal="general" vertical="center" textRotation="0" wrapText="false" indent="0" shrinkToFit="false"/>
      <protection locked="false" hidden="false"/>
    </xf>
    <xf numFmtId="165" fontId="0" fillId="5" borderId="17" xfId="0" applyFont="false" applyBorder="true" applyAlignment="true" applyProtection="true">
      <alignment horizontal="general" vertical="center" textRotation="0" wrapText="false" indent="0" shrinkToFit="false"/>
      <protection locked="true" hidden="false"/>
    </xf>
    <xf numFmtId="165" fontId="0" fillId="9" borderId="17" xfId="0" applyFont="false" applyBorder="true" applyAlignment="true" applyProtection="true">
      <alignment horizontal="general" vertical="center" textRotation="0" wrapText="false" indent="0" shrinkToFit="false"/>
      <protection locked="false" hidden="false"/>
    </xf>
    <xf numFmtId="164" fontId="0" fillId="0" borderId="23" xfId="0" applyFont="true" applyBorder="true" applyAlignment="true" applyProtection="true">
      <alignment horizontal="general" vertical="center" textRotation="0" wrapText="false" indent="0" shrinkToFit="false"/>
      <protection locked="true" hidden="false"/>
    </xf>
    <xf numFmtId="168" fontId="0" fillId="5" borderId="23" xfId="0" applyFont="false" applyBorder="true" applyAlignment="true" applyProtection="true">
      <alignment horizontal="general" vertical="center" textRotation="0" wrapText="false" indent="0" shrinkToFit="false"/>
      <protection locked="true" hidden="false"/>
    </xf>
    <xf numFmtId="168" fontId="0" fillId="9" borderId="23" xfId="0" applyFont="false" applyBorder="true" applyAlignment="true" applyProtection="true">
      <alignment horizontal="general" vertical="center" textRotation="0" wrapText="false" indent="0" shrinkToFit="false"/>
      <protection locked="false" hidden="false"/>
    </xf>
    <xf numFmtId="169" fontId="0" fillId="9" borderId="22" xfId="19" applyFont="true" applyBorder="true" applyAlignment="true" applyProtection="true">
      <alignment horizontal="general" vertical="center" textRotation="0" wrapText="false" indent="0" shrinkToFit="false"/>
      <protection locked="false" hidden="false"/>
    </xf>
    <xf numFmtId="170" fontId="0" fillId="9" borderId="22" xfId="0" applyFont="false" applyBorder="true" applyAlignment="true" applyProtection="true">
      <alignment horizontal="general" vertical="center" textRotation="0" wrapText="false" indent="0" shrinkToFit="false"/>
      <protection locked="fals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6" fontId="0" fillId="5" borderId="1" xfId="0" applyFont="true" applyBorder="true" applyAlignment="true" applyProtection="true">
      <alignment horizontal="general" vertical="center" textRotation="0" wrapText="false" indent="0" shrinkToFit="false"/>
      <protection locked="true" hidden="false"/>
    </xf>
    <xf numFmtId="167" fontId="0" fillId="9" borderId="22" xfId="0" applyFont="false" applyBorder="true" applyAlignment="true" applyProtection="true">
      <alignment horizontal="general" vertical="center" textRotation="0" wrapText="false" indent="0" shrinkToFit="false"/>
      <protection locked="false" hidden="false"/>
    </xf>
    <xf numFmtId="164" fontId="0" fillId="9" borderId="24" xfId="0" applyFont="false" applyBorder="true" applyAlignment="true" applyProtection="true">
      <alignment horizontal="general" vertical="center" textRotation="0" wrapText="false" indent="0" shrinkToFit="false"/>
      <protection locked="false" hidden="false"/>
    </xf>
    <xf numFmtId="164" fontId="0" fillId="9" borderId="25" xfId="0" applyFont="false" applyBorder="true" applyAlignment="true" applyProtection="true">
      <alignment horizontal="general" vertical="center" textRotation="0" wrapText="false" indent="0" shrinkToFit="false"/>
      <protection locked="false" hidden="false"/>
    </xf>
    <xf numFmtId="164" fontId="19" fillId="0" borderId="26" xfId="0" applyFont="true" applyBorder="true" applyAlignment="true" applyProtection="true">
      <alignment horizontal="general" vertical="center" textRotation="0" wrapText="true" indent="0" shrinkToFit="false"/>
      <protection locked="true" hidden="false"/>
    </xf>
    <xf numFmtId="164" fontId="20" fillId="0" borderId="27" xfId="0" applyFont="true" applyBorder="true" applyAlignment="true" applyProtection="true">
      <alignment horizontal="general" vertical="center" textRotation="0" wrapText="true" indent="0" shrinkToFit="false"/>
      <protection locked="true" hidden="false"/>
    </xf>
    <xf numFmtId="164" fontId="20" fillId="0" borderId="28" xfId="0" applyFont="true" applyBorder="true" applyAlignment="true" applyProtection="true">
      <alignment horizontal="general" vertical="center" textRotation="0" wrapText="true" indent="0" shrinkToFit="false"/>
      <protection locked="true" hidden="false"/>
    </xf>
    <xf numFmtId="164" fontId="0" fillId="0" borderId="24" xfId="0" applyFont="false" applyBorder="true" applyAlignment="true" applyProtection="true">
      <alignment horizontal="general" vertical="center" textRotation="0" wrapText="false" indent="0" shrinkToFit="false"/>
      <protection locked="true" hidden="false"/>
    </xf>
    <xf numFmtId="170" fontId="0" fillId="9" borderId="25" xfId="0" applyFont="false" applyBorder="true" applyAlignment="true" applyProtection="true">
      <alignment horizontal="general" vertical="center" textRotation="0" wrapText="false" indent="0" shrinkToFit="false"/>
      <protection locked="false" hidden="false"/>
    </xf>
    <xf numFmtId="164" fontId="0" fillId="0" borderId="21" xfId="0" applyFont="true" applyBorder="true" applyAlignment="true" applyProtection="true">
      <alignment horizontal="general" vertical="center" textRotation="0" wrapText="false" indent="0" shrinkToFit="false"/>
      <protection locked="true" hidden="false"/>
    </xf>
    <xf numFmtId="171" fontId="0" fillId="5" borderId="22" xfId="19" applyFont="true" applyBorder="true" applyAlignment="true" applyProtection="true">
      <alignment horizontal="general" vertical="center" textRotation="0" wrapText="false" indent="0" shrinkToFit="false"/>
      <protection locked="true" hidden="false"/>
    </xf>
    <xf numFmtId="167" fontId="0" fillId="5" borderId="22" xfId="0" applyFont="false" applyBorder="true" applyAlignment="true" applyProtection="true">
      <alignment horizontal="general" vertical="center" textRotation="0" wrapText="false" indent="0" shrinkToFit="false"/>
      <protection locked="true" hidden="false"/>
    </xf>
    <xf numFmtId="164" fontId="0" fillId="0" borderId="29" xfId="0" applyFont="false" applyBorder="true" applyAlignment="true" applyProtection="true">
      <alignment horizontal="general" vertical="center" textRotation="0" wrapText="false" indent="0" shrinkToFit="false"/>
      <protection locked="true" hidden="false"/>
    </xf>
    <xf numFmtId="168" fontId="0" fillId="9" borderId="29" xfId="0" applyFont="false" applyBorder="true" applyAlignment="true" applyProtection="true">
      <alignment horizontal="general" vertical="center" textRotation="0" wrapText="false" indent="0" shrinkToFit="false"/>
      <protection locked="false" hidden="false"/>
    </xf>
    <xf numFmtId="168" fontId="0" fillId="5" borderId="29" xfId="0" applyFont="false" applyBorder="true" applyAlignment="true" applyProtection="true">
      <alignment horizontal="general" vertical="center" textRotation="0" wrapText="false" indent="0" shrinkToFit="false"/>
      <protection locked="true" hidden="false"/>
    </xf>
    <xf numFmtId="164" fontId="0" fillId="9" borderId="25" xfId="0" applyFont="true" applyBorder="true" applyAlignment="true" applyProtection="true">
      <alignment horizontal="general" vertical="center" textRotation="0" wrapText="false" indent="0" shrinkToFit="false"/>
      <protection locked="false" hidden="false"/>
    </xf>
    <xf numFmtId="164" fontId="0" fillId="9" borderId="29" xfId="0" applyFont="false" applyBorder="true" applyAlignment="true" applyProtection="true">
      <alignment horizontal="general" vertical="center" textRotation="0" wrapText="false" indent="0" shrinkToFit="false"/>
      <protection locked="false" hidden="false"/>
    </xf>
    <xf numFmtId="165" fontId="0" fillId="5" borderId="29" xfId="0" applyFont="false" applyBorder="true" applyAlignment="true" applyProtection="true">
      <alignment horizontal="general" vertical="center" textRotation="0" wrapText="false" indent="0" shrinkToFit="false"/>
      <protection locked="true" hidden="false"/>
    </xf>
    <xf numFmtId="164" fontId="0" fillId="5" borderId="25" xfId="0" applyFont="false" applyBorder="true" applyAlignment="true" applyProtection="true">
      <alignment horizontal="general" vertical="center" textRotation="0" wrapText="false" indent="0" shrinkToFit="false"/>
      <protection locked="true" hidden="false"/>
    </xf>
    <xf numFmtId="167" fontId="0" fillId="5" borderId="23" xfId="0" applyFont="false" applyBorder="true" applyAlignment="true" applyProtection="true">
      <alignment horizontal="general" vertical="center" textRotation="0" wrapText="false" indent="0" shrinkToFit="false"/>
      <protection locked="true" hidden="false"/>
    </xf>
    <xf numFmtId="167" fontId="0" fillId="9" borderId="23" xfId="0" applyFont="false" applyBorder="true" applyAlignment="true" applyProtection="true">
      <alignment horizontal="general" vertical="center" textRotation="0" wrapText="false" indent="0" shrinkToFit="false"/>
      <protection locked="false" hidden="false"/>
    </xf>
    <xf numFmtId="164" fontId="22" fillId="0" borderId="5" xfId="0" applyFont="true" applyBorder="true" applyAlignment="true" applyProtection="true">
      <alignment horizontal="general" vertical="center" textRotation="0" wrapText="true" indent="0" shrinkToFit="false"/>
      <protection locked="true" hidden="false"/>
    </xf>
    <xf numFmtId="164" fontId="22" fillId="0" borderId="7" xfId="0" applyFont="true" applyBorder="true" applyAlignment="true" applyProtection="true">
      <alignment horizontal="general" vertical="center" textRotation="0" wrapText="true" indent="0" shrinkToFit="false"/>
      <protection locked="true" hidden="false"/>
    </xf>
    <xf numFmtId="164" fontId="23" fillId="0" borderId="0" xfId="0" applyFont="true" applyBorder="false" applyAlignment="true" applyProtection="true">
      <alignment horizontal="general" vertical="center" textRotation="0" wrapText="false" indent="0" shrinkToFit="false"/>
      <protection locked="true" hidden="false"/>
    </xf>
    <xf numFmtId="164" fontId="0" fillId="0" borderId="30" xfId="0" applyFont="true" applyBorder="true" applyAlignment="true" applyProtection="true">
      <alignment horizontal="general" vertical="center" textRotation="0" wrapText="false" indent="0" shrinkToFit="false"/>
      <protection locked="true" hidden="false"/>
    </xf>
    <xf numFmtId="164" fontId="0" fillId="0" borderId="22" xfId="0" applyFont="false" applyBorder="true" applyAlignment="true" applyProtection="true">
      <alignment horizontal="general" vertical="center" textRotation="0" wrapText="false" indent="0" shrinkToFit="false"/>
      <protection locked="true" hidden="false"/>
    </xf>
    <xf numFmtId="164" fontId="0" fillId="9" borderId="21" xfId="0" applyFont="false" applyBorder="true" applyAlignment="true" applyProtection="true">
      <alignment horizontal="general" vertical="center" textRotation="0" wrapText="false" indent="0" shrinkToFit="false"/>
      <protection locked="false" hidden="false"/>
    </xf>
    <xf numFmtId="164" fontId="0" fillId="9" borderId="30" xfId="0" applyFont="false" applyBorder="true" applyAlignment="true" applyProtection="true">
      <alignment horizontal="general" vertical="center" textRotation="0" wrapText="false" indent="0" shrinkToFit="false"/>
      <protection locked="false" hidden="false"/>
    </xf>
    <xf numFmtId="164" fontId="0" fillId="5" borderId="22" xfId="0" applyFont="false" applyBorder="true" applyAlignment="true" applyProtection="true">
      <alignment horizontal="general" vertical="center" textRotation="0" wrapText="false" indent="0" shrinkToFit="false"/>
      <protection locked="true" hidden="false"/>
    </xf>
    <xf numFmtId="168" fontId="0" fillId="5" borderId="22" xfId="0" applyFont="false" applyBorder="true" applyAlignment="true" applyProtection="true">
      <alignment horizontal="general" vertical="center" textRotation="0" wrapText="false" indent="0" shrinkToFit="false"/>
      <protection locked="true" hidden="false"/>
    </xf>
    <xf numFmtId="166" fontId="0" fillId="5" borderId="22" xfId="0" applyFont="false" applyBorder="true" applyAlignment="true" applyProtection="true">
      <alignment horizontal="general" vertical="center" textRotation="0" wrapText="false" indent="0" shrinkToFit="false"/>
      <protection locked="true" hidden="false"/>
    </xf>
    <xf numFmtId="164" fontId="0" fillId="0" borderId="9" xfId="0" applyFont="true" applyBorder="true" applyAlignment="true" applyProtection="true">
      <alignment horizontal="general" vertical="center" textRotation="0" wrapText="false" indent="0" shrinkToFit="false"/>
      <protection locked="true" hidden="false"/>
    </xf>
    <xf numFmtId="164" fontId="0" fillId="0" borderId="11" xfId="0" applyFont="true" applyBorder="true" applyAlignment="true" applyProtection="true">
      <alignment horizontal="general" vertical="center" textRotation="0" wrapText="false" indent="0" shrinkToFit="false"/>
      <protection locked="true" hidden="false"/>
    </xf>
    <xf numFmtId="164" fontId="0" fillId="0" borderId="21" xfId="0" applyFont="true" applyBorder="true" applyAlignment="true" applyProtection="true">
      <alignment horizontal="left" vertical="center" textRotation="0" wrapText="false" indent="0" shrinkToFit="false"/>
      <protection locked="true" hidden="false"/>
    </xf>
    <xf numFmtId="167" fontId="0" fillId="0" borderId="0" xfId="0" applyFont="false" applyBorder="false" applyAlignment="true" applyProtection="true">
      <alignment horizontal="general" vertical="center" textRotation="0" wrapText="false" indent="0" shrinkToFit="false"/>
      <protection locked="true" hidden="false"/>
    </xf>
    <xf numFmtId="164" fontId="0" fillId="9" borderId="14" xfId="0" applyFont="false" applyBorder="true" applyAlignment="true" applyProtection="true">
      <alignment horizontal="general" vertical="center" textRotation="0" wrapText="false" indent="0" shrinkToFit="false"/>
      <protection locked="false" hidden="false"/>
    </xf>
    <xf numFmtId="164" fontId="0" fillId="9" borderId="16" xfId="0" applyFont="false" applyBorder="true" applyAlignment="true" applyProtection="true">
      <alignment horizontal="general" vertical="center" textRotation="0" wrapText="false" indent="0" shrinkToFit="false"/>
      <protection locked="false" hidden="false"/>
    </xf>
    <xf numFmtId="165" fontId="0" fillId="9" borderId="22" xfId="0" applyFont="false" applyBorder="true" applyAlignment="true" applyProtection="true">
      <alignment horizontal="general" vertical="center" textRotation="0" wrapText="false" indent="0" shrinkToFit="false"/>
      <protection locked="false" hidden="false"/>
    </xf>
    <xf numFmtId="164" fontId="0" fillId="0" borderId="14" xfId="0" applyFont="true" applyBorder="true" applyAlignment="true" applyProtection="true">
      <alignment horizontal="general" vertical="center" textRotation="0" wrapText="false" indent="0" shrinkToFit="false"/>
      <protection locked="true" hidden="false"/>
    </xf>
    <xf numFmtId="164" fontId="0" fillId="9" borderId="31" xfId="0" applyFont="false" applyBorder="true" applyAlignment="true" applyProtection="true">
      <alignment horizontal="general" vertical="center" textRotation="0" wrapText="false" indent="0" shrinkToFit="false"/>
      <protection locked="false" hidden="false"/>
    </xf>
    <xf numFmtId="168" fontId="0" fillId="9" borderId="22" xfId="0" applyFont="false" applyBorder="true" applyAlignment="true" applyProtection="true">
      <alignment horizontal="general" vertical="center" textRotation="0" wrapText="false" indent="0" shrinkToFit="false"/>
      <protection locked="false" hidden="false"/>
    </xf>
    <xf numFmtId="164" fontId="0" fillId="0" borderId="18" xfId="0" applyFont="false" applyBorder="true" applyAlignment="true" applyProtection="true">
      <alignment horizontal="general" vertical="center" textRotation="0" wrapText="false" indent="0" shrinkToFit="false"/>
      <protection locked="true" hidden="false"/>
    </xf>
    <xf numFmtId="164" fontId="0" fillId="5" borderId="20" xfId="0" applyFont="false" applyBorder="true" applyAlignment="true" applyProtection="true">
      <alignment horizontal="general" vertical="center" textRotation="0" wrapText="false" indent="0" shrinkToFit="false"/>
      <protection locked="true" hidden="false"/>
    </xf>
    <xf numFmtId="164" fontId="0" fillId="0" borderId="1" xfId="0" applyFont="true" applyBorder="true" applyAlignment="true" applyProtection="true">
      <alignment horizontal="left" vertical="center" textRotation="0" wrapText="false" indent="0" shrinkToFit="false"/>
      <protection locked="true" hidden="false"/>
    </xf>
    <xf numFmtId="164" fontId="0" fillId="0" borderId="32" xfId="0" applyFont="false" applyBorder="true" applyAlignment="true" applyProtection="true">
      <alignment horizontal="general" vertical="center" textRotation="0" wrapText="false" indent="0" shrinkToFit="false"/>
      <protection locked="true" hidden="false"/>
    </xf>
    <xf numFmtId="164" fontId="23" fillId="0" borderId="0" xfId="0" applyFont="true" applyBorder="true" applyAlignment="true" applyProtection="true">
      <alignment horizontal="left" vertical="center" textRotation="0" wrapText="false" indent="0" shrinkToFit="false"/>
      <protection locked="true" hidden="false"/>
    </xf>
    <xf numFmtId="164" fontId="0" fillId="9" borderId="22" xfId="0" applyFont="true" applyBorder="true" applyAlignment="true" applyProtection="true">
      <alignment horizontal="general" vertical="center" textRotation="0" wrapText="false" indent="0" shrinkToFit="false"/>
      <protection locked="false" hidden="false"/>
    </xf>
    <xf numFmtId="170" fontId="0" fillId="0" borderId="0" xfId="0" applyFont="false" applyBorder="false" applyAlignment="true" applyProtection="true">
      <alignment horizontal="general" vertical="center" textRotation="0" wrapText="false" indent="0" shrinkToFit="false"/>
      <protection locked="true" hidden="false"/>
    </xf>
    <xf numFmtId="168" fontId="0" fillId="0" borderId="0" xfId="0" applyFont="false" applyBorder="false" applyAlignment="true" applyProtection="true">
      <alignment horizontal="general" vertical="center" textRotation="0" wrapText="false" indent="0" shrinkToFit="false"/>
      <protection locked="true" hidden="false"/>
    </xf>
    <xf numFmtId="164" fontId="0" fillId="0" borderId="21" xfId="0" applyFont="false" applyBorder="true" applyAlignment="true" applyProtection="true">
      <alignment horizontal="general" vertical="center" textRotation="0" wrapText="false" indent="0" shrinkToFit="false"/>
      <protection locked="true" hidden="false"/>
    </xf>
    <xf numFmtId="170" fontId="0" fillId="5" borderId="22" xfId="0" applyFont="false" applyBorder="true" applyAlignment="true" applyProtection="true">
      <alignment horizontal="general" vertical="center" textRotation="0" wrapText="false" indent="0" shrinkToFit="false"/>
      <protection locked="true" hidden="false"/>
    </xf>
    <xf numFmtId="165" fontId="0" fillId="5" borderId="22" xfId="0" applyFont="false" applyBorder="true" applyAlignment="true" applyProtection="true">
      <alignment horizontal="general" vertical="center" textRotation="0" wrapText="false" indent="0" shrinkToFit="false"/>
      <protection locked="true" hidden="false"/>
    </xf>
    <xf numFmtId="164" fontId="9" fillId="0" borderId="1" xfId="0" applyFont="true" applyBorder="true" applyAlignment="true" applyProtection="true">
      <alignment horizontal="center" vertical="center" textRotation="0" wrapText="true" indent="0" shrinkToFit="false"/>
      <protection locked="true" hidden="false"/>
    </xf>
    <xf numFmtId="164" fontId="18" fillId="0" borderId="0" xfId="0" applyFont="true" applyBorder="false" applyAlignment="true" applyProtection="true">
      <alignment horizontal="right" vertical="center" textRotation="0" wrapText="false" indent="0" shrinkToFit="false"/>
      <protection locked="true" hidden="false"/>
    </xf>
    <xf numFmtId="165" fontId="18" fillId="0" borderId="0" xfId="0" applyFont="tru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4" fontId="17" fillId="0" borderId="0" xfId="0" applyFont="true" applyBorder="false" applyAlignment="true" applyProtection="false">
      <alignment horizontal="general" vertical="center" textRotation="0" wrapText="false" indent="0" shrinkToFit="false"/>
      <protection locked="true" hidden="false"/>
    </xf>
    <xf numFmtId="168" fontId="22" fillId="0" borderId="0" xfId="0" applyFont="true" applyBorder="false" applyAlignment="true" applyProtection="false">
      <alignment horizontal="general" vertical="center" textRotation="0" wrapText="false" indent="0" shrinkToFit="false"/>
      <protection locked="true" hidden="false"/>
    </xf>
    <xf numFmtId="172" fontId="22" fillId="0" borderId="0" xfId="0" applyFont="true" applyBorder="false" applyAlignment="true" applyProtection="false">
      <alignment horizontal="general" vertical="center" textRotation="0" wrapText="false" indent="0" shrinkToFit="false"/>
      <protection locked="true" hidden="false"/>
    </xf>
    <xf numFmtId="167" fontId="22" fillId="0" borderId="0" xfId="0" applyFont="true" applyBorder="false" applyAlignment="true" applyProtection="false">
      <alignment horizontal="general" vertical="center" textRotation="0" wrapText="false" indent="0" shrinkToFit="false"/>
      <protection locked="true" hidden="false"/>
    </xf>
    <xf numFmtId="168" fontId="24"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true" applyAlignment="true" applyProtection="false">
      <alignment horizontal="left" vertical="center" textRotation="0" wrapText="false" indent="0" shrinkToFit="false"/>
      <protection locked="true" hidden="false"/>
    </xf>
    <xf numFmtId="164" fontId="0" fillId="0" borderId="21" xfId="0" applyFont="false" applyBorder="true" applyAlignment="true" applyProtection="false">
      <alignment horizontal="general" vertical="center" textRotation="0" wrapText="false" indent="0" shrinkToFit="false"/>
      <protection locked="true" hidden="false"/>
    </xf>
    <xf numFmtId="172" fontId="24" fillId="0" borderId="0" xfId="0" applyFont="true" applyBorder="false" applyAlignment="true" applyProtection="false">
      <alignment horizontal="general" vertical="center" textRotation="0" wrapText="false" indent="0" shrinkToFit="false"/>
      <protection locked="true" hidden="false"/>
    </xf>
    <xf numFmtId="168" fontId="0" fillId="0" borderId="0" xfId="0" applyFont="false" applyBorder="false" applyAlignment="true" applyProtection="false">
      <alignment horizontal="general" vertical="center" textRotation="0" wrapText="false" indent="0" shrinkToFit="false"/>
      <protection locked="true" hidden="false"/>
    </xf>
    <xf numFmtId="170" fontId="22" fillId="0" borderId="0" xfId="0" applyFont="true" applyBorder="false" applyAlignment="true" applyProtection="false">
      <alignment horizontal="general" vertical="center" textRotation="0" wrapText="false" indent="0" shrinkToFit="false"/>
      <protection locked="true" hidden="false"/>
    </xf>
    <xf numFmtId="173" fontId="22" fillId="0" borderId="0" xfId="0" applyFont="true" applyBorder="false" applyAlignment="true" applyProtection="false">
      <alignment horizontal="general" vertical="center" textRotation="0" wrapText="false" indent="0" shrinkToFit="false"/>
      <protection locked="true" hidden="false"/>
    </xf>
    <xf numFmtId="164" fontId="24" fillId="0" borderId="0" xfId="0" applyFont="true" applyBorder="false" applyAlignment="true" applyProtection="false">
      <alignment horizontal="general" vertical="center" textRotation="0" wrapText="false" indent="0" shrinkToFit="false"/>
      <protection locked="true" hidden="false"/>
    </xf>
    <xf numFmtId="173" fontId="0" fillId="0" borderId="0" xfId="0" applyFont="false" applyBorder="false" applyAlignment="true" applyProtection="false">
      <alignment horizontal="general" vertical="center" textRotation="0" wrapText="false" indent="0" shrinkToFit="false"/>
      <protection locked="true" hidden="false"/>
    </xf>
    <xf numFmtId="174" fontId="0" fillId="9" borderId="22" xfId="19" applyFont="true" applyBorder="true" applyAlignment="true" applyProtection="true">
      <alignment horizontal="general" vertical="center" textRotation="0" wrapText="false" indent="0" shrinkToFit="false"/>
      <protection locked="false" hidden="false"/>
    </xf>
    <xf numFmtId="175" fontId="0" fillId="9" borderId="22" xfId="0" applyFont="false" applyBorder="true" applyAlignment="true" applyProtection="true">
      <alignment horizontal="general" vertical="center" textRotation="0" wrapText="false" indent="0" shrinkToFit="false"/>
      <protection locked="false" hidden="false"/>
    </xf>
    <xf numFmtId="176" fontId="0" fillId="9" borderId="22" xfId="0" applyFont="false" applyBorder="true" applyAlignment="true" applyProtection="true">
      <alignment horizontal="general" vertical="center" textRotation="0" wrapText="false" indent="0" shrinkToFit="false"/>
      <protection locked="false" hidden="false"/>
    </xf>
    <xf numFmtId="177" fontId="0" fillId="9" borderId="22" xfId="0" applyFont="false" applyBorder="true" applyAlignment="true" applyProtection="true">
      <alignment horizontal="general" vertical="center" textRotation="0" wrapText="false" indent="0" shrinkToFit="false"/>
      <protection locked="false" hidden="false"/>
    </xf>
    <xf numFmtId="170" fontId="0" fillId="0" borderId="0" xfId="0" applyFont="false" applyBorder="false" applyAlignment="true" applyProtection="false">
      <alignment horizontal="general" vertical="center" textRotation="0" wrapText="false" indent="0" shrinkToFit="false"/>
      <protection locked="true" hidden="false"/>
    </xf>
    <xf numFmtId="164" fontId="18" fillId="0" borderId="0" xfId="0" applyFont="true" applyBorder="false" applyAlignment="true" applyProtection="false">
      <alignment horizontal="general" vertical="center" textRotation="0" wrapText="false" indent="0" shrinkToFit="false"/>
      <protection locked="true" hidden="false"/>
    </xf>
    <xf numFmtId="168" fontId="0" fillId="5" borderId="22" xfId="0" applyFont="false" applyBorder="true" applyAlignment="true" applyProtection="false">
      <alignment horizontal="general" vertical="center" textRotation="0" wrapText="false" indent="0" shrinkToFit="false"/>
      <protection locked="true" hidden="false"/>
    </xf>
    <xf numFmtId="178" fontId="0" fillId="5" borderId="22" xfId="0" applyFont="false" applyBorder="true" applyAlignment="true" applyProtection="false">
      <alignment horizontal="right" vertical="center" textRotation="0" wrapText="false" indent="0" shrinkToFit="false"/>
      <protection locked="true" hidden="false"/>
    </xf>
    <xf numFmtId="174" fontId="0" fillId="5" borderId="22" xfId="19" applyFont="true" applyBorder="true" applyAlignment="true" applyProtection="true">
      <alignment horizontal="right" vertical="center" textRotation="0" wrapText="false" indent="0" shrinkToFit="false"/>
      <protection locked="true" hidden="false"/>
    </xf>
    <xf numFmtId="176" fontId="0" fillId="5" borderId="22" xfId="0" applyFont="false" applyBorder="true" applyAlignment="true" applyProtection="false">
      <alignment horizontal="general" vertical="center" textRotation="0" wrapText="false" indent="0" shrinkToFit="false"/>
      <protection locked="true" hidden="false"/>
    </xf>
    <xf numFmtId="177" fontId="0" fillId="5" borderId="22" xfId="0" applyFont="false" applyBorder="true" applyAlignment="true" applyProtection="false">
      <alignment horizontal="right" vertical="center" textRotation="0" wrapText="false" indent="0" shrinkToFit="false"/>
      <protection locked="true" hidden="false"/>
    </xf>
    <xf numFmtId="164" fontId="25" fillId="0" borderId="33"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27" fillId="0" borderId="0" xfId="0" applyFont="true" applyBorder="true" applyAlignment="true" applyProtection="false">
      <alignment horizontal="center" vertical="center" textRotation="0" wrapText="false" indent="0" shrinkToFit="false"/>
      <protection locked="true" hidden="false"/>
    </xf>
    <xf numFmtId="164" fontId="27" fillId="0" borderId="0" xfId="0" applyFont="true" applyBorder="true" applyAlignment="true" applyProtection="false">
      <alignment horizontal="general" vertical="center" textRotation="0" wrapText="false" indent="0" shrinkToFit="false"/>
      <protection locked="true" hidden="false"/>
    </xf>
    <xf numFmtId="164" fontId="0" fillId="9" borderId="22" xfId="0" applyFont="true" applyBorder="true" applyAlignment="true" applyProtection="true">
      <alignment horizontal="center" vertical="center" textRotation="0" wrapText="false" indent="0" shrinkToFit="false"/>
      <protection locked="false" hidden="false"/>
    </xf>
    <xf numFmtId="164" fontId="0" fillId="0" borderId="0" xfId="0" applyFont="true" applyBorder="true" applyAlignment="true" applyProtection="false">
      <alignment horizontal="general" vertical="center" textRotation="0" wrapText="false" indent="0" shrinkToFit="false"/>
      <protection locked="true" hidden="false"/>
    </xf>
    <xf numFmtId="164" fontId="18" fillId="0" borderId="0" xfId="0" applyFont="true" applyBorder="true" applyAlignment="true" applyProtection="false">
      <alignment horizontal="general" vertical="center" textRotation="0" wrapText="false" indent="0" shrinkToFit="false"/>
      <protection locked="true" hidden="false"/>
    </xf>
    <xf numFmtId="164" fontId="10" fillId="0" borderId="1" xfId="0" applyFont="true" applyBorder="true" applyAlignment="true" applyProtection="true">
      <alignment horizontal="left" vertical="center" textRotation="0" wrapText="false" indent="0" shrinkToFit="false"/>
      <protection locked="true" hidden="false"/>
    </xf>
    <xf numFmtId="167" fontId="0" fillId="0" borderId="0" xfId="0" applyFont="true" applyBorder="true" applyAlignment="true" applyProtection="false">
      <alignment horizontal="general" vertical="center" textRotation="0" wrapText="false" indent="0" shrinkToFit="false"/>
      <protection locked="true" hidden="false"/>
    </xf>
    <xf numFmtId="164" fontId="0" fillId="0" borderId="1" xfId="0" applyFont="false" applyBorder="true" applyAlignment="true" applyProtection="true">
      <alignment horizontal="general" vertical="center" textRotation="0" wrapText="false" indent="0" shrinkToFit="false"/>
      <protection locked="true" hidden="false"/>
    </xf>
    <xf numFmtId="167" fontId="0" fillId="0" borderId="1" xfId="0" applyFont="false" applyBorder="tru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6" fontId="0" fillId="9" borderId="22" xfId="0" applyFont="false" applyBorder="true" applyAlignment="true" applyProtection="true">
      <alignment horizontal="general" vertical="center" textRotation="0" wrapText="false" indent="0" shrinkToFit="false"/>
      <protection locked="false" hidden="false"/>
    </xf>
    <xf numFmtId="164" fontId="9" fillId="0" borderId="34" xfId="0" applyFont="true" applyBorder="true" applyAlignment="true" applyProtection="true">
      <alignment horizontal="center" vertical="center" textRotation="0" wrapText="false" indent="0" shrinkToFit="false"/>
      <protection locked="true" hidden="false"/>
    </xf>
    <xf numFmtId="164" fontId="9" fillId="0" borderId="35" xfId="0" applyFont="true" applyBorder="true" applyAlignment="true" applyProtection="true">
      <alignment horizontal="center" vertical="center" textRotation="0" wrapText="false" indent="0" shrinkToFit="false"/>
      <protection locked="true" hidden="false"/>
    </xf>
    <xf numFmtId="170" fontId="0" fillId="9" borderId="17" xfId="0" applyFont="false" applyBorder="true" applyAlignment="true" applyProtection="true">
      <alignment horizontal="general" vertical="center" textRotation="0" wrapText="false" indent="0" shrinkToFit="false"/>
      <protection locked="false" hidden="false"/>
    </xf>
    <xf numFmtId="164" fontId="0" fillId="9" borderId="17" xfId="0" applyFont="false" applyBorder="true" applyAlignment="true" applyProtection="true">
      <alignment horizontal="general" vertical="center" textRotation="0" wrapText="false" indent="0" shrinkToFit="false"/>
      <protection locked="false" hidden="false"/>
    </xf>
    <xf numFmtId="164" fontId="0" fillId="9" borderId="23" xfId="0" applyFont="false" applyBorder="true" applyAlignment="true" applyProtection="true">
      <alignment horizontal="general" vertical="center" textRotation="0" wrapText="false" indent="0" shrinkToFit="false"/>
      <protection locked="false" hidden="false"/>
    </xf>
    <xf numFmtId="164" fontId="0" fillId="9" borderId="22" xfId="0" applyFont="true" applyBorder="true" applyAlignment="true" applyProtection="true">
      <alignment horizontal="left" vertical="center" textRotation="0" wrapText="false" indent="0" shrinkToFit="false"/>
      <protection locked="false" hidden="false"/>
    </xf>
    <xf numFmtId="165" fontId="0" fillId="9" borderId="23" xfId="0" applyFont="false" applyBorder="true" applyAlignment="true" applyProtection="true">
      <alignment horizontal="general" vertical="center" textRotation="0" wrapText="false" indent="0" shrinkToFit="false"/>
      <protection locked="fals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4" fontId="0" fillId="9" borderId="1" xfId="0" applyFont="true" applyBorder="true" applyAlignment="true" applyProtection="true">
      <alignment horizontal="general" vertical="center" textRotation="0" wrapText="false" indent="0" shrinkToFit="false"/>
      <protection locked="false" hidden="false"/>
    </xf>
    <xf numFmtId="164" fontId="18" fillId="0" borderId="36" xfId="0" applyFont="true" applyBorder="true" applyAlignment="true" applyProtection="true">
      <alignment horizontal="general" vertical="center" textRotation="0" wrapText="false" indent="0" shrinkToFit="false"/>
      <protection locked="false" hidden="false"/>
    </xf>
    <xf numFmtId="164" fontId="18" fillId="0" borderId="37" xfId="0" applyFont="true" applyBorder="true" applyAlignment="true" applyProtection="true">
      <alignment horizontal="general" vertical="center" textRotation="0" wrapText="false" indent="0" shrinkToFit="false"/>
      <protection locked="true" hidden="false"/>
    </xf>
    <xf numFmtId="164" fontId="18" fillId="0" borderId="37" xfId="0" applyFont="true" applyBorder="true" applyAlignment="true" applyProtection="true">
      <alignment horizontal="general" vertical="center" textRotation="0" wrapText="false" indent="0" shrinkToFit="false"/>
      <protection locked="false" hidden="false"/>
    </xf>
    <xf numFmtId="164" fontId="18" fillId="0" borderId="38" xfId="0" applyFont="true" applyBorder="true" applyAlignment="true" applyProtection="true">
      <alignment horizontal="general" vertical="center" textRotation="0" wrapText="false" indent="0" shrinkToFit="false"/>
      <protection locked="true" hidden="false"/>
    </xf>
    <xf numFmtId="164" fontId="22" fillId="0" borderId="1" xfId="0" applyFont="true" applyBorder="true" applyAlignment="true" applyProtection="true">
      <alignment horizontal="center" vertical="center" textRotation="0" wrapText="true" indent="0" shrinkToFit="false"/>
      <protection locked="true" hidden="false"/>
    </xf>
    <xf numFmtId="176" fontId="0" fillId="5" borderId="22" xfId="0" applyFont="false" applyBorder="true" applyAlignment="true" applyProtection="true">
      <alignment horizontal="general" vertical="center" textRotation="0" wrapText="false" indent="0" shrinkToFit="false"/>
      <protection locked="true" hidden="false"/>
    </xf>
    <xf numFmtId="164" fontId="0" fillId="0" borderId="0" xfId="0" applyFont="true" applyBorder="true" applyAlignment="true" applyProtection="true">
      <alignment horizontal="left" vertical="center" textRotation="0" wrapText="true" indent="0" shrinkToFit="false"/>
      <protection locked="true" hidden="false"/>
    </xf>
    <xf numFmtId="168" fontId="18" fillId="0" borderId="0" xfId="0" applyFont="true" applyBorder="false" applyAlignment="true" applyProtection="true">
      <alignment horizontal="general" vertical="center" textRotation="0" wrapText="false" indent="0" shrinkToFit="false"/>
      <protection locked="true" hidden="false"/>
    </xf>
    <xf numFmtId="164" fontId="0" fillId="0" borderId="0" xfId="24" applyFont="true" applyBorder="false" applyAlignment="false" applyProtection="false">
      <alignment horizontal="general" vertical="bottom" textRotation="0" wrapText="false" indent="0" shrinkToFit="false"/>
      <protection locked="true" hidden="false"/>
    </xf>
    <xf numFmtId="164" fontId="0" fillId="0" borderId="0" xfId="24" applyFont="true" applyBorder="false" applyAlignment="fals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center" textRotation="0" wrapText="false" indent="0" shrinkToFit="false"/>
      <protection locked="true" hidden="false"/>
    </xf>
    <xf numFmtId="164" fontId="23" fillId="0" borderId="2" xfId="24" applyFont="true" applyBorder="true" applyAlignment="true" applyProtection="true">
      <alignment horizontal="left" vertical="center" textRotation="0" wrapText="false" indent="0" shrinkToFit="false"/>
      <protection locked="true" hidden="false"/>
    </xf>
    <xf numFmtId="164" fontId="0" fillId="0" borderId="21" xfId="24" applyFont="true" applyBorder="true" applyAlignment="false" applyProtection="true">
      <alignment horizontal="general" vertical="bottom" textRotation="0" wrapText="false" indent="0" shrinkToFit="false"/>
      <protection locked="true" hidden="false"/>
    </xf>
    <xf numFmtId="164" fontId="0" fillId="10" borderId="22" xfId="24" applyFont="true" applyBorder="true" applyAlignment="false" applyProtection="true">
      <alignment horizontal="general" vertical="bottom" textRotation="0" wrapText="false" indent="0" shrinkToFit="false"/>
      <protection locked="false" hidden="false"/>
    </xf>
    <xf numFmtId="164" fontId="0" fillId="0" borderId="1" xfId="24" applyFont="true" applyBorder="true" applyAlignment="true" applyProtection="true">
      <alignment horizontal="center" vertical="center" textRotation="0" wrapText="true" indent="0" shrinkToFit="false"/>
      <protection locked="true" hidden="false"/>
    </xf>
    <xf numFmtId="164" fontId="0" fillId="0" borderId="39" xfId="24" applyFont="true" applyBorder="true" applyAlignment="false" applyProtection="true">
      <alignment horizontal="general" vertical="bottom" textRotation="0" wrapText="false" indent="0" shrinkToFit="false"/>
      <protection locked="true" hidden="false"/>
    </xf>
    <xf numFmtId="164" fontId="0" fillId="0" borderId="40" xfId="24" applyFont="true" applyBorder="true" applyAlignment="false" applyProtection="true">
      <alignment horizontal="general" vertical="bottom" textRotation="0" wrapText="false" indent="0" shrinkToFit="false"/>
      <protection locked="true" hidden="false"/>
    </xf>
    <xf numFmtId="164" fontId="18" fillId="0" borderId="0" xfId="24" applyFont="true" applyBorder="false" applyAlignment="false" applyProtection="true">
      <alignment horizontal="general" vertical="bottom" textRotation="0" wrapText="false" indent="0" shrinkToFit="false"/>
      <protection locked="true" hidden="false"/>
    </xf>
    <xf numFmtId="164" fontId="0" fillId="0" borderId="41" xfId="24" applyFont="true" applyBorder="true" applyAlignment="true" applyProtection="true">
      <alignment horizontal="center" vertical="bottom" textRotation="0" wrapText="false" indent="0" shrinkToFit="false"/>
      <protection locked="true" hidden="false"/>
    </xf>
    <xf numFmtId="164" fontId="0" fillId="0" borderId="42" xfId="24" applyFont="true" applyBorder="true" applyAlignment="false" applyProtection="true">
      <alignment horizontal="general" vertical="bottom" textRotation="0" wrapText="false" indent="0" shrinkToFit="false"/>
      <protection locked="true" hidden="false"/>
    </xf>
    <xf numFmtId="179" fontId="0" fillId="10" borderId="22" xfId="24" applyFont="true" applyBorder="true" applyAlignment="false" applyProtection="true">
      <alignment horizontal="general" vertical="bottom" textRotation="0" wrapText="false" indent="0" shrinkToFit="false"/>
      <protection locked="false" hidden="false"/>
    </xf>
    <xf numFmtId="164" fontId="24" fillId="0" borderId="0" xfId="24" applyFont="true" applyBorder="false" applyAlignment="true" applyProtection="true">
      <alignment horizontal="general" vertical="center" textRotation="0" wrapText="true" indent="0" shrinkToFit="false"/>
      <protection locked="true" hidden="false"/>
    </xf>
    <xf numFmtId="180" fontId="0" fillId="11" borderId="22" xfId="24" applyFont="true" applyBorder="true" applyAlignment="false" applyProtection="true">
      <alignment horizontal="general" vertical="bottom" textRotation="0" wrapText="false" indent="0" shrinkToFit="false"/>
      <protection locked="true" hidden="false"/>
    </xf>
    <xf numFmtId="164" fontId="24" fillId="0" borderId="43" xfId="24" applyFont="true" applyBorder="true" applyAlignment="true" applyProtection="true">
      <alignment horizontal="center" vertical="center" textRotation="0" wrapText="true" indent="0" shrinkToFit="false"/>
      <protection locked="true" hidden="false"/>
    </xf>
    <xf numFmtId="165" fontId="0" fillId="11" borderId="22" xfId="24" applyFont="true" applyBorder="true" applyAlignment="false" applyProtection="true">
      <alignment horizontal="general" vertical="bottom" textRotation="0" wrapText="false" indent="0" shrinkToFit="false"/>
      <protection locked="true" hidden="false"/>
    </xf>
    <xf numFmtId="168" fontId="0" fillId="11" borderId="22" xfId="24" applyFont="true" applyBorder="true" applyAlignment="false" applyProtection="true">
      <alignment horizontal="general" vertical="bottom" textRotation="0" wrapText="false" indent="0" shrinkToFit="false"/>
      <protection locked="true" hidden="false"/>
    </xf>
    <xf numFmtId="164" fontId="4" fillId="0" borderId="0" xfId="24" applyFont="true" applyBorder="true" applyAlignment="true" applyProtection="true">
      <alignment horizontal="general" vertical="bottom" textRotation="0" wrapText="false" indent="0" shrinkToFit="false"/>
      <protection locked="true" hidden="false"/>
    </xf>
    <xf numFmtId="170" fontId="0" fillId="5" borderId="22" xfId="24" applyFont="true" applyBorder="true" applyAlignment="true" applyProtection="true">
      <alignment horizontal="center" vertical="bottom" textRotation="0" wrapText="false" indent="0" shrinkToFit="false"/>
      <protection locked="true" hidden="false"/>
    </xf>
    <xf numFmtId="181" fontId="0" fillId="11" borderId="22" xfId="24" applyFont="true" applyBorder="true" applyAlignment="false" applyProtection="true">
      <alignment horizontal="general" vertical="bottom" textRotation="0" wrapText="false" indent="0" shrinkToFit="false"/>
      <protection locked="true" hidden="false"/>
    </xf>
    <xf numFmtId="167" fontId="0" fillId="11" borderId="22" xfId="24" applyFont="true" applyBorder="true" applyAlignment="false" applyProtection="true">
      <alignment horizontal="general" vertical="bottom" textRotation="0" wrapText="false" indent="0" shrinkToFit="false"/>
      <protection locked="true" hidden="false"/>
    </xf>
    <xf numFmtId="164" fontId="0" fillId="0" borderId="44" xfId="24" applyFont="true" applyBorder="true" applyAlignment="true" applyProtection="true">
      <alignment horizontal="center" vertical="bottom" textRotation="0" wrapText="false" indent="0" shrinkToFit="false"/>
      <protection locked="true" hidden="false"/>
    </xf>
    <xf numFmtId="164" fontId="0" fillId="0" borderId="45" xfId="24" applyFont="true" applyBorder="true" applyAlignment="false" applyProtection="true">
      <alignment horizontal="general" vertical="bottom" textRotation="0" wrapText="false" indent="0" shrinkToFit="false"/>
      <protection locked="true" hidden="false"/>
    </xf>
    <xf numFmtId="164" fontId="0" fillId="0" borderId="0" xfId="0" applyFont="false" applyBorder="true" applyAlignment="true" applyProtection="true">
      <alignment horizontal="general" vertical="center" textRotation="0" wrapText="false" indent="0" shrinkToFit="false"/>
      <protection locked="true" hidden="false"/>
    </xf>
    <xf numFmtId="164" fontId="10" fillId="0" borderId="46" xfId="0" applyFont="true" applyBorder="true" applyAlignment="true" applyProtection="true">
      <alignment horizontal="center" vertical="center" textRotation="0" wrapText="false" indent="0" shrinkToFit="false"/>
      <protection locked="true" hidden="false"/>
    </xf>
    <xf numFmtId="164" fontId="10" fillId="0" borderId="47" xfId="0" applyFont="true" applyBorder="true" applyAlignment="true" applyProtection="true">
      <alignment horizontal="center" vertical="center" textRotation="0" wrapText="false" indent="0" shrinkToFit="false"/>
      <protection locked="true" hidden="false"/>
    </xf>
    <xf numFmtId="164" fontId="10" fillId="0" borderId="48" xfId="0" applyFont="true" applyBorder="true" applyAlignment="true" applyProtection="true">
      <alignment horizontal="center" vertical="center" textRotation="0" wrapText="false" indent="0" shrinkToFit="false"/>
      <protection locked="true" hidden="false"/>
    </xf>
    <xf numFmtId="164" fontId="10" fillId="0" borderId="49" xfId="0" applyFont="true" applyBorder="true" applyAlignment="true" applyProtection="true">
      <alignment horizontal="center" vertical="center" textRotation="0" wrapText="false" indent="0" shrinkToFit="false"/>
      <protection locked="true" hidden="false"/>
    </xf>
    <xf numFmtId="164" fontId="10" fillId="0" borderId="30" xfId="0" applyFont="true" applyBorder="true" applyAlignment="true" applyProtection="true">
      <alignment horizontal="center" vertical="center" textRotation="0" wrapText="false" indent="0" shrinkToFit="false"/>
      <protection locked="true" hidden="false"/>
    </xf>
    <xf numFmtId="164" fontId="10" fillId="0" borderId="22" xfId="0" applyFont="true" applyBorder="true" applyAlignment="true" applyProtection="true">
      <alignment horizontal="center" vertical="center" textRotation="0" wrapText="false" indent="0" shrinkToFit="false"/>
      <protection locked="true" hidden="false"/>
    </xf>
    <xf numFmtId="164" fontId="10" fillId="0" borderId="21" xfId="0" applyFont="true" applyBorder="true" applyAlignment="true" applyProtection="true">
      <alignment horizontal="center" vertical="center" textRotation="0" wrapText="false" indent="0" shrinkToFit="false"/>
      <protection locked="true" hidden="false"/>
    </xf>
    <xf numFmtId="164" fontId="10" fillId="0" borderId="21" xfId="0" applyFont="true" applyBorder="true" applyAlignment="true" applyProtection="true">
      <alignment horizontal="general" vertical="center" textRotation="0" wrapText="false" indent="0" shrinkToFit="false"/>
      <protection locked="false" hidden="false"/>
    </xf>
    <xf numFmtId="164" fontId="0" fillId="0" borderId="30" xfId="0" applyFont="false" applyBorder="true" applyAlignment="true" applyProtection="true">
      <alignment horizontal="center" vertical="center" textRotation="0" wrapText="false" indent="0" shrinkToFit="false"/>
      <protection locked="false" hidden="false"/>
    </xf>
    <xf numFmtId="168" fontId="0" fillId="0" borderId="22" xfId="0" applyFont="false" applyBorder="true" applyAlignment="true" applyProtection="true">
      <alignment horizontal="center" vertical="center" textRotation="0" wrapText="false" indent="0" shrinkToFit="false"/>
      <protection locked="true" hidden="false"/>
    </xf>
    <xf numFmtId="164" fontId="0" fillId="0" borderId="30" xfId="0" applyFont="false" applyBorder="true" applyAlignment="true" applyProtection="true">
      <alignment horizontal="general" vertical="center" textRotation="0" wrapText="false" indent="0" shrinkToFit="false"/>
      <protection locked="false" hidden="false"/>
    </xf>
    <xf numFmtId="164" fontId="0" fillId="0" borderId="22" xfId="0" applyFont="false" applyBorder="true" applyAlignment="true" applyProtection="true">
      <alignment horizontal="general" vertical="center" textRotation="0" wrapText="false" indent="0" shrinkToFit="false"/>
      <protection locked="false" hidden="false"/>
    </xf>
    <xf numFmtId="164" fontId="10" fillId="0" borderId="32" xfId="0" applyFont="true" applyBorder="true" applyAlignment="true" applyProtection="true">
      <alignment horizontal="general" vertical="center" textRotation="0" wrapText="false" indent="0" shrinkToFit="false"/>
      <protection locked="false" hidden="false"/>
    </xf>
    <xf numFmtId="164" fontId="0" fillId="0" borderId="22" xfId="0" applyFont="false" applyBorder="true" applyAlignment="true" applyProtection="true">
      <alignment horizontal="center" vertical="center" textRotation="0" wrapText="false" indent="0" shrinkToFit="false"/>
      <protection locked="false" hidden="false"/>
    </xf>
  </cellXfs>
  <cellStyles count="11">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Bad 2" xfId="21" builtinId="53" customBuiltin="true"/>
    <cellStyle name="Neutral 2" xfId="22" builtinId="53" customBuiltin="true"/>
    <cellStyle name="Normal 2" xfId="23" builtinId="53" customBuiltin="true"/>
    <cellStyle name="Normal 3" xfId="24" builtinId="53" customBuiltin="true"/>
    <cellStyle name="*unknown*" xfId="20" builtinId="8" customBuiltin="false"/>
  </cellStyles>
  <dxfs count="90">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FFFFFF"/>
      </font>
      <fill>
        <patternFill>
          <bgColor rgb="FFFFFFFF"/>
        </patternFill>
      </fill>
      <border diagonalUp="false" diagonalDown="false">
        <left style="thin"/>
        <right style="thin"/>
        <top style="thin"/>
        <bottom style="thin"/>
        <diagonal/>
      </border>
    </dxf>
    <dxf>
      <font>
        <color rgb="FFFFFFFF"/>
      </font>
      <fill>
        <patternFill>
          <bgColor rgb="FFFFFFFF"/>
        </patternFill>
      </fill>
      <border diagonalUp="false" diagonalDown="false">
        <left style="thin"/>
        <right style="thin"/>
        <top style="thin"/>
        <bottom style="thin"/>
        <diagonal/>
      </border>
    </dxf>
    <dxf>
      <font>
        <color rgb="FFFFFFFF"/>
      </font>
      <fill>
        <patternFill>
          <bgColor rgb="FFFFFFFF"/>
        </patternFill>
      </fill>
      <border diagonalUp="false" diagonalDown="false">
        <left style="thin"/>
        <right style="thin"/>
        <top style="thin"/>
        <bottom style="thin"/>
        <diagon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FFFFFF"/>
      </font>
      <fill>
        <patternFill>
          <bgColor rgb="FFFFFFFF"/>
        </patternFill>
      </fill>
      <border diagonalUp="false" diagonalDown="false">
        <left style="thin"/>
        <right style="thin"/>
        <top/>
        <bottom style="thin"/>
        <diagonal/>
      </border>
    </dxf>
    <dxf>
      <font>
        <color rgb="FFFFFFFF"/>
      </font>
      <fill>
        <patternFill>
          <bgColor rgb="FFFFFFFF"/>
        </patternFill>
      </fill>
      <border diagonalUp="false" diagonalDown="false">
        <left style="thin"/>
        <right style="thin"/>
        <top/>
        <bottom style="thin"/>
        <diagon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FFFFFF"/>
      </font>
      <border diagonalUp="false" diagonalDown="false">
        <left/>
        <right/>
        <top/>
        <bottom style="thin"/>
        <diagon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ill>
        <patternFill>
          <bgColor rgb="FFE60000"/>
        </patternFill>
      </fill>
    </dxf>
    <dxf>
      <fill>
        <patternFill>
          <bgColor rgb="FF04A000"/>
        </patternFill>
      </fill>
    </dxf>
    <dxf>
      <font>
        <color rgb="FFFFFFFF"/>
      </font>
      <fill>
        <patternFill>
          <bgColor rgb="FFFFFFFF"/>
        </patternFill>
      </fill>
      <border diagonalUp="false" diagonalDown="false">
        <left style="thin"/>
        <right style="thin"/>
        <top style="thin"/>
        <bottom style="thin"/>
        <diagonal/>
      </border>
    </dxf>
    <dxf>
      <font>
        <color rgb="FFFFFFFF"/>
      </font>
      <fill>
        <patternFill>
          <bgColor rgb="FFFFFFFF"/>
        </patternFill>
      </fill>
      <border diagonalUp="false" diagonalDown="false">
        <left style="thin"/>
        <right style="thin"/>
        <top style="thin"/>
        <bottom style="thin"/>
        <diagon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ill>
        <patternFill>
          <bgColor rgb="FFE18F8F"/>
        </patternFill>
      </fill>
    </dxf>
    <dxf>
      <fill>
        <patternFill>
          <bgColor rgb="FF97D997"/>
        </patternFill>
      </fill>
    </dxf>
    <dxf>
      <fill>
        <patternFill>
          <bgColor rgb="FFE18F8F"/>
        </patternFill>
      </fill>
    </dxf>
    <dxf>
      <fill>
        <patternFill>
          <bgColor rgb="FF97D997"/>
        </patternFill>
      </fill>
    </dxf>
  </dxfs>
  <colors>
    <indexedColors>
      <rgbColor rgb="FF000000"/>
      <rgbColor rgb="FFFFFFFF"/>
      <rgbColor rgb="FFFF0000"/>
      <rgbColor rgb="FF00FF00"/>
      <rgbColor rgb="FF0000FF"/>
      <rgbColor rgb="FFFFFF00"/>
      <rgbColor rgb="FFFF00FF"/>
      <rgbColor rgb="FF00FFFF"/>
      <rgbColor rgb="FF800000"/>
      <rgbColor rgb="FF04A000"/>
      <rgbColor rgb="FF000080"/>
      <rgbColor rgb="FF9C6500"/>
      <rgbColor rgb="FFE60000"/>
      <rgbColor rgb="FF008080"/>
      <rgbColor rgb="FFBFBFBF"/>
      <rgbColor rgb="FF808080"/>
      <rgbColor rgb="FF8DB3E2"/>
      <rgbColor rgb="FFBE4B48"/>
      <rgbColor rgb="FFFFFFCC"/>
      <rgbColor rgb="FF97D997"/>
      <rgbColor rgb="FF660066"/>
      <rgbColor rgb="FFE18F8F"/>
      <rgbColor rgb="FF0066CC"/>
      <rgbColor rgb="FFD8D8D8"/>
      <rgbColor rgb="FF000080"/>
      <rgbColor rgb="FFFF00FF"/>
      <rgbColor rgb="FFFFFF00"/>
      <rgbColor rgb="FF00FFFF"/>
      <rgbColor rgb="FF800080"/>
      <rgbColor rgb="FF980000"/>
      <rgbColor rgb="FF008080"/>
      <rgbColor rgb="FF0000FF"/>
      <rgbColor rgb="FF00CCFF"/>
      <rgbColor rgb="FFCCFFFF"/>
      <rgbColor rgb="FFD9D9D9"/>
      <rgbColor rgb="FFFFEB9C"/>
      <rgbColor rgb="FF9FC5E8"/>
      <rgbColor rgb="FFFF99CC"/>
      <rgbColor rgb="FFA5B5D3"/>
      <rgbColor rgb="FFFFCC66"/>
      <rgbColor rgb="FF4A7EBB"/>
      <rgbColor rgb="FF8EB4E3"/>
      <rgbColor rgb="FF98B855"/>
      <rgbColor rgb="FFFFCC00"/>
      <rgbColor rgb="FFFF9900"/>
      <rgbColor rgb="FFFF5050"/>
      <rgbColor rgb="FF7D5FA0"/>
      <rgbColor rgb="FF878787"/>
      <rgbColor rgb="FF003366"/>
      <rgbColor rgb="FF7F7F7F"/>
      <rgbColor rgb="FF003300"/>
      <rgbColor rgb="FF663300"/>
      <rgbColor rgb="FFC00000"/>
      <rgbColor rgb="FFC0504D"/>
      <rgbColor rgb="FF333399"/>
      <rgbColor rgb="FF595959"/>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354794763963751"/>
          <c:y val="0.0445068403130414"/>
          <c:w val="0.933957235088551"/>
          <c:h val="0.904773283947667"/>
        </c:manualLayout>
      </c:layout>
      <c:scatterChart>
        <c:scatterStyle val="line"/>
        <c:varyColors val="0"/>
        <c:ser>
          <c:idx val="0"/>
          <c:order val="0"/>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1</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0</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
          <c:order val="1"/>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3</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2</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
          <c:order val="2"/>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5</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4</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3"/>
          <c:order val="3"/>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7</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6</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4"/>
          <c:order val="4"/>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9</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8</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5"/>
          <c:order val="5"/>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11</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10</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6"/>
          <c:order val="6"/>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13</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12</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7"/>
          <c:order val="7"/>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15</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14</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8"/>
          <c:order val="8"/>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17</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16</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9"/>
          <c:order val="9"/>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19</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18</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0"/>
          <c:order val="10"/>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21</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20</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1"/>
          <c:order val="11"/>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23</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22</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2"/>
          <c:order val="12"/>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25</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24</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3"/>
          <c:order val="13"/>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27</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26</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4"/>
          <c:order val="14"/>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29</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28</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5"/>
          <c:order val="15"/>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31</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30</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6"/>
          <c:order val="16"/>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33</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32</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7"/>
          <c:order val="17"/>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35</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34</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8"/>
          <c:order val="18"/>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37</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36</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19"/>
          <c:order val="19"/>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39</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38</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0"/>
          <c:order val="20"/>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41</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40</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1"/>
          <c:order val="21"/>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43</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42</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2"/>
          <c:order val="22"/>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45</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44</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3"/>
          <c:order val="23"/>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47</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46</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4"/>
          <c:order val="24"/>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49</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48</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5"/>
          <c:order val="25"/>
          <c:spPr>
            <a:solidFill>
              <a:srgbClr val="808080"/>
            </a:solidFill>
            <a:ln w="9360">
              <a:solidFill>
                <a:srgbClr val="808080"/>
              </a:solidFill>
              <a:round/>
            </a:ln>
          </c:spPr>
          <c:marker>
            <c:symbol val="none"/>
          </c:marker>
          <c:dLbls>
            <c:numFmt formatCode="0.00000" sourceLinked="1"/>
            <c:dLblPos val="r"/>
            <c:showLegendKey val="0"/>
            <c:showVal val="0"/>
            <c:showCatName val="0"/>
            <c:showSerName val="0"/>
            <c:showPercent val="0"/>
            <c:showLeaderLines val="0"/>
          </c:dLbls>
          <c:xVal>
            <c:numRef>
              <c:f>51</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50</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6"/>
          <c:order val="26"/>
          <c:spPr>
            <a:solidFill>
              <a:srgbClr val="000000"/>
            </a:solidFill>
            <a:ln w="38160">
              <a:solidFill>
                <a:srgbClr val="000000"/>
              </a:solidFill>
              <a:round/>
            </a:ln>
          </c:spPr>
          <c:marker>
            <c:symbol val="none"/>
          </c:marker>
          <c:dLbls>
            <c:numFmt formatCode="0.00000" sourceLinked="1"/>
            <c:dLblPos val="r"/>
            <c:showLegendKey val="0"/>
            <c:showVal val="0"/>
            <c:showCatName val="0"/>
            <c:showSerName val="0"/>
            <c:showPercent val="0"/>
            <c:showLeaderLines val="0"/>
          </c:dLbls>
          <c:xVal>
            <c:numRef>
              <c:f>53</c:f>
              <c:numCache>
                <c:formatCode>General</c:formatCode>
                <c:ptCount val="101"/>
                <c:pt idx="0">
                  <c:v>0</c:v>
                </c:pt>
                <c:pt idx="1">
                  <c:v>0.02</c:v>
                </c:pt>
                <c:pt idx="2">
                  <c:v>0.04</c:v>
                </c:pt>
                <c:pt idx="3">
                  <c:v>0.06</c:v>
                </c:pt>
                <c:pt idx="4">
                  <c:v>0.08</c:v>
                </c:pt>
                <c:pt idx="5">
                  <c:v>0.1</c:v>
                </c:pt>
                <c:pt idx="6">
                  <c:v>0.12</c:v>
                </c:pt>
                <c:pt idx="7">
                  <c:v>0.14</c:v>
                </c:pt>
                <c:pt idx="8">
                  <c:v>0.16</c:v>
                </c:pt>
                <c:pt idx="9">
                  <c:v>0.18</c:v>
                </c:pt>
                <c:pt idx="10">
                  <c:v>0.2</c:v>
                </c:pt>
                <c:pt idx="11">
                  <c:v>0.22</c:v>
                </c:pt>
                <c:pt idx="12">
                  <c:v>0.24</c:v>
                </c:pt>
                <c:pt idx="13">
                  <c:v>0.26</c:v>
                </c:pt>
                <c:pt idx="14">
                  <c:v>0.28</c:v>
                </c:pt>
                <c:pt idx="15">
                  <c:v>0.3</c:v>
                </c:pt>
                <c:pt idx="16">
                  <c:v>0.32</c:v>
                </c:pt>
                <c:pt idx="17">
                  <c:v>0.34</c:v>
                </c:pt>
                <c:pt idx="18">
                  <c:v>0.36</c:v>
                </c:pt>
                <c:pt idx="19">
                  <c:v>0.38</c:v>
                </c:pt>
                <c:pt idx="20">
                  <c:v>0.4</c:v>
                </c:pt>
                <c:pt idx="21">
                  <c:v>0.42</c:v>
                </c:pt>
                <c:pt idx="22">
                  <c:v>0.44</c:v>
                </c:pt>
                <c:pt idx="23">
                  <c:v>0.46</c:v>
                </c:pt>
                <c:pt idx="24">
                  <c:v>0.48</c:v>
                </c:pt>
                <c:pt idx="25">
                  <c:v>0.5</c:v>
                </c:pt>
                <c:pt idx="26">
                  <c:v>0.52</c:v>
                </c:pt>
                <c:pt idx="27">
                  <c:v>0.54</c:v>
                </c:pt>
                <c:pt idx="28">
                  <c:v>0.56</c:v>
                </c:pt>
                <c:pt idx="29">
                  <c:v>0.58</c:v>
                </c:pt>
                <c:pt idx="30">
                  <c:v>0.6</c:v>
                </c:pt>
                <c:pt idx="31">
                  <c:v>0.62</c:v>
                </c:pt>
                <c:pt idx="32">
                  <c:v>0.64</c:v>
                </c:pt>
                <c:pt idx="33">
                  <c:v>0.66</c:v>
                </c:pt>
                <c:pt idx="34">
                  <c:v>0.68</c:v>
                </c:pt>
                <c:pt idx="35">
                  <c:v>0.7</c:v>
                </c:pt>
                <c:pt idx="36">
                  <c:v>0.72</c:v>
                </c:pt>
                <c:pt idx="37">
                  <c:v>0.74</c:v>
                </c:pt>
                <c:pt idx="38">
                  <c:v>0.76</c:v>
                </c:pt>
                <c:pt idx="39">
                  <c:v>0.78</c:v>
                </c:pt>
                <c:pt idx="40">
                  <c:v>0.8</c:v>
                </c:pt>
                <c:pt idx="41">
                  <c:v>0.82</c:v>
                </c:pt>
                <c:pt idx="42">
                  <c:v>0.84</c:v>
                </c:pt>
                <c:pt idx="43">
                  <c:v>0.86</c:v>
                </c:pt>
                <c:pt idx="44">
                  <c:v>0.88</c:v>
                </c:pt>
                <c:pt idx="45">
                  <c:v>0.9</c:v>
                </c:pt>
                <c:pt idx="46">
                  <c:v>0.92</c:v>
                </c:pt>
                <c:pt idx="47">
                  <c:v>0.94</c:v>
                </c:pt>
                <c:pt idx="48">
                  <c:v>0.96</c:v>
                </c:pt>
                <c:pt idx="49">
                  <c:v>0.98</c:v>
                </c:pt>
                <c:pt idx="50">
                  <c:v>1</c:v>
                </c:pt>
                <c:pt idx="51">
                  <c:v>1.02</c:v>
                </c:pt>
                <c:pt idx="52">
                  <c:v>1.04</c:v>
                </c:pt>
                <c:pt idx="53">
                  <c:v>1.06</c:v>
                </c:pt>
                <c:pt idx="54">
                  <c:v>1.08</c:v>
                </c:pt>
                <c:pt idx="55">
                  <c:v>1.1</c:v>
                </c:pt>
                <c:pt idx="56">
                  <c:v>1.12</c:v>
                </c:pt>
                <c:pt idx="57">
                  <c:v>1.14</c:v>
                </c:pt>
                <c:pt idx="58">
                  <c:v>1.16</c:v>
                </c:pt>
                <c:pt idx="59">
                  <c:v>1.18</c:v>
                </c:pt>
                <c:pt idx="60">
                  <c:v>1.2</c:v>
                </c:pt>
                <c:pt idx="61">
                  <c:v>1.22</c:v>
                </c:pt>
                <c:pt idx="62">
                  <c:v>1.24</c:v>
                </c:pt>
                <c:pt idx="63">
                  <c:v>1.26</c:v>
                </c:pt>
                <c:pt idx="64">
                  <c:v>1.28</c:v>
                </c:pt>
                <c:pt idx="65">
                  <c:v>1.3</c:v>
                </c:pt>
                <c:pt idx="66">
                  <c:v>1.32</c:v>
                </c:pt>
                <c:pt idx="67">
                  <c:v>1.34</c:v>
                </c:pt>
                <c:pt idx="68">
                  <c:v>1.36</c:v>
                </c:pt>
                <c:pt idx="69">
                  <c:v>1.38</c:v>
                </c:pt>
                <c:pt idx="70">
                  <c:v>1.4</c:v>
                </c:pt>
                <c:pt idx="71">
                  <c:v>1.42</c:v>
                </c:pt>
                <c:pt idx="72">
                  <c:v>1.44</c:v>
                </c:pt>
                <c:pt idx="73">
                  <c:v>1.46</c:v>
                </c:pt>
                <c:pt idx="74">
                  <c:v>1.48</c:v>
                </c:pt>
                <c:pt idx="75">
                  <c:v>1.5</c:v>
                </c:pt>
                <c:pt idx="76">
                  <c:v>1.52</c:v>
                </c:pt>
                <c:pt idx="77">
                  <c:v>1.54</c:v>
                </c:pt>
                <c:pt idx="78">
                  <c:v>1.56</c:v>
                </c:pt>
                <c:pt idx="79">
                  <c:v>1.58</c:v>
                </c:pt>
                <c:pt idx="80">
                  <c:v>1.6</c:v>
                </c:pt>
                <c:pt idx="81">
                  <c:v>1.62</c:v>
                </c:pt>
                <c:pt idx="82">
                  <c:v>1.64</c:v>
                </c:pt>
                <c:pt idx="83">
                  <c:v>1.66</c:v>
                </c:pt>
                <c:pt idx="84">
                  <c:v>1.68</c:v>
                </c:pt>
                <c:pt idx="85">
                  <c:v>1.7</c:v>
                </c:pt>
                <c:pt idx="86">
                  <c:v>1.72</c:v>
                </c:pt>
                <c:pt idx="87">
                  <c:v>1.74</c:v>
                </c:pt>
                <c:pt idx="88">
                  <c:v>1.76</c:v>
                </c:pt>
                <c:pt idx="89">
                  <c:v>1.78</c:v>
                </c:pt>
                <c:pt idx="90">
                  <c:v>1.8</c:v>
                </c:pt>
                <c:pt idx="91">
                  <c:v>1.82</c:v>
                </c:pt>
                <c:pt idx="92">
                  <c:v>1.84</c:v>
                </c:pt>
                <c:pt idx="93">
                  <c:v>1.86</c:v>
                </c:pt>
                <c:pt idx="94">
                  <c:v>1.88</c:v>
                </c:pt>
                <c:pt idx="95">
                  <c:v>1.9</c:v>
                </c:pt>
                <c:pt idx="96">
                  <c:v>1.92</c:v>
                </c:pt>
                <c:pt idx="97">
                  <c:v>1.94</c:v>
                </c:pt>
                <c:pt idx="98">
                  <c:v>1.96</c:v>
                </c:pt>
                <c:pt idx="99">
                  <c:v>1.98</c:v>
                </c:pt>
                <c:pt idx="100">
                  <c:v>2</c:v>
                </c:pt>
              </c:numCache>
            </c:numRef>
          </c:xVal>
          <c:yVal>
            <c:numRef>
              <c:f>52</c:f>
              <c:numCache>
                <c:formatCode>General</c:formatCode>
                <c:ptCount val="101"/>
                <c:pt idx="0">
                  <c:v>0.2</c:v>
                </c:pt>
                <c:pt idx="1">
                  <c:v>0.356071380028431</c:v>
                </c:pt>
                <c:pt idx="2">
                  <c:v>0.509434247329014</c:v>
                </c:pt>
                <c:pt idx="3">
                  <c:v>0.660088601901751</c:v>
                </c:pt>
                <c:pt idx="4">
                  <c:v>0.80803444374664</c:v>
                </c:pt>
                <c:pt idx="5">
                  <c:v>0.953271772863683</c:v>
                </c:pt>
                <c:pt idx="6">
                  <c:v>1.09580058925288</c:v>
                </c:pt>
                <c:pt idx="7">
                  <c:v>1.23562089291423</c:v>
                </c:pt>
                <c:pt idx="8">
                  <c:v>1.37273268384773</c:v>
                </c:pt>
                <c:pt idx="9">
                  <c:v>1.50713596205338</c:v>
                </c:pt>
                <c:pt idx="10">
                  <c:v>1.63883072753119</c:v>
                </c:pt>
                <c:pt idx="11">
                  <c:v>1.76781698028115</c:v>
                </c:pt>
                <c:pt idx="12">
                  <c:v>1.89409472030326</c:v>
                </c:pt>
                <c:pt idx="13">
                  <c:v>2.01766394759753</c:v>
                </c:pt>
                <c:pt idx="14">
                  <c:v>2.13852466216394</c:v>
                </c:pt>
                <c:pt idx="15">
                  <c:v>2.25667686400252</c:v>
                </c:pt>
                <c:pt idx="16">
                  <c:v>2.37212055311324</c:v>
                </c:pt>
                <c:pt idx="17">
                  <c:v>2.48485572949612</c:v>
                </c:pt>
                <c:pt idx="18">
                  <c:v>2.59488239315115</c:v>
                </c:pt>
                <c:pt idx="19">
                  <c:v>2.70220054407833</c:v>
                </c:pt>
                <c:pt idx="20">
                  <c:v>2.80681018227767</c:v>
                </c:pt>
                <c:pt idx="21">
                  <c:v>2.90871130774916</c:v>
                </c:pt>
                <c:pt idx="22">
                  <c:v>3.0079039204928</c:v>
                </c:pt>
                <c:pt idx="23">
                  <c:v>3.10438802050859</c:v>
                </c:pt>
                <c:pt idx="24">
                  <c:v>3.19816360779654</c:v>
                </c:pt>
                <c:pt idx="25">
                  <c:v>3.28923068235664</c:v>
                </c:pt>
                <c:pt idx="26">
                  <c:v>3.3775892441889</c:v>
                </c:pt>
                <c:pt idx="27">
                  <c:v>3.4632392932933</c:v>
                </c:pt>
                <c:pt idx="28">
                  <c:v>3.54618082966986</c:v>
                </c:pt>
                <c:pt idx="29">
                  <c:v>3.62641385331857</c:v>
                </c:pt>
                <c:pt idx="30">
                  <c:v>3.70393836423944</c:v>
                </c:pt>
                <c:pt idx="31">
                  <c:v>3.77875436243246</c:v>
                </c:pt>
                <c:pt idx="32">
                  <c:v>3.85086184789763</c:v>
                </c:pt>
                <c:pt idx="33">
                  <c:v>3.92026082063495</c:v>
                </c:pt>
                <c:pt idx="34">
                  <c:v>3.98695128064443</c:v>
                </c:pt>
                <c:pt idx="35">
                  <c:v>4.05093322792606</c:v>
                </c:pt>
                <c:pt idx="36">
                  <c:v>4.11220666247984</c:v>
                </c:pt>
                <c:pt idx="37">
                  <c:v>4.17077158430578</c:v>
                </c:pt>
                <c:pt idx="38">
                  <c:v>4.22662799340387</c:v>
                </c:pt>
                <c:pt idx="39">
                  <c:v>4.27977588977411</c:v>
                </c:pt>
                <c:pt idx="40">
                  <c:v>4.3302152734165</c:v>
                </c:pt>
                <c:pt idx="41">
                  <c:v>4.37794614433105</c:v>
                </c:pt>
                <c:pt idx="42">
                  <c:v>4.42296850251775</c:v>
                </c:pt>
                <c:pt idx="43">
                  <c:v>4.4652823479766</c:v>
                </c:pt>
                <c:pt idx="44">
                  <c:v>4.50488768070761</c:v>
                </c:pt>
                <c:pt idx="45">
                  <c:v>4.54178450071077</c:v>
                </c:pt>
                <c:pt idx="46">
                  <c:v>4.57597280798608</c:v>
                </c:pt>
                <c:pt idx="47">
                  <c:v>4.60745260253354</c:v>
                </c:pt>
                <c:pt idx="48">
                  <c:v>4.63622388435316</c:v>
                </c:pt>
                <c:pt idx="49">
                  <c:v>4.66228665344493</c:v>
                </c:pt>
                <c:pt idx="50">
                  <c:v>4.68564090980886</c:v>
                </c:pt>
                <c:pt idx="51">
                  <c:v>4.70628665344493</c:v>
                </c:pt>
                <c:pt idx="52">
                  <c:v>4.72422388435316</c:v>
                </c:pt>
                <c:pt idx="53">
                  <c:v>4.73945260253354</c:v>
                </c:pt>
                <c:pt idx="54">
                  <c:v>4.75197280798608</c:v>
                </c:pt>
                <c:pt idx="55">
                  <c:v>4.76178450071077</c:v>
                </c:pt>
                <c:pt idx="56">
                  <c:v>4.76888768070761</c:v>
                </c:pt>
                <c:pt idx="57">
                  <c:v>4.7732823479766</c:v>
                </c:pt>
                <c:pt idx="58">
                  <c:v>4.77496850251775</c:v>
                </c:pt>
                <c:pt idx="59">
                  <c:v>4.77394614433105</c:v>
                </c:pt>
                <c:pt idx="60">
                  <c:v>4.7702152734165</c:v>
                </c:pt>
                <c:pt idx="61">
                  <c:v>4.76377588977411</c:v>
                </c:pt>
                <c:pt idx="62">
                  <c:v>4.75462799340386</c:v>
                </c:pt>
                <c:pt idx="63">
                  <c:v>4.74277158430578</c:v>
                </c:pt>
                <c:pt idx="64">
                  <c:v>4.72820666247984</c:v>
                </c:pt>
                <c:pt idx="65">
                  <c:v>4.71093322792606</c:v>
                </c:pt>
                <c:pt idx="66">
                  <c:v>4.69095128064443</c:v>
                </c:pt>
                <c:pt idx="67">
                  <c:v>4.66826082063495</c:v>
                </c:pt>
                <c:pt idx="68">
                  <c:v>4.64286184789763</c:v>
                </c:pt>
                <c:pt idx="69">
                  <c:v>4.61475436243246</c:v>
                </c:pt>
                <c:pt idx="70">
                  <c:v>4.58393836423944</c:v>
                </c:pt>
                <c:pt idx="71">
                  <c:v>4.55041385331857</c:v>
                </c:pt>
                <c:pt idx="72">
                  <c:v>4.51418082966986</c:v>
                </c:pt>
                <c:pt idx="73">
                  <c:v>4.4752392932933</c:v>
                </c:pt>
                <c:pt idx="74">
                  <c:v>4.43358924418889</c:v>
                </c:pt>
                <c:pt idx="75">
                  <c:v>4.38923068235664</c:v>
                </c:pt>
                <c:pt idx="76">
                  <c:v>4.34216360779654</c:v>
                </c:pt>
                <c:pt idx="77">
                  <c:v>4.29238802050859</c:v>
                </c:pt>
                <c:pt idx="78">
                  <c:v>4.2399039204928</c:v>
                </c:pt>
                <c:pt idx="79">
                  <c:v>4.18471130774915</c:v>
                </c:pt>
                <c:pt idx="80">
                  <c:v>4.12681018227766</c:v>
                </c:pt>
                <c:pt idx="81">
                  <c:v>4.06620054407833</c:v>
                </c:pt>
                <c:pt idx="82">
                  <c:v>4.00288239315115</c:v>
                </c:pt>
                <c:pt idx="83">
                  <c:v>3.93685572949611</c:v>
                </c:pt>
                <c:pt idx="84">
                  <c:v>3.86812055311324</c:v>
                </c:pt>
                <c:pt idx="85">
                  <c:v>3.79667686400251</c:v>
                </c:pt>
                <c:pt idx="86">
                  <c:v>3.72252466216394</c:v>
                </c:pt>
                <c:pt idx="87">
                  <c:v>3.64566394759752</c:v>
                </c:pt>
                <c:pt idx="88">
                  <c:v>3.56609472030326</c:v>
                </c:pt>
                <c:pt idx="89">
                  <c:v>3.48381698028114</c:v>
                </c:pt>
                <c:pt idx="90">
                  <c:v>3.39883072753118</c:v>
                </c:pt>
                <c:pt idx="91">
                  <c:v>3.31113596205338</c:v>
                </c:pt>
                <c:pt idx="92">
                  <c:v>3.22073268384772</c:v>
                </c:pt>
                <c:pt idx="93">
                  <c:v>3.12762089291422</c:v>
                </c:pt>
                <c:pt idx="94">
                  <c:v>3.03180058925287</c:v>
                </c:pt>
                <c:pt idx="95">
                  <c:v>2.93327177286368</c:v>
                </c:pt>
                <c:pt idx="96">
                  <c:v>2.83203444374663</c:v>
                </c:pt>
                <c:pt idx="97">
                  <c:v>2.72808860190174</c:v>
                </c:pt>
                <c:pt idx="98">
                  <c:v>2.62143424732901</c:v>
                </c:pt>
                <c:pt idx="99">
                  <c:v>2.51207138002842</c:v>
                </c:pt>
                <c:pt idx="100">
                  <c:v>2.39999999999999</c:v>
                </c:pt>
              </c:numCache>
            </c:numRef>
          </c:yVal>
          <c:smooth val="1"/>
        </c:ser>
        <c:ser>
          <c:idx val="27"/>
          <c:order val="27"/>
          <c:spPr>
            <a:solidFill>
              <a:srgbClr val="99ccff"/>
            </a:solidFill>
            <a:ln w="19080">
              <a:noFill/>
            </a:ln>
          </c:spPr>
          <c:marker>
            <c:symbol val="none"/>
          </c:marker>
          <c:dLbls>
            <c:numFmt formatCode="0.00000" sourceLinked="1"/>
            <c:dLblPos val="r"/>
            <c:showLegendKey val="0"/>
            <c:showVal val="0"/>
            <c:showCatName val="0"/>
            <c:showSerName val="0"/>
            <c:showPercent val="0"/>
            <c:showLeaderLines val="0"/>
          </c:dLbls>
          <c:xVal>
            <c:numRef>
              <c:f>55</c:f>
              <c:numCache>
                <c:formatCode>General</c:formatCode>
                <c:ptCount val="101"/>
                <c:pt idx="0">
                  <c:v>4.77496850251775</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numCache>
            </c:numRef>
          </c:xVal>
          <c:yVal>
            <c:numRef>
              <c:f>54</c:f>
              <c:numCache>
                <c:formatCode>General</c:formatCode>
                <c:ptCount val="101"/>
                <c:pt idx="0">
                  <c:v>4.77496850251775</c:v>
                </c:pt>
                <c:pt idx="1">
                  <c:v>0</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numCache>
            </c:numRef>
          </c:yVal>
          <c:smooth val="1"/>
        </c:ser>
        <c:ser>
          <c:idx val="28"/>
          <c:order val="28"/>
          <c:spPr>
            <a:solidFill>
              <a:srgbClr val="c00000"/>
            </a:solidFill>
            <a:ln w="28440">
              <a:solidFill>
                <a:srgbClr val="c00000"/>
              </a:solidFill>
              <a:round/>
            </a:ln>
          </c:spPr>
          <c:marker>
            <c:symbol val="none"/>
          </c:marker>
          <c:dLbls>
            <c:numFmt formatCode="0.00000" sourceLinked="1"/>
            <c:dLblPos val="r"/>
            <c:showLegendKey val="0"/>
            <c:showVal val="0"/>
            <c:showCatName val="0"/>
            <c:showSerName val="0"/>
            <c:showPercent val="0"/>
            <c:showLeaderLines val="0"/>
          </c:dLbls>
          <c:xVal>
            <c:numRef>
              <c:f>57</c:f>
              <c:numCache>
                <c:formatCode>General</c:formatCode>
                <c:ptCount val="101"/>
                <c:pt idx="0">
                  <c:v>1</c:v>
                </c:pt>
                <c:pt idx="1">
                  <c:v>1</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numCache>
            </c:numRef>
          </c:xVal>
          <c:yVal>
            <c:numRef>
              <c:f>56</c:f>
              <c:numCache>
                <c:formatCode>General</c:formatCode>
                <c:ptCount val="101"/>
                <c:pt idx="0">
                  <c:v>0</c:v>
                </c:pt>
                <c:pt idx="1">
                  <c:v>2</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numCache>
            </c:numRef>
          </c:yVal>
          <c:smooth val="1"/>
        </c:ser>
        <c:axId val="31475977"/>
        <c:axId val="34467559"/>
      </c:scatterChart>
      <c:valAx>
        <c:axId val="31475977"/>
        <c:scaling>
          <c:orientation val="minMax"/>
        </c:scaling>
        <c:delete val="0"/>
        <c:axPos val="b"/>
        <c:majorGridlines>
          <c:spPr>
            <a:ln w="9360">
              <a:solidFill>
                <a:srgbClr val="d9d9d9"/>
              </a:solidFill>
              <a:round/>
            </a:ln>
          </c:spPr>
        </c:majorGridlines>
        <c:numFmt formatCode="General"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34467559"/>
        <c:crosses val="autoZero"/>
        <c:crossBetween val="midCat"/>
      </c:valAx>
      <c:valAx>
        <c:axId val="34467559"/>
        <c:scaling>
          <c:orientation val="minMax"/>
        </c:scaling>
        <c:delete val="0"/>
        <c:axPos val="l"/>
        <c:majorGridlines>
          <c:spPr>
            <a:ln w="9360">
              <a:solidFill>
                <a:srgbClr val="d9d9d9"/>
              </a:solidFill>
              <a:round/>
            </a:ln>
          </c:spPr>
        </c:majorGridlines>
        <c:numFmt formatCode="0" sourceLinked="0"/>
        <c:majorTickMark val="none"/>
        <c:minorTickMark val="none"/>
        <c:tickLblPos val="low"/>
        <c:spPr>
          <a:ln w="9360">
            <a:solidFill>
              <a:srgbClr val="bfbfbf"/>
            </a:solidFill>
            <a:round/>
          </a:ln>
        </c:spPr>
        <c:txPr>
          <a:bodyPr/>
          <a:lstStyle/>
          <a:p>
            <a:pPr>
              <a:defRPr b="0" sz="900" spc="-1" strike="noStrike">
                <a:solidFill>
                  <a:srgbClr val="595959"/>
                </a:solidFill>
                <a:latin typeface="Calibri"/>
              </a:defRPr>
            </a:pPr>
          </a:p>
        </c:txPr>
        <c:crossAx val="31475977"/>
        <c:crosses val="autoZero"/>
        <c:crossBetween val="midCat"/>
      </c:valAx>
      <c:spPr>
        <a:noFill/>
        <a:ln>
          <a:noFill/>
        </a:ln>
      </c:spPr>
    </c:plotArea>
    <c:plotVisOnly val="0"/>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plotArea>
      <c:scatterChart>
        <c:scatterStyle val="line"/>
        <c:varyColors val="0"/>
        <c:ser>
          <c:idx val="0"/>
          <c:order val="0"/>
          <c:spPr>
            <a:solidFill>
              <a:srgbClr val="4a7ebb"/>
            </a:solidFill>
            <a:ln w="28440">
              <a:solidFill>
                <a:srgbClr val="4a7ebb"/>
              </a:solidFill>
              <a:round/>
            </a:ln>
          </c:spPr>
          <c:marker>
            <c:symbol val="none"/>
          </c:marker>
          <c:dLbls>
            <c:numFmt formatCode="General" sourceLinked="1"/>
            <c:dLblPos val="r"/>
            <c:showLegendKey val="0"/>
            <c:showVal val="0"/>
            <c:showCatName val="0"/>
            <c:showSerName val="0"/>
            <c:showPercent val="0"/>
            <c:showLeaderLines val="0"/>
          </c:dLbls>
          <c:xVal>
            <c:numRef>
              <c:f>1</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0</c:f>
              <c:numCache>
                <c:formatCode>General</c:formatCode>
                <c:ptCount val="151"/>
                <c:pt idx="0">
                  <c:v>120</c:v>
                </c:pt>
                <c:pt idx="1">
                  <c:v>120</c:v>
                </c:pt>
                <c:pt idx="2">
                  <c:v>120</c:v>
                </c:pt>
                <c:pt idx="3">
                  <c:v>120</c:v>
                </c:pt>
                <c:pt idx="4">
                  <c:v>120</c:v>
                </c:pt>
                <c:pt idx="5">
                  <c:v>120</c:v>
                </c:pt>
                <c:pt idx="6">
                  <c:v>120</c:v>
                </c:pt>
                <c:pt idx="7">
                  <c:v>120</c:v>
                </c:pt>
                <c:pt idx="8">
                  <c:v>109.081563032055</c:v>
                </c:pt>
                <c:pt idx="9">
                  <c:v>109.081563032055</c:v>
                </c:pt>
                <c:pt idx="10">
                  <c:v>109.081563032055</c:v>
                </c:pt>
                <c:pt idx="11">
                  <c:v>109.081563032055</c:v>
                </c:pt>
                <c:pt idx="12">
                  <c:v>109.081563032055</c:v>
                </c:pt>
                <c:pt idx="13">
                  <c:v>98.1631260641103</c:v>
                </c:pt>
                <c:pt idx="14">
                  <c:v>98.1631260641103</c:v>
                </c:pt>
                <c:pt idx="15">
                  <c:v>98.1631260641103</c:v>
                </c:pt>
                <c:pt idx="16">
                  <c:v>98.1631260641103</c:v>
                </c:pt>
                <c:pt idx="17">
                  <c:v>98.1631260641103</c:v>
                </c:pt>
                <c:pt idx="18">
                  <c:v>87.2446890961654</c:v>
                </c:pt>
                <c:pt idx="19">
                  <c:v>88.5279869243913</c:v>
                </c:pt>
                <c:pt idx="20">
                  <c:v>89.8023016677959</c:v>
                </c:pt>
                <c:pt idx="21">
                  <c:v>91.0685304676605</c:v>
                </c:pt>
                <c:pt idx="22">
                  <c:v>92.3275672350213</c:v>
                </c:pt>
                <c:pt idx="23">
                  <c:v>82.6618674563844</c:v>
                </c:pt>
                <c:pt idx="24">
                  <c:v>83.9838272434678</c:v>
                </c:pt>
                <c:pt idx="25">
                  <c:v>85.2936096845154</c:v>
                </c:pt>
                <c:pt idx="26">
                  <c:v>86.5921360378763</c:v>
                </c:pt>
                <c:pt idx="27">
                  <c:v>87.8803187714547</c:v>
                </c:pt>
                <c:pt idx="28">
                  <c:v>78.2406260798719</c:v>
                </c:pt>
                <c:pt idx="29">
                  <c:v>79.6089934782006</c:v>
                </c:pt>
                <c:pt idx="30">
                  <c:v>80.9620916513819</c:v>
                </c:pt>
                <c:pt idx="31">
                  <c:v>82.3008799901239</c:v>
                </c:pt>
                <c:pt idx="32">
                  <c:v>83.6263048092775</c:v>
                </c:pt>
                <c:pt idx="33">
                  <c:v>74.0208635931864</c:v>
                </c:pt>
                <c:pt idx="34">
                  <c:v>75.4411155135365</c:v>
                </c:pt>
                <c:pt idx="35">
                  <c:v>76.8431215003556</c:v>
                </c:pt>
                <c:pt idx="36">
                  <c:v>78.2278866427924</c:v>
                </c:pt>
                <c:pt idx="37">
                  <c:v>79.596399891794</c:v>
                </c:pt>
                <c:pt idx="38">
                  <c:v>70.0311980032954</c:v>
                </c:pt>
                <c:pt idx="39">
                  <c:v>71.5066798598951</c:v>
                </c:pt>
                <c:pt idx="40">
                  <c:v>72.9610758392752</c:v>
                </c:pt>
                <c:pt idx="41">
                  <c:v>74.3954388467523</c:v>
                </c:pt>
                <c:pt idx="42">
                  <c:v>75.8108038143857</c:v>
                </c:pt>
                <c:pt idx="43">
                  <c:v>66.2897512798109</c:v>
                </c:pt>
                <c:pt idx="44">
                  <c:v>67.8219412753382</c:v>
                </c:pt>
                <c:pt idx="45">
                  <c:v>69.3303658627957</c:v>
                </c:pt>
                <c:pt idx="46">
                  <c:v>70.816123583508</c:v>
                </c:pt>
                <c:pt idx="47">
                  <c:v>72.2802944033669</c:v>
                </c:pt>
                <c:pt idx="48">
                  <c:v>62.8055028472638</c:v>
                </c:pt>
                <c:pt idx="49">
                  <c:v>64.3943400167234</c:v>
                </c:pt>
                <c:pt idx="50">
                  <c:v>65.9569131951934</c:v>
                </c:pt>
                <c:pt idx="51">
                  <c:v>67.4943612832894</c:v>
                </c:pt>
                <c:pt idx="52">
                  <c:v>69.0078052100687</c:v>
                </c:pt>
                <c:pt idx="53">
                  <c:v>59.5799105376235</c:v>
                </c:pt>
                <c:pt idx="54">
                  <c:v>61.22413596855</c:v>
                </c:pt>
                <c:pt idx="55">
                  <c:v>62.8397941459147</c:v>
                </c:pt>
                <c:pt idx="56">
                  <c:v>64.4280570989404</c:v>
                </c:pt>
                <c:pt idx="57">
                  <c:v>65.9900806223925</c:v>
                </c:pt>
                <c:pt idx="58">
                  <c:v>56.6085662706889</c:v>
                </c:pt>
                <c:pt idx="59">
                  <c:v>58.3060429790491</c:v>
                </c:pt>
                <c:pt idx="60">
                  <c:v>59.9728515877402</c:v>
                </c:pt>
                <c:pt idx="61">
                  <c:v>61.6101890641133</c:v>
                </c:pt>
                <c:pt idx="62">
                  <c:v>63.2192388945138</c:v>
                </c:pt>
                <c:pt idx="63">
                  <c:v>53.8827323994196</c:v>
                </c:pt>
                <c:pt idx="64">
                  <c:v>55.6307242868457</c:v>
                </c:pt>
                <c:pt idx="65">
                  <c:v>57.3461497605638</c:v>
                </c:pt>
                <c:pt idx="66">
                  <c:v>59.0302223687912</c:v>
                </c:pt>
                <c:pt idx="67">
                  <c:v>60.6841457988194</c:v>
                </c:pt>
                <c:pt idx="68">
                  <c:v>51.3906744612534</c:v>
                </c:pt>
                <c:pt idx="69">
                  <c:v>53.1860764216939</c:v>
                </c:pt>
                <c:pt idx="70">
                  <c:v>54.9472104419328</c:v>
                </c:pt>
                <c:pt idx="71">
                  <c:v>56.6752987043169</c:v>
                </c:pt>
                <c:pt idx="72">
                  <c:v>58.3715578491841</c:v>
                </c:pt>
                <c:pt idx="73">
                  <c:v>49.1187587945798</c:v>
                </c:pt>
                <c:pt idx="74">
                  <c:v>50.958277901892</c:v>
                </c:pt>
                <c:pt idx="75">
                  <c:v>52.7620141857799</c:v>
                </c:pt>
                <c:pt idx="76">
                  <c:v>54.5311913030089</c:v>
                </c:pt>
                <c:pt idx="77">
                  <c:v>56.2670322144861</c:v>
                </c:pt>
                <c:pt idx="78">
                  <c:v>47.0523182247988</c:v>
                </c:pt>
                <c:pt idx="79">
                  <c:v>48.9326105012311</c:v>
                </c:pt>
                <c:pt idx="80">
                  <c:v>50.7757786392209</c:v>
                </c:pt>
                <c:pt idx="81">
                  <c:v>52.5830416051873</c:v>
                </c:pt>
                <c:pt idx="82">
                  <c:v>54.3556228791521</c:v>
                </c:pt>
                <c:pt idx="83">
                  <c:v>45.1763087146555</c:v>
                </c:pt>
                <c:pt idx="84">
                  <c:v>47.0940780969554</c:v>
                </c:pt>
                <c:pt idx="85">
                  <c:v>48.9735408779152</c:v>
                </c:pt>
                <c:pt idx="86">
                  <c:v>50.8159062419229</c:v>
                </c:pt>
                <c:pt idx="87">
                  <c:v>52.6223933114059</c:v>
                </c:pt>
                <c:pt idx="88">
                  <c:v>43.4757886413409</c:v>
                </c:pt>
                <c:pt idx="89">
                  <c:v>45.427855268633</c:v>
                </c:pt>
                <c:pt idx="90">
                  <c:v>47.3405763577481</c:v>
                </c:pt>
                <c:pt idx="91">
                  <c:v>49.215147278565</c:v>
                </c:pt>
                <c:pt idx="92">
                  <c:v>51.0527788501617</c:v>
                </c:pt>
                <c:pt idx="93">
                  <c:v>41.9362540949442</c:v>
                </c:pt>
                <c:pt idx="94">
                  <c:v>43.9195986203001</c:v>
                </c:pt>
                <c:pt idx="95">
                  <c:v>45.8626870229154</c:v>
                </c:pt>
                <c:pt idx="96">
                  <c:v>47.7666978115676</c:v>
                </c:pt>
                <c:pt idx="97">
                  <c:v>49.6328304356366</c:v>
                </c:pt>
                <c:pt idx="98">
                  <c:v>40.5438613318927</c:v>
                </c:pt>
                <c:pt idx="99">
                  <c:v>42.5556510880297</c:v>
                </c:pt>
                <c:pt idx="100">
                  <c:v>44.5263879888588</c:v>
                </c:pt>
                <c:pt idx="101">
                  <c:v>46.45723151428</c:v>
                </c:pt>
                <c:pt idx="102">
                  <c:v>48.3493674714163</c:v>
                </c:pt>
                <c:pt idx="103">
                  <c:v>39.2855633725791</c:v>
                </c:pt>
                <c:pt idx="104">
                  <c:v>41.3231652062522</c:v>
                </c:pt>
                <c:pt idx="105">
                  <c:v>43.3190178011769</c:v>
                </c:pt>
                <c:pt idx="106">
                  <c:v>45.2742601974692</c:v>
                </c:pt>
                <c:pt idx="107">
                  <c:v>47.1900629791122</c:v>
                </c:pt>
                <c:pt idx="108">
                  <c:v>38.1491830249402</c:v>
                </c:pt>
                <c:pt idx="109">
                  <c:v>40.2101666276129</c:v>
                </c:pt>
                <c:pt idx="110">
                  <c:v>42.228792624568</c:v>
                </c:pt>
                <c:pt idx="111">
                  <c:v>44.2061788382063</c:v>
                </c:pt>
                <c:pt idx="112">
                  <c:v>46.1434796337809</c:v>
                </c:pt>
                <c:pt idx="113">
                  <c:v>37.1234400868032</c:v>
                </c:pt>
                <c:pt idx="114">
                  <c:v>39.2055747757946</c:v>
                </c:pt>
                <c:pt idx="115">
                  <c:v>41.2448204097134</c:v>
                </c:pt>
                <c:pt idx="116">
                  <c:v>43.2422733306481</c:v>
                </c:pt>
                <c:pt idx="117">
                  <c:v>45.1990711720856</c:v>
                </c:pt>
                <c:pt idx="118">
                  <c:v>36.1979464863421</c:v>
                </c:pt>
                <c:pt idx="119">
                  <c:v>38.2991936611596</c:v>
                </c:pt>
                <c:pt idx="120">
                  <c:v>40.3570873731132</c:v>
                </c:pt>
                <c:pt idx="121">
                  <c:v>42.3727026299906</c:v>
                </c:pt>
                <c:pt idx="122">
                  <c:v>44.347160208613</c:v>
                </c:pt>
                <c:pt idx="123">
                  <c:v>35.3631797850754</c:v>
                </c:pt>
                <c:pt idx="124">
                  <c:v>37.4816826980195</c:v>
                </c:pt>
                <c:pt idx="125">
                  <c:v>39.5564260699961</c:v>
                </c:pt>
                <c:pt idx="126">
                  <c:v>41.5884640354824</c:v>
                </c:pt>
                <c:pt idx="127">
                  <c:v>43.5789006941364</c:v>
                </c:pt>
                <c:pt idx="128">
                  <c:v>34.6104427850842</c:v>
                </c:pt>
                <c:pt idx="129">
                  <c:v>36.7445148086079</c:v>
                </c:pt>
                <c:pt idx="130">
                  <c:v>38.8344719087187</c:v>
                </c:pt>
                <c:pt idx="131">
                  <c:v>40.8813480425477</c:v>
                </c:pt>
                <c:pt idx="132">
                  <c:v>42.8862310442383</c:v>
                </c:pt>
                <c:pt idx="133">
                  <c:v>33.9318148824845</c:v>
                </c:pt>
                <c:pt idx="134">
                  <c:v>36.0799271077867</c:v>
                </c:pt>
                <c:pt idx="135">
                  <c:v>38.1836130668307</c:v>
                </c:pt>
                <c:pt idx="136">
                  <c:v>40.2438874034546</c:v>
                </c:pt>
                <c:pt idx="137">
                  <c:v>42.261822269106</c:v>
                </c:pt>
                <c:pt idx="138">
                  <c:v>33.3200992005066</c:v>
                </c:pt>
                <c:pt idx="139">
                  <c:v>35.4808679415437</c:v>
                </c:pt>
                <c:pt idx="140">
                  <c:v>37.5969373311649</c:v>
                </c:pt>
                <c:pt idx="141">
                  <c:v>39.6693036772058</c:v>
                </c:pt>
                <c:pt idx="142">
                  <c:v>41.6990241519319</c:v>
                </c:pt>
                <c:pt idx="143">
                  <c:v>43.6872052921581</c:v>
                </c:pt>
                <c:pt idx="144">
                  <c:v>45.6349927061708</c:v>
                </c:pt>
                <c:pt idx="145">
                  <c:v>47.5435619198635</c:v>
                </c:pt>
                <c:pt idx="146">
                  <c:v>49.4141102890702</c:v>
                </c:pt>
                <c:pt idx="147">
                  <c:v>51.2478499022631</c:v>
                </c:pt>
                <c:pt idx="148">
                  <c:v>53.0460013970428</c:v>
                </c:pt>
                <c:pt idx="149">
                  <c:v>54.8097886147599</c:v>
                </c:pt>
                <c:pt idx="150">
                  <c:v>56.5404340197635</c:v>
                </c:pt>
              </c:numCache>
            </c:numRef>
          </c:yVal>
          <c:smooth val="1"/>
        </c:ser>
        <c:ser>
          <c:idx val="1"/>
          <c:order val="1"/>
          <c:spPr>
            <a:solidFill>
              <a:srgbClr val="be4b48"/>
            </a:solidFill>
            <a:ln w="19080">
              <a:solidFill>
                <a:srgbClr val="be4b48"/>
              </a:solidFill>
              <a:custDash/>
              <a:round/>
            </a:ln>
          </c:spPr>
          <c:marker>
            <c:symbol val="none"/>
          </c:marker>
          <c:dLbls>
            <c:numFmt formatCode="General" sourceLinked="1"/>
            <c:dLblPos val="r"/>
            <c:showLegendKey val="0"/>
            <c:showVal val="0"/>
            <c:showCatName val="0"/>
            <c:showSerName val="0"/>
            <c:showPercent val="0"/>
            <c:showLeaderLines val="0"/>
          </c:dLbls>
          <c:xVal>
            <c:numRef>
              <c:f>3</c:f>
              <c:numCache>
                <c:formatCode>General</c:formatCode>
                <c:ptCount val="151"/>
                <c:pt idx="0">
                  <c:v>0</c:v>
                </c:pt>
                <c:pt idx="1">
                  <c:v>150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pt idx="133">
                  <c:v>132</c:v>
                </c:pt>
                <c:pt idx="134">
                  <c:v>133</c:v>
                </c:pt>
                <c:pt idx="135">
                  <c:v>134</c:v>
                </c:pt>
                <c:pt idx="136">
                  <c:v>135</c:v>
                </c:pt>
                <c:pt idx="137">
                  <c:v>136</c:v>
                </c:pt>
                <c:pt idx="138">
                  <c:v>137</c:v>
                </c:pt>
                <c:pt idx="139">
                  <c:v>138</c:v>
                </c:pt>
                <c:pt idx="140">
                  <c:v>139</c:v>
                </c:pt>
                <c:pt idx="141">
                  <c:v>140</c:v>
                </c:pt>
                <c:pt idx="142">
                  <c:v>141</c:v>
                </c:pt>
                <c:pt idx="143">
                  <c:v>142</c:v>
                </c:pt>
                <c:pt idx="144">
                  <c:v>143</c:v>
                </c:pt>
                <c:pt idx="145">
                  <c:v>144</c:v>
                </c:pt>
                <c:pt idx="146">
                  <c:v>145</c:v>
                </c:pt>
                <c:pt idx="147">
                  <c:v>146</c:v>
                </c:pt>
                <c:pt idx="148">
                  <c:v>147</c:v>
                </c:pt>
                <c:pt idx="149">
                  <c:v>148</c:v>
                </c:pt>
                <c:pt idx="150">
                  <c:v>149</c:v>
                </c:pt>
              </c:numCache>
            </c:numRef>
          </c:xVal>
          <c:yVal>
            <c:numRef>
              <c:f>2</c:f>
              <c:numCache>
                <c:formatCode>General</c:formatCode>
                <c:ptCount val="151"/>
                <c:pt idx="0">
                  <c:v>40</c:v>
                </c:pt>
                <c:pt idx="1">
                  <c:v>40</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numCache>
            </c:numRef>
          </c:yVal>
          <c:smooth val="1"/>
        </c:ser>
        <c:axId val="37926438"/>
        <c:axId val="74658651"/>
      </c:scatterChart>
      <c:valAx>
        <c:axId val="37926438"/>
        <c:scaling>
          <c:orientation val="minMax"/>
        </c:scaling>
        <c:delete val="0"/>
        <c:axPos val="b"/>
        <c:title>
          <c:tx>
            <c:rich>
              <a:bodyPr rot="0"/>
              <a:lstStyle/>
              <a:p>
                <a:pPr>
                  <a:defRPr b="1" sz="1000" spc="-1" strike="noStrike">
                    <a:solidFill>
                      <a:srgbClr val="000000"/>
                    </a:solidFill>
                    <a:latin typeface="Calibri"/>
                  </a:defRPr>
                </a:pPr>
                <a:r>
                  <a:rPr b="1" sz="1000" spc="-1" strike="noStrike">
                    <a:solidFill>
                      <a:srgbClr val="000000"/>
                    </a:solidFill>
                    <a:latin typeface="Calibri"/>
                  </a:rPr>
                  <a:t>Time (s)</a:t>
                </a:r>
              </a:p>
            </c:rich>
          </c:tx>
          <c:overlay val="0"/>
          <c:spPr>
            <a:noFill/>
            <a:ln>
              <a:noFill/>
            </a:ln>
          </c:spPr>
        </c:title>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74658651"/>
        <c:crosses val="autoZero"/>
        <c:crossBetween val="midCat"/>
      </c:valAx>
      <c:valAx>
        <c:axId val="74658651"/>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defRPr>
                </a:pPr>
                <a:r>
                  <a:rPr b="1" sz="1000" spc="-1" strike="noStrike">
                    <a:solidFill>
                      <a:srgbClr val="000000"/>
                    </a:solidFill>
                    <a:latin typeface="Calibri"/>
                  </a:rPr>
                  <a:t>Pressure (psig)</a:t>
                </a:r>
              </a:p>
            </c:rich>
          </c:tx>
          <c:overlay val="0"/>
          <c:spPr>
            <a:noFill/>
            <a:ln>
              <a:noFill/>
            </a:ln>
          </c:spPr>
        </c:title>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37926438"/>
        <c:crosses val="autoZero"/>
        <c:crossBetween val="midCat"/>
      </c:valAx>
      <c:spPr>
        <a:solidFill>
          <a:srgbClr val="ffffff"/>
        </a:solidFill>
        <a:ln>
          <a:noFill/>
        </a:ln>
      </c:spPr>
    </c:plotArea>
    <c:plotVisOnly val="1"/>
    <c:dispBlanksAs val="gap"/>
  </c:chart>
  <c:spPr>
    <a:solidFill>
      <a:srgbClr val="ffffff"/>
    </a:solidFill>
    <a:ln>
      <a:noFill/>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plotArea>
      <c:scatterChart>
        <c:scatterStyle val="lineMarker"/>
        <c:varyColors val="0"/>
        <c:ser>
          <c:idx val="0"/>
          <c:order val="0"/>
          <c:spPr>
            <a:solidFill>
              <a:srgbClr val="808080"/>
            </a:solidFill>
            <a:ln w="28440">
              <a:solidFill>
                <a:srgbClr val="808080"/>
              </a:solidFill>
              <a:custDash/>
              <a:round/>
            </a:ln>
          </c:spPr>
          <c:marker>
            <c:symbol val="none"/>
          </c:marker>
          <c:dLbls>
            <c:numFmt formatCode="General" sourceLinked="1"/>
            <c:dLblPos val="r"/>
            <c:showLegendKey val="0"/>
            <c:showVal val="0"/>
            <c:showCatName val="0"/>
            <c:showSerName val="0"/>
            <c:showPercent val="0"/>
            <c:showLeaderLines val="0"/>
          </c:dLbls>
          <c:xVal>
            <c:numRef>
              <c:f>1</c:f>
              <c:numCache>
                <c:formatCode>General</c:formatCode>
                <c:ptCount val="2"/>
                <c:pt idx="0">
                  <c:v>0</c:v>
                </c:pt>
                <c:pt idx="1">
                  <c:v>0</c:v>
                </c:pt>
              </c:numCache>
            </c:numRef>
          </c:xVal>
          <c:yVal>
            <c:numRef>
              <c:f>0</c:f>
              <c:numCache>
                <c:formatCode>General</c:formatCode>
                <c:ptCount val="2"/>
                <c:pt idx="0">
                  <c:v>-34.3823391780522</c:v>
                </c:pt>
                <c:pt idx="1">
                  <c:v>197.246550222166</c:v>
                </c:pt>
              </c:numCache>
            </c:numRef>
          </c:yVal>
          <c:smooth val="0"/>
        </c:ser>
        <c:ser>
          <c:idx val="1"/>
          <c:order val="1"/>
          <c:spPr>
            <a:solidFill>
              <a:srgbClr val="808080"/>
            </a:solidFill>
            <a:ln w="28440">
              <a:solidFill>
                <a:srgbClr val="808080"/>
              </a:solidFill>
              <a:custDash/>
              <a:round/>
            </a:ln>
          </c:spPr>
          <c:marker>
            <c:symbol val="none"/>
          </c:marker>
          <c:dLbls>
            <c:numFmt formatCode="General" sourceLinked="1"/>
            <c:dLblPos val="r"/>
            <c:showLegendKey val="0"/>
            <c:showVal val="0"/>
            <c:showCatName val="0"/>
            <c:showSerName val="0"/>
            <c:showPercent val="0"/>
            <c:showLeaderLines val="0"/>
          </c:dLbls>
          <c:xVal>
            <c:numRef>
              <c:f>3</c:f>
              <c:numCache>
                <c:formatCode>General</c:formatCode>
                <c:ptCount val="2"/>
                <c:pt idx="0">
                  <c:v>-34.3823391780522</c:v>
                </c:pt>
                <c:pt idx="1">
                  <c:v>197.246550222166</c:v>
                </c:pt>
              </c:numCache>
            </c:numRef>
          </c:xVal>
          <c:yVal>
            <c:numRef>
              <c:f>2</c:f>
              <c:numCache>
                <c:formatCode>General</c:formatCode>
                <c:ptCount val="2"/>
                <c:pt idx="0">
                  <c:v>0</c:v>
                </c:pt>
                <c:pt idx="1">
                  <c:v>0</c:v>
                </c:pt>
              </c:numCache>
            </c:numRef>
          </c:yVal>
          <c:smooth val="0"/>
        </c:ser>
        <c:ser>
          <c:idx val="2"/>
          <c:order val="2"/>
          <c:spPr>
            <a:solidFill>
              <a:srgbClr val="000000"/>
            </a:solidFill>
            <a:ln w="28440">
              <a:solidFill>
                <a:srgbClr val="000000"/>
              </a:solidFill>
              <a:round/>
            </a:ln>
          </c:spPr>
          <c:marker>
            <c:symbol val="none"/>
          </c:marker>
          <c:dLbls>
            <c:numFmt formatCode="General" sourceLinked="1"/>
            <c:dLblPos val="r"/>
            <c:showLegendKey val="0"/>
            <c:showVal val="0"/>
            <c:showCatName val="0"/>
            <c:showSerName val="0"/>
            <c:showPercent val="0"/>
            <c:showLeaderLines val="0"/>
          </c:dLbls>
          <c:xVal>
            <c:numRef>
              <c:f>5</c:f>
              <c:numCache>
                <c:formatCode>General</c:formatCode>
                <c:ptCount val="2"/>
                <c:pt idx="0">
                  <c:v>0</c:v>
                </c:pt>
                <c:pt idx="1">
                  <c:v>-15.6880336945785</c:v>
                </c:pt>
              </c:numCache>
            </c:numRef>
          </c:xVal>
          <c:yVal>
            <c:numRef>
              <c:f>4</c:f>
              <c:numCache>
                <c:formatCode>General</c:formatCode>
                <c:ptCount val="2"/>
                <c:pt idx="0">
                  <c:v>0</c:v>
                </c:pt>
                <c:pt idx="1">
                  <c:v>179.315045656514</c:v>
                </c:pt>
              </c:numCache>
            </c:numRef>
          </c:yVal>
          <c:smooth val="0"/>
        </c:ser>
        <c:ser>
          <c:idx val="3"/>
          <c:order val="3"/>
          <c:spPr>
            <a:solidFill>
              <a:srgbClr val="000000"/>
            </a:solidFill>
            <a:ln w="28440">
              <a:solidFill>
                <a:srgbClr val="000000"/>
              </a:solidFill>
              <a:round/>
            </a:ln>
          </c:spPr>
          <c:marker>
            <c:symbol val="none"/>
          </c:marker>
          <c:dLbls>
            <c:numFmt formatCode="General" sourceLinked="1"/>
            <c:dLblPos val="r"/>
            <c:showLegendKey val="0"/>
            <c:showVal val="0"/>
            <c:showCatName val="0"/>
            <c:showSerName val="0"/>
            <c:showPercent val="0"/>
            <c:showLeaderLines val="0"/>
          </c:dLbls>
          <c:xVal>
            <c:numRef>
              <c:f>7</c:f>
              <c:numCache>
                <c:formatCode>General</c:formatCode>
                <c:ptCount val="2"/>
                <c:pt idx="0">
                  <c:v>-10.458689129719</c:v>
                </c:pt>
                <c:pt idx="1">
                  <c:v>-20.4206361106364</c:v>
                </c:pt>
              </c:numCache>
            </c:numRef>
          </c:xVal>
          <c:yVal>
            <c:numRef>
              <c:f>6</c:f>
              <c:numCache>
                <c:formatCode>General</c:formatCode>
                <c:ptCount val="2"/>
                <c:pt idx="0">
                  <c:v>119.543363771009</c:v>
                </c:pt>
                <c:pt idx="1">
                  <c:v>118.671806343533</c:v>
                </c:pt>
              </c:numCache>
            </c:numRef>
          </c:yVal>
          <c:smooth val="0"/>
        </c:ser>
        <c:ser>
          <c:idx val="4"/>
          <c:order val="4"/>
          <c:spPr>
            <a:solidFill>
              <a:srgbClr val="000000"/>
            </a:solidFill>
            <a:ln w="127080">
              <a:solidFill>
                <a:srgbClr val="000000"/>
              </a:solidFill>
              <a:round/>
            </a:ln>
          </c:spPr>
          <c:marker>
            <c:symbol val="none"/>
          </c:marker>
          <c:dPt>
            <c:idx val="1"/>
            <c:spPr>
              <a:solidFill>
                <a:srgbClr val="595959"/>
              </a:solidFill>
              <a:ln w="127080">
                <a:solidFill>
                  <a:srgbClr val="595959"/>
                </a:solidFill>
                <a:round/>
              </a:ln>
            </c:spPr>
          </c:dPt>
          <c:dLbls>
            <c:numFmt formatCode="General" sourceLinked="1"/>
            <c:dLbl>
              <c:idx val="1"/>
              <c:dLblPos val="r"/>
              <c:showLegendKey val="0"/>
              <c:showVal val="0"/>
              <c:showCatName val="0"/>
              <c:showSerName val="0"/>
              <c:showPercent val="0"/>
            </c:dLbl>
            <c:dLblPos val="r"/>
            <c:showLegendKey val="0"/>
            <c:showVal val="0"/>
            <c:showCatName val="0"/>
            <c:showSerName val="0"/>
            <c:showPercent val="0"/>
            <c:showLeaderLines val="0"/>
          </c:dLbls>
          <c:xVal>
            <c:numRef>
              <c:f>9</c:f>
              <c:numCache>
                <c:formatCode>General</c:formatCode>
                <c:ptCount val="2"/>
                <c:pt idx="0">
                  <c:v>-27.0797103280189</c:v>
                </c:pt>
                <c:pt idx="1">
                  <c:v>-21.0865435323747</c:v>
                </c:pt>
              </c:numCache>
            </c:numRef>
          </c:xVal>
          <c:yVal>
            <c:numRef>
              <c:f>8</c:f>
              <c:numCache>
                <c:formatCode>General</c:formatCode>
                <c:ptCount val="2"/>
                <c:pt idx="0">
                  <c:v>18.8937690278621</c:v>
                </c:pt>
                <c:pt idx="1">
                  <c:v>108.694002611966</c:v>
                </c:pt>
              </c:numCache>
            </c:numRef>
          </c:yVal>
          <c:smooth val="0"/>
        </c:ser>
        <c:ser>
          <c:idx val="5"/>
          <c:order val="5"/>
          <c:spPr>
            <a:solidFill>
              <a:srgbClr val="000000"/>
            </a:solidFill>
            <a:ln w="28440">
              <a:solidFill>
                <a:srgbClr val="000000"/>
              </a:solidFill>
              <a:round/>
            </a:ln>
          </c:spPr>
          <c:marker>
            <c:symbol val="none"/>
          </c:marker>
          <c:dLbls>
            <c:numFmt formatCode="General" sourceLinked="1"/>
            <c:dLblPos val="r"/>
            <c:showLegendKey val="0"/>
            <c:showVal val="0"/>
            <c:showCatName val="0"/>
            <c:showSerName val="0"/>
            <c:showPercent val="0"/>
            <c:showLeaderLines val="0"/>
          </c:dLbls>
          <c:xVal>
            <c:numRef>
              <c:f>11</c:f>
              <c:numCache>
                <c:formatCode>General</c:formatCode>
                <c:ptCount val="2"/>
                <c:pt idx="0">
                  <c:v>0</c:v>
                </c:pt>
                <c:pt idx="1">
                  <c:v>177.265395542197</c:v>
                </c:pt>
              </c:numCache>
            </c:numRef>
          </c:xVal>
          <c:yVal>
            <c:numRef>
              <c:f>10</c:f>
              <c:numCache>
                <c:formatCode>General</c:formatCode>
                <c:ptCount val="2"/>
                <c:pt idx="0">
                  <c:v>0</c:v>
                </c:pt>
                <c:pt idx="1">
                  <c:v>-31.2566719800475</c:v>
                </c:pt>
              </c:numCache>
            </c:numRef>
          </c:yVal>
          <c:smooth val="0"/>
        </c:ser>
        <c:ser>
          <c:idx val="6"/>
          <c:order val="6"/>
          <c:spPr>
            <a:solidFill>
              <a:srgbClr val="000000"/>
            </a:solidFill>
            <a:ln w="28440">
              <a:solidFill>
                <a:srgbClr val="000000"/>
              </a:solidFill>
              <a:round/>
            </a:ln>
          </c:spPr>
          <c:marker>
            <c:symbol val="none"/>
          </c:marker>
          <c:dLbls>
            <c:numFmt formatCode="General" sourceLinked="1"/>
            <c:dLblPos val="r"/>
            <c:showLegendKey val="0"/>
            <c:showVal val="0"/>
            <c:showCatName val="0"/>
            <c:showSerName val="0"/>
            <c:showPercent val="0"/>
            <c:showLeaderLines val="0"/>
          </c:dLbls>
          <c:xVal>
            <c:numRef>
              <c:f>13</c:f>
              <c:numCache>
                <c:formatCode>General</c:formatCode>
                <c:ptCount val="2"/>
                <c:pt idx="0">
                  <c:v>118.176930361465</c:v>
                </c:pt>
                <c:pt idx="1">
                  <c:v>119.913412138134</c:v>
                </c:pt>
              </c:numCache>
            </c:numRef>
          </c:xVal>
          <c:yVal>
            <c:numRef>
              <c:f>12</c:f>
              <c:numCache>
                <c:formatCode>General</c:formatCode>
                <c:ptCount val="2"/>
                <c:pt idx="0">
                  <c:v>-20.8377813200316</c:v>
                </c:pt>
                <c:pt idx="1">
                  <c:v>-10.9897037899096</c:v>
                </c:pt>
              </c:numCache>
            </c:numRef>
          </c:yVal>
          <c:smooth val="0"/>
        </c:ser>
        <c:ser>
          <c:idx val="7"/>
          <c:order val="7"/>
          <c:spPr>
            <a:solidFill>
              <a:srgbClr val="595959"/>
            </a:solidFill>
            <a:ln w="127080">
              <a:solidFill>
                <a:srgbClr val="595959"/>
              </a:solidFill>
              <a:round/>
            </a:ln>
          </c:spPr>
          <c:marker>
            <c:symbol val="none"/>
          </c:marker>
          <c:dLbls>
            <c:numFmt formatCode="General" sourceLinked="1"/>
            <c:dLblPos val="r"/>
            <c:showLegendKey val="0"/>
            <c:showVal val="0"/>
            <c:showCatName val="0"/>
            <c:showSerName val="0"/>
            <c:showPercent val="0"/>
            <c:showLeaderLines val="0"/>
          </c:dLbls>
          <c:xVal>
            <c:numRef>
              <c:f>15</c:f>
              <c:numCache>
                <c:formatCode>General</c:formatCode>
                <c:ptCount val="2"/>
                <c:pt idx="0">
                  <c:v>-27.0797103280189</c:v>
                </c:pt>
                <c:pt idx="1">
                  <c:v>61.116163151673</c:v>
                </c:pt>
              </c:numCache>
            </c:numRef>
          </c:xVal>
          <c:yVal>
            <c:numRef>
              <c:f>14</c:f>
              <c:numCache>
                <c:formatCode>General</c:formatCode>
                <c:ptCount val="2"/>
                <c:pt idx="0">
                  <c:v>18.8937690278621</c:v>
                </c:pt>
                <c:pt idx="1">
                  <c:v>0.963685337199102</c:v>
                </c:pt>
              </c:numCache>
            </c:numRef>
          </c:yVal>
          <c:smooth val="0"/>
        </c:ser>
        <c:ser>
          <c:idx val="8"/>
          <c:order val="8"/>
          <c:spPr>
            <a:solidFill>
              <a:srgbClr val="4a7ebb"/>
            </a:solidFill>
            <a:ln w="28440">
              <a:solidFill>
                <a:srgbClr val="4a7ebb"/>
              </a:solidFill>
              <a:round/>
            </a:ln>
          </c:spPr>
          <c:marker>
            <c:symbol val="circle"/>
            <c:size val="13"/>
            <c:spPr>
              <a:solidFill>
                <a:srgbClr val="4a7ebb"/>
              </a:solidFill>
            </c:spPr>
          </c:marker>
          <c:dPt>
            <c:idx val="0"/>
            <c:spPr>
              <a:solidFill>
                <a:srgbClr val="4a7ebb"/>
              </a:solidFill>
              <a:ln w="28440">
                <a:solidFill>
                  <a:srgbClr val="4a7ebb"/>
                </a:solidFill>
                <a:round/>
              </a:ln>
            </c:spPr>
          </c:dPt>
          <c:dLbls>
            <c:numFmt formatCode="General" sourceLinked="1"/>
            <c:dLbl>
              <c:idx val="0"/>
              <c:dLblPos val="r"/>
              <c:showLegendKey val="0"/>
              <c:showVal val="0"/>
              <c:showCatName val="0"/>
              <c:showSerName val="0"/>
              <c:showPercent val="0"/>
            </c:dLbl>
            <c:dLblPos val="r"/>
            <c:showLegendKey val="0"/>
            <c:showVal val="0"/>
            <c:showCatName val="0"/>
            <c:showSerName val="0"/>
            <c:showPercent val="0"/>
            <c:showLeaderLines val="0"/>
          </c:dLbls>
          <c:xVal>
            <c:numRef>
              <c:f>17</c:f>
              <c:numCache>
                <c:formatCode>General</c:formatCode>
                <c:ptCount val="2"/>
                <c:pt idx="0">
                  <c:v>0</c:v>
                </c:pt>
                <c:pt idx="1">
                  <c:v>1</c:v>
                </c:pt>
              </c:numCache>
            </c:numRef>
          </c:xVal>
          <c:yVal>
            <c:numRef>
              <c:f>16</c:f>
              <c:numCache>
                <c:formatCode>General</c:formatCode>
                <c:ptCount val="2"/>
                <c:pt idx="0">
                  <c:v>0</c:v>
                </c:pt>
                <c:pt idx="1">
                  <c:v/>
                </c:pt>
              </c:numCache>
            </c:numRef>
          </c:yVal>
          <c:smooth val="0"/>
        </c:ser>
        <c:ser>
          <c:idx val="9"/>
          <c:order val="9"/>
          <c:spPr>
            <a:solidFill>
              <a:srgbClr val="595959"/>
            </a:solidFill>
            <a:ln w="60480">
              <a:solidFill>
                <a:srgbClr val="595959"/>
              </a:solidFill>
              <a:round/>
            </a:ln>
          </c:spPr>
          <c:marker>
            <c:symbol val="none"/>
          </c:marker>
          <c:dLbls>
            <c:numFmt formatCode="General" sourceLinked="1"/>
            <c:dLblPos val="r"/>
            <c:showLegendKey val="0"/>
            <c:showVal val="0"/>
            <c:showCatName val="0"/>
            <c:showSerName val="0"/>
            <c:showPercent val="0"/>
            <c:showLeaderLines val="0"/>
          </c:dLbls>
          <c:xVal>
            <c:numRef>
              <c:f>19</c:f>
              <c:numCache>
                <c:formatCode>General</c:formatCode>
                <c:ptCount val="2"/>
                <c:pt idx="0">
                  <c:v>-21.0865435323747</c:v>
                </c:pt>
                <c:pt idx="1">
                  <c:v>-20.4206361106364</c:v>
                </c:pt>
              </c:numCache>
            </c:numRef>
          </c:xVal>
          <c:yVal>
            <c:numRef>
              <c:f>18</c:f>
              <c:numCache>
                <c:formatCode>General</c:formatCode>
                <c:ptCount val="2"/>
                <c:pt idx="0">
                  <c:v>108.694002611966</c:v>
                </c:pt>
                <c:pt idx="1">
                  <c:v>118.671806343533</c:v>
                </c:pt>
              </c:numCache>
            </c:numRef>
          </c:yVal>
          <c:smooth val="0"/>
        </c:ser>
        <c:ser>
          <c:idx val="10"/>
          <c:order val="10"/>
          <c:spPr>
            <a:solidFill>
              <a:srgbClr val="000000"/>
            </a:solidFill>
            <a:ln w="28440">
              <a:solidFill>
                <a:srgbClr val="000000"/>
              </a:solidFill>
              <a:round/>
            </a:ln>
          </c:spPr>
          <c:marker>
            <c:symbol val="circle"/>
            <c:size val="13"/>
            <c:spPr>
              <a:solidFill>
                <a:srgbClr val="000000"/>
              </a:solidFill>
            </c:spPr>
          </c:marker>
          <c:dLbls>
            <c:numFmt formatCode="General" sourceLinked="1"/>
            <c:dLblPos val="r"/>
            <c:showLegendKey val="0"/>
            <c:showVal val="0"/>
            <c:showCatName val="0"/>
            <c:showSerName val="0"/>
            <c:showPercent val="0"/>
            <c:showLeaderLines val="0"/>
          </c:dLbls>
          <c:xVal>
            <c:numRef>
              <c:f>21</c:f>
              <c:numCache>
                <c:formatCode>General</c:formatCode>
                <c:ptCount val="2"/>
                <c:pt idx="0">
                  <c:v>-27.0797103280189</c:v>
                </c:pt>
                <c:pt idx="1">
                  <c:v>1</c:v>
                </c:pt>
              </c:numCache>
            </c:numRef>
          </c:xVal>
          <c:yVal>
            <c:numRef>
              <c:f>20</c:f>
              <c:numCache>
                <c:formatCode>General</c:formatCode>
                <c:ptCount val="2"/>
                <c:pt idx="0">
                  <c:v>18.8937690278621</c:v>
                </c:pt>
                <c:pt idx="1">
                  <c:v/>
                </c:pt>
              </c:numCache>
            </c:numRef>
          </c:yVal>
          <c:smooth val="0"/>
        </c:ser>
        <c:ser>
          <c:idx val="11"/>
          <c:order val="11"/>
          <c:spPr>
            <a:solidFill>
              <a:srgbClr val="98b855"/>
            </a:solidFill>
            <a:ln w="28440">
              <a:solidFill>
                <a:srgbClr val="98b855"/>
              </a:solidFill>
              <a:round/>
            </a:ln>
          </c:spPr>
          <c:marker>
            <c:symbol val="circle"/>
            <c:size val="9"/>
            <c:spPr>
              <a:solidFill>
                <a:srgbClr val="98b855"/>
              </a:solidFill>
            </c:spPr>
          </c:marker>
          <c:dPt>
            <c:idx val="0"/>
            <c:spPr>
              <a:solidFill>
                <a:srgbClr val="98b855"/>
              </a:solidFill>
              <a:ln w="28440">
                <a:solidFill>
                  <a:srgbClr val="98b855"/>
                </a:solidFill>
                <a:round/>
              </a:ln>
            </c:spPr>
          </c:dPt>
          <c:dLbls>
            <c:numFmt formatCode="General" sourceLinked="1"/>
            <c:dLbl>
              <c:idx val="0"/>
              <c:dLblPos val="r"/>
              <c:showLegendKey val="0"/>
              <c:showVal val="0"/>
              <c:showCatName val="0"/>
              <c:showSerName val="0"/>
              <c:showPercent val="0"/>
            </c:dLbl>
            <c:dLblPos val="r"/>
            <c:showLegendKey val="0"/>
            <c:showVal val="0"/>
            <c:showCatName val="0"/>
            <c:showSerName val="0"/>
            <c:showPercent val="0"/>
            <c:showLeaderLines val="0"/>
          </c:dLbls>
          <c:xVal>
            <c:numRef>
              <c:f>23</c:f>
              <c:numCache>
                <c:formatCode>General</c:formatCode>
                <c:ptCount val="2"/>
                <c:pt idx="0">
                  <c:v>-20.4206361106364</c:v>
                </c:pt>
                <c:pt idx="1">
                  <c:v>1</c:v>
                </c:pt>
              </c:numCache>
            </c:numRef>
          </c:xVal>
          <c:yVal>
            <c:numRef>
              <c:f>22</c:f>
              <c:numCache>
                <c:formatCode>General</c:formatCode>
                <c:ptCount val="2"/>
                <c:pt idx="0">
                  <c:v>118.671806343533</c:v>
                </c:pt>
                <c:pt idx="1">
                  <c:v/>
                </c:pt>
              </c:numCache>
            </c:numRef>
          </c:yVal>
          <c:smooth val="0"/>
        </c:ser>
        <c:ser>
          <c:idx val="12"/>
          <c:order val="12"/>
          <c:spPr>
            <a:solidFill>
              <a:srgbClr val="595959"/>
            </a:solidFill>
            <a:ln w="60480">
              <a:solidFill>
                <a:srgbClr val="595959"/>
              </a:solidFill>
              <a:round/>
            </a:ln>
          </c:spPr>
          <c:marker>
            <c:symbol val="none"/>
          </c:marker>
          <c:dLbls>
            <c:numFmt formatCode="General" sourceLinked="1"/>
            <c:dLblPos val="r"/>
            <c:showLegendKey val="0"/>
            <c:showVal val="0"/>
            <c:showCatName val="0"/>
            <c:showSerName val="0"/>
            <c:showPercent val="0"/>
            <c:showLeaderLines val="0"/>
          </c:dLbls>
          <c:xVal>
            <c:numRef>
              <c:f>25</c:f>
              <c:numCache>
                <c:formatCode>General</c:formatCode>
                <c:ptCount val="2"/>
                <c:pt idx="0">
                  <c:v>61.116163151673</c:v>
                </c:pt>
                <c:pt idx="1">
                  <c:v>119.913412138134</c:v>
                </c:pt>
              </c:numCache>
            </c:numRef>
          </c:xVal>
          <c:yVal>
            <c:numRef>
              <c:f>24</c:f>
              <c:numCache>
                <c:formatCode>General</c:formatCode>
                <c:ptCount val="2"/>
                <c:pt idx="0">
                  <c:v>0.963685337199102</c:v>
                </c:pt>
                <c:pt idx="1">
                  <c:v>-10.9897037899096</c:v>
                </c:pt>
              </c:numCache>
            </c:numRef>
          </c:yVal>
          <c:smooth val="0"/>
        </c:ser>
        <c:ser>
          <c:idx val="13"/>
          <c:order val="13"/>
          <c:spPr>
            <a:solidFill>
              <a:srgbClr val="7d5fa0"/>
            </a:solidFill>
            <a:ln w="28440">
              <a:solidFill>
                <a:srgbClr val="7d5fa0"/>
              </a:solidFill>
              <a:round/>
            </a:ln>
          </c:spPr>
          <c:marker>
            <c:symbol val="circle"/>
            <c:size val="9"/>
            <c:spPr>
              <a:solidFill>
                <a:srgbClr val="7d5fa0"/>
              </a:solidFill>
            </c:spPr>
          </c:marker>
          <c:dPt>
            <c:idx val="0"/>
            <c:spPr>
              <a:solidFill>
                <a:srgbClr val="7d5fa0"/>
              </a:solidFill>
              <a:ln w="28440">
                <a:solidFill>
                  <a:srgbClr val="7d5fa0"/>
                </a:solidFill>
                <a:round/>
              </a:ln>
            </c:spPr>
          </c:dPt>
          <c:dLbls>
            <c:numFmt formatCode="General" sourceLinked="1"/>
            <c:dLbl>
              <c:idx val="0"/>
              <c:dLblPos val="r"/>
              <c:showLegendKey val="0"/>
              <c:showVal val="0"/>
              <c:showCatName val="0"/>
              <c:showSerName val="0"/>
              <c:showPercent val="0"/>
            </c:dLbl>
            <c:dLblPos val="r"/>
            <c:showLegendKey val="0"/>
            <c:showVal val="0"/>
            <c:showCatName val="0"/>
            <c:showSerName val="0"/>
            <c:showPercent val="0"/>
            <c:showLeaderLines val="0"/>
          </c:dLbls>
          <c:xVal>
            <c:numRef>
              <c:f>27</c:f>
              <c:numCache>
                <c:formatCode>General</c:formatCode>
                <c:ptCount val="2"/>
                <c:pt idx="0">
                  <c:v>119.913412138134</c:v>
                </c:pt>
                <c:pt idx="1">
                  <c:v>1</c:v>
                </c:pt>
              </c:numCache>
            </c:numRef>
          </c:xVal>
          <c:yVal>
            <c:numRef>
              <c:f>26</c:f>
              <c:numCache>
                <c:formatCode>General</c:formatCode>
                <c:ptCount val="2"/>
                <c:pt idx="0">
                  <c:v>-10.9897037899096</c:v>
                </c:pt>
                <c:pt idx="1">
                  <c:v/>
                </c:pt>
              </c:numCache>
            </c:numRef>
          </c:yVal>
          <c:smooth val="0"/>
        </c:ser>
        <c:ser>
          <c:idx val="14"/>
          <c:order val="14"/>
          <c:spPr>
            <a:solidFill>
              <a:srgbClr val="a5b5d3"/>
            </a:solidFill>
            <a:ln w="28440">
              <a:solidFill>
                <a:srgbClr val="a5b5d3"/>
              </a:solidFill>
              <a:round/>
            </a:ln>
          </c:spPr>
          <c:marker>
            <c:symbol val="none"/>
          </c:marker>
          <c:dLbls>
            <c:numFmt formatCode="General" sourceLinked="1"/>
            <c:dLblPos val="r"/>
            <c:showLegendKey val="0"/>
            <c:showVal val="0"/>
            <c:showCatName val="0"/>
            <c:showSerName val="0"/>
            <c:showPercent val="0"/>
            <c:showLeaderLines val="0"/>
          </c:dLbls>
          <c:xVal>
            <c:numRef>
              <c:f>29</c:f>
              <c:numCache>
                <c:formatCode>General</c:formatCode>
                <c:ptCount val="2"/>
                <c:pt idx="0">
                  <c:v>197.246550222166</c:v>
                </c:pt>
                <c:pt idx="1">
                  <c:v>1</c:v>
                </c:pt>
              </c:numCache>
            </c:numRef>
          </c:xVal>
          <c:yVal>
            <c:numRef>
              <c:f>28</c:f>
              <c:numCache>
                <c:formatCode>General</c:formatCode>
                <c:ptCount val="2"/>
                <c:pt idx="0">
                  <c:v>197.246550222166</c:v>
                </c:pt>
                <c:pt idx="1">
                  <c:v/>
                </c:pt>
              </c:numCache>
            </c:numRef>
          </c:yVal>
          <c:smooth val="0"/>
        </c:ser>
        <c:axId val="65053739"/>
        <c:axId val="64081228"/>
      </c:scatterChart>
      <c:valAx>
        <c:axId val="65053739"/>
        <c:scaling>
          <c:orientation val="minMax"/>
        </c:scaling>
        <c:delete val="1"/>
        <c:axPos val="b"/>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64081228"/>
        <c:crosses val="autoZero"/>
        <c:crossBetween val="midCat"/>
      </c:valAx>
      <c:valAx>
        <c:axId val="64081228"/>
        <c:scaling>
          <c:orientation val="minMax"/>
        </c:scaling>
        <c:delete val="1"/>
        <c:axPos val="l"/>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65053739"/>
        <c:crosses val="autoZero"/>
        <c:crossBetween val="midCat"/>
      </c:valAx>
      <c:spPr>
        <a:solidFill>
          <a:srgbClr val="ffffff"/>
        </a:solidFill>
        <a:ln>
          <a:noFill/>
        </a:ln>
      </c:spPr>
    </c:plotArea>
    <c:plotVisOnly val="1"/>
    <c:dispBlanksAs val="gap"/>
  </c:chart>
  <c:spPr>
    <a:solidFill>
      <a:srgbClr val="ffffff"/>
    </a:solidFill>
    <a:ln>
      <a:noFill/>
    </a:ln>
  </c:spPr>
</c:chartSpace>
</file>

<file path=xl/drawings/_rels/drawing5.xml.rels><?xml version="1.0" encoding="UTF-8"?>
<Relationships xmlns="http://schemas.openxmlformats.org/package/2006/relationships"><Relationship Id="rId1" Type="http://schemas.openxmlformats.org/officeDocument/2006/relationships/chart" Target="../charts/chart1.xml"/>
</Relationships>
</file>

<file path=xl/drawings/_rels/drawing7.xml.rels><?xml version="1.0" encoding="UTF-8"?>
<Relationships xmlns="http://schemas.openxmlformats.org/package/2006/relationships"><Relationship Id="rId1" Type="http://schemas.openxmlformats.org/officeDocument/2006/relationships/image" Target="../media/image1.png"/>
</Relationships>
</file>

<file path=xl/drawings/_rels/drawing9.xml.rels><?xml version="1.0" encoding="UTF-8"?>
<Relationships xmlns="http://schemas.openxmlformats.org/package/2006/relationships"><Relationship Id="rId1" Type="http://schemas.openxmlformats.org/officeDocument/2006/relationships/chart" Target="../charts/chart2.xml"/>
</Relationships>
</file>

<file path=xl/drawings/_rels/drawing10.xml.rels><?xml version="1.0" encoding="UTF-8"?>
<Relationships xmlns="http://schemas.openxmlformats.org/package/2006/relationships"><Relationship Id="rId1" Type="http://schemas.openxmlformats.org/officeDocument/2006/relationships/image" Target="../media/image2.jpeg"/><Relationship Id="rId2" Type="http://schemas.openxmlformats.org/officeDocument/2006/relationships/chart" Target="../charts/chart3.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0</xdr:colOff>
      <xdr:row>3</xdr:row>
      <xdr:rowOff>17280</xdr:rowOff>
    </xdr:from>
    <xdr:to>
      <xdr:col>18</xdr:col>
      <xdr:colOff>159840</xdr:colOff>
      <xdr:row>34</xdr:row>
      <xdr:rowOff>190080</xdr:rowOff>
    </xdr:to>
    <xdr:graphicFrame>
      <xdr:nvGraphicFramePr>
        <xdr:cNvPr id="0" name="Chart 2"/>
        <xdr:cNvGraphicFramePr/>
      </xdr:nvGraphicFramePr>
      <xdr:xfrm>
        <a:off x="6460920" y="786600"/>
        <a:ext cx="6077520" cy="60256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0</xdr:colOff>
      <xdr:row>12</xdr:row>
      <xdr:rowOff>133200</xdr:rowOff>
    </xdr:from>
    <xdr:to>
      <xdr:col>8</xdr:col>
      <xdr:colOff>482400</xdr:colOff>
      <xdr:row>33</xdr:row>
      <xdr:rowOff>132840</xdr:rowOff>
    </xdr:to>
    <xdr:pic>
      <xdr:nvPicPr>
        <xdr:cNvPr id="1" name="Picture 2" descr=""/>
        <xdr:cNvPicPr/>
      </xdr:nvPicPr>
      <xdr:blipFill>
        <a:blip r:embed="rId1"/>
        <a:stretch/>
      </xdr:blipFill>
      <xdr:spPr>
        <a:xfrm>
          <a:off x="3336120" y="2613240"/>
          <a:ext cx="3143160" cy="3958200"/>
        </a:xfrm>
        <a:prstGeom prst="rect">
          <a:avLst/>
        </a:prstGeom>
        <a:ln w="19080">
          <a:solidFill>
            <a:srgbClr val="000000"/>
          </a:solidFill>
          <a:round/>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219240</xdr:colOff>
      <xdr:row>17</xdr:row>
      <xdr:rowOff>0</xdr:rowOff>
    </xdr:from>
    <xdr:to>
      <xdr:col>10</xdr:col>
      <xdr:colOff>723600</xdr:colOff>
      <xdr:row>37</xdr:row>
      <xdr:rowOff>190080</xdr:rowOff>
    </xdr:to>
    <xdr:graphicFrame>
      <xdr:nvGraphicFramePr>
        <xdr:cNvPr id="2" name="Chart 1"/>
        <xdr:cNvGraphicFramePr/>
      </xdr:nvGraphicFramePr>
      <xdr:xfrm>
        <a:off x="723240" y="3345480"/>
        <a:ext cx="7517880" cy="40003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9360</xdr:colOff>
      <xdr:row>14</xdr:row>
      <xdr:rowOff>9000</xdr:rowOff>
    </xdr:from>
    <xdr:to>
      <xdr:col>8</xdr:col>
      <xdr:colOff>1275840</xdr:colOff>
      <xdr:row>34</xdr:row>
      <xdr:rowOff>129600</xdr:rowOff>
    </xdr:to>
    <xdr:pic>
      <xdr:nvPicPr>
        <xdr:cNvPr id="3" name="Picture 1" descr=""/>
        <xdr:cNvPicPr/>
      </xdr:nvPicPr>
      <xdr:blipFill>
        <a:blip r:embed="rId1"/>
        <a:stretch/>
      </xdr:blipFill>
      <xdr:spPr>
        <a:xfrm>
          <a:off x="745200" y="2921400"/>
          <a:ext cx="5630760" cy="3923640"/>
        </a:xfrm>
        <a:prstGeom prst="rect">
          <a:avLst/>
        </a:prstGeom>
        <a:ln>
          <a:noFill/>
        </a:ln>
      </xdr:spPr>
    </xdr:pic>
    <xdr:clientData/>
  </xdr:twoCellAnchor>
  <xdr:twoCellAnchor editAs="oneCell">
    <xdr:from>
      <xdr:col>10</xdr:col>
      <xdr:colOff>0</xdr:colOff>
      <xdr:row>3</xdr:row>
      <xdr:rowOff>0</xdr:rowOff>
    </xdr:from>
    <xdr:to>
      <xdr:col>18</xdr:col>
      <xdr:colOff>123480</xdr:colOff>
      <xdr:row>28</xdr:row>
      <xdr:rowOff>190080</xdr:rowOff>
    </xdr:to>
    <xdr:graphicFrame>
      <xdr:nvGraphicFramePr>
        <xdr:cNvPr id="4" name="Chart 2"/>
        <xdr:cNvGraphicFramePr/>
      </xdr:nvGraphicFramePr>
      <xdr:xfrm>
        <a:off x="6904080" y="769320"/>
        <a:ext cx="5284800" cy="5000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hyperlink" Target="https://www.chiefdelphi.com/t/paper-jvns-mechanical-design-calculator-2016/146281" TargetMode="External"/><Relationship Id="rId2" Type="http://schemas.openxmlformats.org/officeDocument/2006/relationships/hyperlink" Target="https://www.chiefdelphi.com/t/paper-simple-motor-calculator/108165" TargetMode="External"/><Relationship Id="rId3" Type="http://schemas.openxmlformats.org/officeDocument/2006/relationships/hyperlink" Target="https://www.chiefdelphi.com/t/paper-chain-belt-calculator/168971" TargetMode="External"/><Relationship Id="rId4" Type="http://schemas.openxmlformats.org/officeDocument/2006/relationships/hyperlink" Target="https://www.chiefdelphi.com/t/paper-pneumatic-system-simulator/168272" TargetMode="External"/><Relationship Id="rId5" Type="http://schemas.openxmlformats.org/officeDocument/2006/relationships/hyperlink" Target="https://fac.ksu.edu.sa/sites/default/files/mechanical-disgin-shigley.pdf" TargetMode="External"/><Relationship Id="rId6" Type="http://schemas.openxmlformats.org/officeDocument/2006/relationships/hyperlink" Target="https://www.chiefdelphi.com/t/versa-planetary-configuration-tool/335646" TargetMode="External"/><Relationship Id="rId7"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6.xml.rels><?xml version="1.0" encoding="UTF-8"?>
<Relationships xmlns="http://schemas.openxmlformats.org/package/2006/relationships"><Relationship Id="rId1" Type="http://schemas.openxmlformats.org/officeDocument/2006/relationships/drawing" Target="../drawings/drawing5.xml"/>
</Relationships>
</file>

<file path=xl/worksheets/_rels/sheet7.xml.rels><?xml version="1.0" encoding="UTF-8"?>
<Relationships xmlns="http://schemas.openxmlformats.org/package/2006/relationships"><Relationship Id="rId1" Type="http://schemas.openxmlformats.org/officeDocument/2006/relationships/drawing" Target="../drawings/drawing6.xml"/>
</Relationships>
</file>

<file path=xl/worksheets/_rels/sheet8.xml.rels><?xml version="1.0" encoding="UTF-8"?>
<Relationships xmlns="http://schemas.openxmlformats.org/package/2006/relationships"><Relationship Id="rId1" Type="http://schemas.openxmlformats.org/officeDocument/2006/relationships/drawing" Target="../drawings/drawing7.xml"/>
</Relationships>
</file>

<file path=xl/worksheets/_rels/sheet9.xml.rels><?xml version="1.0" encoding="UTF-8"?>
<Relationships xmlns="http://schemas.openxmlformats.org/package/2006/relationships"><Relationship Id="rId1" Type="http://schemas.openxmlformats.org/officeDocument/2006/relationships/drawing" Target="../drawings/drawing8.xml"/>
</Relationships>
</file>

<file path=xl/worksheets/_rels/sheet10.xml.rels><?xml version="1.0" encoding="UTF-8"?>
<Relationships xmlns="http://schemas.openxmlformats.org/package/2006/relationships"><Relationship Id="rId1" Type="http://schemas.openxmlformats.org/officeDocument/2006/relationships/drawing" Target="../drawings/drawing9.xml"/>
</Relationships>
</file>

<file path=xl/worksheets/_rels/sheet11.xml.rels><?xml version="1.0" encoding="UTF-8"?>
<Relationships xmlns="http://schemas.openxmlformats.org/package/2006/relationships"><Relationship Id="rId1" Type="http://schemas.openxmlformats.org/officeDocument/2006/relationships/drawing" Target="../drawings/drawing10.xml"/>
</Relationships>
</file>

<file path=xl/worksheets/_rels/sheet13.xml.rels><?xml version="1.0" encoding="UTF-8"?>
<Relationships xmlns="http://schemas.openxmlformats.org/package/2006/relationships"><Relationship Id="rId1" Type="http://schemas.openxmlformats.org/officeDocument/2006/relationships/drawing" Target="../drawings/drawing1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2:E52"/>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C13" activeCellId="0" sqref="C13"/>
    </sheetView>
  </sheetViews>
  <sheetFormatPr defaultRowHeight="15" zeroHeight="false" outlineLevelRow="0" outlineLevelCol="0"/>
  <cols>
    <col collapsed="false" customWidth="true" hidden="false" outlineLevel="0" max="1" min="1" style="1" width="9.14"/>
    <col collapsed="false" customWidth="true" hidden="false" outlineLevel="0" max="2" min="2" style="1" width="2.71"/>
    <col collapsed="false" customWidth="true" hidden="false" outlineLevel="0" max="3" min="3" style="1" width="70.71"/>
    <col collapsed="false" customWidth="true" hidden="false" outlineLevel="0" max="4" min="4" style="1" width="9.14"/>
    <col collapsed="false" customWidth="true" hidden="false" outlineLevel="0" max="5" min="5" style="1" width="8.57"/>
    <col collapsed="false" customWidth="true" hidden="false" outlineLevel="0" max="1025" min="6" style="1" width="9.14"/>
  </cols>
  <sheetData>
    <row r="2" customFormat="false" ht="31.15" hidden="false" customHeight="false" outlineLevel="0" collapsed="false">
      <c r="C2" s="2" t="s">
        <v>0</v>
      </c>
    </row>
    <row r="3" customFormat="false" ht="15.6" hidden="false" customHeight="false" outlineLevel="0" collapsed="false">
      <c r="C3" s="3" t="s">
        <v>1</v>
      </c>
    </row>
    <row r="4" customFormat="false" ht="15.6" hidden="false" customHeight="false" outlineLevel="0" collapsed="false">
      <c r="C4" s="3" t="s">
        <v>2</v>
      </c>
    </row>
    <row r="5" customFormat="false" ht="15" hidden="false" customHeight="true" outlineLevel="0" collapsed="false">
      <c r="D5" s="4" t="s">
        <v>3</v>
      </c>
      <c r="E5" s="4"/>
    </row>
    <row r="6" customFormat="false" ht="15" hidden="false" customHeight="true" outlineLevel="0" collapsed="false">
      <c r="C6" s="5" t="s">
        <v>4</v>
      </c>
      <c r="D6" s="4"/>
      <c r="E6" s="4"/>
    </row>
    <row r="7" customFormat="false" ht="15" hidden="false" customHeight="true" outlineLevel="0" collapsed="false">
      <c r="B7" s="6" t="s">
        <v>5</v>
      </c>
      <c r="C7" s="1" t="s">
        <v>6</v>
      </c>
      <c r="D7" s="4"/>
      <c r="E7" s="4"/>
    </row>
    <row r="8" customFormat="false" ht="15" hidden="false" customHeight="true" outlineLevel="0" collapsed="false">
      <c r="B8" s="7" t="s">
        <v>5</v>
      </c>
      <c r="C8" s="1" t="s">
        <v>7</v>
      </c>
      <c r="D8" s="4"/>
      <c r="E8" s="4"/>
    </row>
    <row r="9" customFormat="false" ht="15" hidden="false" customHeight="true" outlineLevel="0" collapsed="false">
      <c r="B9" s="8" t="s">
        <v>5</v>
      </c>
      <c r="C9" s="1" t="s">
        <v>8</v>
      </c>
      <c r="D9" s="4"/>
      <c r="E9" s="4"/>
    </row>
    <row r="10" customFormat="false" ht="15" hidden="false" customHeight="true" outlineLevel="0" collapsed="false">
      <c r="B10" s="9" t="s">
        <v>5</v>
      </c>
      <c r="C10" s="1" t="s">
        <v>9</v>
      </c>
      <c r="D10" s="4"/>
      <c r="E10" s="4"/>
    </row>
    <row r="12" customFormat="false" ht="14.45" hidden="false" customHeight="false" outlineLevel="0" collapsed="false">
      <c r="C12" s="10" t="s">
        <v>10</v>
      </c>
    </row>
    <row r="13" customFormat="false" ht="60.75" hidden="false" customHeight="true" outlineLevel="0" collapsed="false">
      <c r="C13" s="11" t="s">
        <v>11</v>
      </c>
    </row>
    <row r="14" customFormat="false" ht="14.45" hidden="false" customHeight="false" outlineLevel="0" collapsed="false">
      <c r="C14" s="12"/>
    </row>
    <row r="15" customFormat="false" ht="14.45" hidden="false" customHeight="false" outlineLevel="0" collapsed="false">
      <c r="C15" s="10" t="s">
        <v>12</v>
      </c>
    </row>
    <row r="16" customFormat="false" ht="96" hidden="false" customHeight="true" outlineLevel="0" collapsed="false">
      <c r="C16" s="11" t="s">
        <v>13</v>
      </c>
    </row>
    <row r="17" customFormat="false" ht="14.45" hidden="false" customHeight="false" outlineLevel="0" collapsed="false">
      <c r="C17" s="12"/>
    </row>
    <row r="18" customFormat="false" ht="14.45" hidden="false" customHeight="false" outlineLevel="0" collapsed="false">
      <c r="C18" s="10" t="s">
        <v>14</v>
      </c>
    </row>
    <row r="19" customFormat="false" ht="78" hidden="false" customHeight="true" outlineLevel="0" collapsed="false">
      <c r="C19" s="11" t="s">
        <v>15</v>
      </c>
    </row>
    <row r="20" customFormat="false" ht="14.45" hidden="false" customHeight="false" outlineLevel="0" collapsed="false">
      <c r="C20" s="12"/>
    </row>
    <row r="21" customFormat="false" ht="14.45" hidden="false" customHeight="false" outlineLevel="0" collapsed="false">
      <c r="C21" s="10" t="s">
        <v>16</v>
      </c>
    </row>
    <row r="22" customFormat="false" ht="75" hidden="false" customHeight="false" outlineLevel="0" collapsed="false">
      <c r="C22" s="11" t="s">
        <v>17</v>
      </c>
    </row>
    <row r="23" customFormat="false" ht="15" hidden="false" customHeight="false" outlineLevel="0" collapsed="false">
      <c r="C23" s="12"/>
    </row>
    <row r="24" customFormat="false" ht="15" hidden="false" customHeight="false" outlineLevel="0" collapsed="false">
      <c r="C24" s="10" t="s">
        <v>18</v>
      </c>
    </row>
    <row r="25" customFormat="false" ht="120" hidden="false" customHeight="false" outlineLevel="0" collapsed="false">
      <c r="C25" s="11" t="s">
        <v>19</v>
      </c>
    </row>
    <row r="26" customFormat="false" ht="15" hidden="false" customHeight="false" outlineLevel="0" collapsed="false">
      <c r="C26" s="12"/>
    </row>
    <row r="27" customFormat="false" ht="15" hidden="false" customHeight="false" outlineLevel="0" collapsed="false">
      <c r="C27" s="10" t="s">
        <v>20</v>
      </c>
    </row>
    <row r="28" customFormat="false" ht="90" hidden="false" customHeight="false" outlineLevel="0" collapsed="false">
      <c r="C28" s="11" t="s">
        <v>21</v>
      </c>
    </row>
    <row r="29" customFormat="false" ht="15" hidden="false" customHeight="false" outlineLevel="0" collapsed="false">
      <c r="C29" s="12"/>
    </row>
    <row r="30" customFormat="false" ht="15" hidden="false" customHeight="false" outlineLevel="0" collapsed="false">
      <c r="C30" s="10" t="s">
        <v>22</v>
      </c>
    </row>
    <row r="31" customFormat="false" ht="45" hidden="false" customHeight="false" outlineLevel="0" collapsed="false">
      <c r="C31" s="11" t="s">
        <v>23</v>
      </c>
    </row>
    <row r="32" customFormat="false" ht="15" hidden="false" customHeight="false" outlineLevel="0" collapsed="false">
      <c r="C32" s="12"/>
    </row>
    <row r="33" customFormat="false" ht="15" hidden="false" customHeight="false" outlineLevel="0" collapsed="false">
      <c r="C33" s="10" t="s">
        <v>24</v>
      </c>
    </row>
    <row r="34" customFormat="false" ht="33.75" hidden="false" customHeight="true" outlineLevel="0" collapsed="false">
      <c r="C34" s="11" t="s">
        <v>25</v>
      </c>
    </row>
    <row r="35" customFormat="false" ht="15" hidden="false" customHeight="false" outlineLevel="0" collapsed="false">
      <c r="C35" s="12"/>
    </row>
    <row r="36" customFormat="false" ht="15" hidden="false" customHeight="false" outlineLevel="0" collapsed="false">
      <c r="C36" s="10" t="s">
        <v>26</v>
      </c>
    </row>
    <row r="37" customFormat="false" ht="105" hidden="false" customHeight="false" outlineLevel="0" collapsed="false">
      <c r="C37" s="11" t="s">
        <v>27</v>
      </c>
    </row>
    <row r="38" customFormat="false" ht="15" hidden="false" customHeight="false" outlineLevel="0" collapsed="false">
      <c r="C38" s="12"/>
    </row>
    <row r="39" customFormat="false" ht="15" hidden="false" customHeight="false" outlineLevel="0" collapsed="false">
      <c r="C39" s="10" t="s">
        <v>28</v>
      </c>
    </row>
    <row r="40" customFormat="false" ht="75" hidden="false" customHeight="false" outlineLevel="0" collapsed="false">
      <c r="C40" s="11" t="s">
        <v>29</v>
      </c>
    </row>
    <row r="41" customFormat="false" ht="15" hidden="false" customHeight="false" outlineLevel="0" collapsed="false">
      <c r="C41" s="12"/>
    </row>
    <row r="42" customFormat="false" ht="15" hidden="false" customHeight="false" outlineLevel="0" collapsed="false">
      <c r="C42" s="10" t="s">
        <v>30</v>
      </c>
    </row>
    <row r="43" customFormat="false" ht="47.25" hidden="false" customHeight="true" outlineLevel="0" collapsed="false">
      <c r="C43" s="11" t="s">
        <v>31</v>
      </c>
    </row>
    <row r="44" customFormat="false" ht="15" hidden="false" customHeight="false" outlineLevel="0" collapsed="false">
      <c r="C44" s="12"/>
    </row>
    <row r="46" customFormat="false" ht="15" hidden="false" customHeight="false" outlineLevel="0" collapsed="false">
      <c r="C46" s="13" t="s">
        <v>32</v>
      </c>
    </row>
    <row r="47" customFormat="false" ht="15" hidden="false" customHeight="false" outlineLevel="0" collapsed="false">
      <c r="C47" s="14" t="s">
        <v>33</v>
      </c>
    </row>
    <row r="48" customFormat="false" ht="15" hidden="false" customHeight="false" outlineLevel="0" collapsed="false">
      <c r="C48" s="14" t="s">
        <v>34</v>
      </c>
    </row>
    <row r="49" customFormat="false" ht="15" hidden="false" customHeight="false" outlineLevel="0" collapsed="false">
      <c r="C49" s="14" t="s">
        <v>35</v>
      </c>
    </row>
    <row r="50" customFormat="false" ht="15" hidden="false" customHeight="false" outlineLevel="0" collapsed="false">
      <c r="B50" s="15"/>
      <c r="C50" s="16" t="s">
        <v>36</v>
      </c>
    </row>
    <row r="51" customFormat="false" ht="15" hidden="false" customHeight="false" outlineLevel="0" collapsed="false">
      <c r="B51" s="15"/>
      <c r="C51" s="16" t="s">
        <v>37</v>
      </c>
    </row>
    <row r="52" customFormat="false" ht="15" hidden="false" customHeight="false" outlineLevel="0" collapsed="false">
      <c r="C52" s="17" t="s">
        <v>38</v>
      </c>
    </row>
  </sheetData>
  <mergeCells count="1">
    <mergeCell ref="D5:E10"/>
  </mergeCells>
  <hyperlinks>
    <hyperlink ref="C47" r:id="rId1" display="JVN's Mechanical Design Calculator"/>
    <hyperlink ref="C48" r:id="rId2" display="Ether's Simple Motor Calculator"/>
    <hyperlink ref="C49" r:id="rId3" display="Clem1640's Chain/Belt Calculator"/>
    <hyperlink ref="C50" r:id="rId4" display="NickBrickMaster's Pneumatic System Simulator"/>
    <hyperlink ref="C51" r:id="rId5" display="Shigley's Mechanical Engineering Design"/>
    <hyperlink ref="C52" r:id="rId6" display="Andrew Schreiber's VersaPlanetary Configuration Tool"/>
  </hyperlink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7"/>
</worksheet>
</file>

<file path=xl/worksheets/sheet2.xml><?xml version="1.0" encoding="utf-8"?>
<worksheet xmlns="http://schemas.openxmlformats.org/spreadsheetml/2006/main" xmlns:r="http://schemas.openxmlformats.org/officeDocument/2006/relationships">
  <sheetPr filterMode="false">
    <pageSetUpPr fitToPage="false"/>
  </sheetPr>
  <dimension ref="B2:P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19.42"/>
    <col collapsed="false" customWidth="true" hidden="false" outlineLevel="0" max="6" min="4" style="18" width="9.14"/>
    <col collapsed="false" customWidth="true" hidden="false" outlineLevel="0" max="7" min="7" style="18" width="22.01"/>
    <col collapsed="false" customWidth="false" hidden="false" outlineLevel="0" max="15" min="8" style="18" width="11.42"/>
    <col collapsed="false" customWidth="true" hidden="false" outlineLevel="0" max="16" min="16" style="18" width="11.99"/>
    <col collapsed="false" customWidth="true" hidden="false" outlineLevel="0" max="1025" min="17" style="18" width="9.14"/>
  </cols>
  <sheetData>
    <row r="2" customFormat="false" ht="31.15" hidden="false" customHeight="false" outlineLevel="0" collapsed="false">
      <c r="C2" s="19" t="s">
        <v>39</v>
      </c>
    </row>
    <row r="4" customFormat="false" ht="14.45" hidden="false" customHeight="false" outlineLevel="0" collapsed="false">
      <c r="B4" s="20" t="n">
        <f aca="false">FALSE()</f>
        <v>0</v>
      </c>
      <c r="C4" s="18" t="s">
        <v>40</v>
      </c>
    </row>
    <row r="6" customFormat="false" ht="14.45" hidden="false" customHeight="false" outlineLevel="0" collapsed="false">
      <c r="C6" s="21" t="s">
        <v>41</v>
      </c>
      <c r="D6" s="21"/>
      <c r="E6" s="22" t="s">
        <v>42</v>
      </c>
      <c r="G6" s="23"/>
      <c r="H6" s="24" t="s">
        <v>43</v>
      </c>
      <c r="I6" s="24" t="s">
        <v>44</v>
      </c>
      <c r="J6" s="24" t="s">
        <v>45</v>
      </c>
      <c r="K6" s="24" t="s">
        <v>46</v>
      </c>
      <c r="L6" s="24" t="s">
        <v>47</v>
      </c>
      <c r="M6" s="24" t="s">
        <v>48</v>
      </c>
      <c r="N6" s="24" t="s">
        <v>49</v>
      </c>
      <c r="O6" s="24" t="s">
        <v>50</v>
      </c>
      <c r="P6" s="24" t="s">
        <v>51</v>
      </c>
    </row>
    <row r="7" customFormat="false" ht="14.45" hidden="false" customHeight="false" outlineLevel="0" collapsed="false">
      <c r="C7" s="25" t="s">
        <v>52</v>
      </c>
      <c r="D7" s="26" t="n">
        <f aca="false">VLOOKUP($C$6, MotorSpecs, 2, 0)</f>
        <v>18730</v>
      </c>
      <c r="E7" s="27" t="n">
        <f aca="false">D7*(D14/12)</f>
        <v>18730</v>
      </c>
      <c r="G7" s="28" t="s">
        <v>53</v>
      </c>
      <c r="H7" s="29" t="n">
        <f aca="false">I17</f>
        <v>20</v>
      </c>
      <c r="I7" s="29" t="n">
        <f aca="false">$E$17*I13*IF($B$4, 2.205, 1)/$E$8*0.113</f>
        <v>31.8309859154929</v>
      </c>
      <c r="J7" s="29" t="n">
        <f aca="false">$E$17*$E$18/8.8507/((SQRT($E$9)*$E$8)/(SQRT($E$10)+SQRT($E$9)))</f>
        <v>236.088136948565</v>
      </c>
      <c r="K7" s="29" t="n">
        <f aca="false">$E$17*K13*IF($B$4, 2.205, 1)/$E$8*0.113</f>
        <v>15.9154929577465</v>
      </c>
      <c r="L7" s="29" t="n">
        <f aca="false">($E$7*$E$8+SQRT(($E$7*$E$8)^2-27.119*$E$18*$E$17*L9*$E$7*$E$8))/(120*L9*$E$8)</f>
        <v>295.345330144626</v>
      </c>
      <c r="M7" s="29" t="n">
        <f aca="false">($E$7*$E$8+SQRT(($E$7*$E$8)^2-27.119*$E$18*$E$17*M9*$E$7*$E$8))/(120*M9*$E$8)</f>
        <v>145.581833406418</v>
      </c>
      <c r="N7" s="29" t="n">
        <f aca="false">($E$10-$E$9)/$E$8*$E$17*$E$18/$D$13/0.2248/39.37/(N12-$E$9/$D$13)</f>
        <v>72.4006489032418</v>
      </c>
      <c r="O7" s="29" t="n">
        <f aca="false">$E$17*O13*IF($B$4, 2.205, 1)/$E$8*0.113</f>
        <v>59.6830985915493</v>
      </c>
      <c r="P7" s="29" t="n">
        <f aca="false">12*0.113*$E$17*$E$18/($D$15*$D$8*$D$13*P14)</f>
        <v>19.0985915492958</v>
      </c>
    </row>
    <row r="8" customFormat="false" ht="14.45" hidden="false" customHeight="false" outlineLevel="0" collapsed="false">
      <c r="C8" s="30" t="s">
        <v>54</v>
      </c>
      <c r="D8" s="31" t="n">
        <f aca="false">VLOOKUP($C$6, MotorSpecs, 3, 0)</f>
        <v>0.71</v>
      </c>
      <c r="E8" s="32" t="n">
        <f aca="false">D8*D13*(D14/12)*D15</f>
        <v>1.136</v>
      </c>
      <c r="G8" s="33" t="s">
        <v>55</v>
      </c>
      <c r="H8" s="34" t="n">
        <f aca="false">$E$7/H7/60</f>
        <v>15.6083333333333</v>
      </c>
      <c r="I8" s="34" t="n">
        <f aca="false">$E$7/I7/60</f>
        <v>9.80700589970502</v>
      </c>
      <c r="J8" s="34" t="n">
        <f aca="false">$E$7/J7/60</f>
        <v>1.32224630471236</v>
      </c>
      <c r="K8" s="34" t="n">
        <f aca="false">$E$7/K7/60</f>
        <v>19.61401179941</v>
      </c>
      <c r="L8" s="34" t="n">
        <f aca="false">$E$7/L7/60</f>
        <v>1.05695480783056</v>
      </c>
      <c r="M8" s="34" t="n">
        <f aca="false">$E$7/M7/60</f>
        <v>2.14426937319299</v>
      </c>
      <c r="N8" s="34" t="n">
        <f aca="false">$E$7/N7/60</f>
        <v>4.31165564667597</v>
      </c>
      <c r="O8" s="34" t="n">
        <f aca="false">$E$7/O7/60</f>
        <v>5.23040314650934</v>
      </c>
      <c r="P8" s="34" t="n">
        <f aca="false">$E$7/P7/60</f>
        <v>16.3450098328417</v>
      </c>
    </row>
    <row r="9" customFormat="false" ht="14.45" hidden="false" customHeight="false" outlineLevel="0" collapsed="false">
      <c r="C9" s="30" t="s">
        <v>56</v>
      </c>
      <c r="D9" s="35" t="n">
        <f aca="false">VLOOKUP($C$6, MotorSpecs, 4, 0)</f>
        <v>0.7</v>
      </c>
      <c r="E9" s="36" t="n">
        <f aca="false">D9*D13*(D14/12)</f>
        <v>1.4</v>
      </c>
      <c r="G9" s="33" t="s">
        <v>57</v>
      </c>
      <c r="H9" s="37" t="n">
        <f aca="false">H8*(1-$D$18/H13)</f>
        <v>3.1887660318326</v>
      </c>
      <c r="I9" s="37" t="n">
        <f aca="false">I8*(1-$D$18/I13)</f>
        <v>4.90350294985251</v>
      </c>
      <c r="J9" s="37" t="n">
        <f aca="false">J8*(1-$D$18/J13)</f>
        <v>1.23311749092743</v>
      </c>
      <c r="K9" s="37" t="n">
        <f aca="false">K8*(1-$D$18/K13)</f>
        <v>0</v>
      </c>
      <c r="L9" s="38" t="n">
        <v>1</v>
      </c>
      <c r="M9" s="37" t="n">
        <f aca="false">M11*IF($B$4, 3.281, 1)/$E$17/2/PI()*12</f>
        <v>1.90985931710274</v>
      </c>
      <c r="N9" s="37" t="n">
        <f aca="false">N8*(1-$D$18/N13)</f>
        <v>3.36393238750413</v>
      </c>
      <c r="O9" s="37" t="n">
        <f aca="false">O8*(1-$D$18/O13)</f>
        <v>3.83562897410685</v>
      </c>
      <c r="P9" s="37" t="n">
        <f aca="false">P8*(1-$D$18/P13)</f>
        <v>2.72542795336248</v>
      </c>
    </row>
    <row r="10" customFormat="false" ht="14.45" hidden="false" customHeight="false" outlineLevel="0" collapsed="false">
      <c r="C10" s="30" t="s">
        <v>58</v>
      </c>
      <c r="D10" s="39" t="n">
        <f aca="false">VLOOKUP($C$6, MotorSpecs, 5, 0)</f>
        <v>134</v>
      </c>
      <c r="E10" s="40" t="n">
        <f aca="false">D10*D13*(D14/12)</f>
        <v>268</v>
      </c>
      <c r="G10" s="33" t="str">
        <f aca="false">"Free Lin. Speed (" &amp; IF($B$4, "m", "ft") &amp; "/s)"</f>
        <v>Free Lin. Speed (ft/s)</v>
      </c>
      <c r="H10" s="37" t="n">
        <f aca="false">H8*2*PI()*$E$17/12/IF($B$4, 3.281, 1)</f>
        <v>16.3450084449269</v>
      </c>
      <c r="I10" s="37" t="n">
        <f aca="false">I8*2*PI()*$E$17/12/IF($B$4, 3.281, 1)</f>
        <v>10.2698725627417</v>
      </c>
      <c r="J10" s="37" t="n">
        <f aca="false">J8*2*PI()*$E$17/12/IF($B$4, 3.281, 1)</f>
        <v>1.38465309237354</v>
      </c>
      <c r="K10" s="37" t="n">
        <f aca="false">K8*2*PI()*$E$17/12/IF($B$4, 3.281, 1)</f>
        <v>20.5397451254834</v>
      </c>
      <c r="L10" s="37" t="n">
        <f aca="false">L8*2*PI()*$E$17/12/IF($B$4, 3.281, 1)</f>
        <v>1.10684048648563</v>
      </c>
      <c r="M10" s="37" t="n">
        <f aca="false">M8*2*PI()*$D$17/12/IF($B$4, 3.281, 1)</f>
        <v>2.24547363671356</v>
      </c>
      <c r="N10" s="37" t="n">
        <f aca="false">N8*2*PI()*$E$17/12/IF($B$4, 3.281, 1)</f>
        <v>4.51515523480206</v>
      </c>
      <c r="O10" s="37" t="n">
        <f aca="false">O8*2*PI()*$E$17/12/IF($B$4, 3.281, 1)</f>
        <v>5.47726536679556</v>
      </c>
      <c r="P10" s="37" t="n">
        <f aca="false">P8*2*PI()*$E$17/12/IF($B$4, 3.281, 1)</f>
        <v>17.1164542712361</v>
      </c>
    </row>
    <row r="11" customFormat="false" ht="14.45" hidden="false" customHeight="false" outlineLevel="0" collapsed="false">
      <c r="C11" s="41" t="s">
        <v>59</v>
      </c>
      <c r="D11" s="42" t="n">
        <f aca="false">VLOOKUP($C$6, MotorSpecs, 6, 0)</f>
        <v>348.148679876943</v>
      </c>
      <c r="E11" s="43" t="n">
        <f aca="false">(E7/60*2*PI())*E8/4</f>
        <v>557.037887803109</v>
      </c>
      <c r="G11" s="33" t="str">
        <f aca="false">"Loaded Lin. Speed (" &amp; IF($B$4, "m", "ft") &amp; "/s)"</f>
        <v>Loaded Lin. Speed (ft/s)</v>
      </c>
      <c r="H11" s="37" t="n">
        <f aca="false">H9*2*PI()*$E$17/12/IF($B$4, 3.281, 1)</f>
        <v>3.33926797987399</v>
      </c>
      <c r="I11" s="37" t="n">
        <f aca="false">I9*2*PI()*$E$17/12/IF($B$4, 3.281, 1)</f>
        <v>5.13493628137084</v>
      </c>
      <c r="J11" s="37" t="n">
        <f aca="false">J9*2*PI()*$E$17/12/IF($B$4, 3.281, 1)</f>
        <v>1.2913176168369</v>
      </c>
      <c r="K11" s="37" t="n">
        <f aca="false">K9*2*PI()*$E$17/12/IF($B$4, 3.281, 1)</f>
        <v>0</v>
      </c>
      <c r="L11" s="37" t="n">
        <f aca="false">L9*2*PI()*$E$17/12/IF($B$4, 3.281, 1)</f>
        <v>1.0471975511966</v>
      </c>
      <c r="M11" s="38" t="n">
        <v>2</v>
      </c>
      <c r="N11" s="37" t="n">
        <f aca="false">N9*2*PI()*$E$17/12/IF($B$4, 3.281, 1)</f>
        <v>3.52270175858525</v>
      </c>
      <c r="O11" s="37" t="n">
        <f aca="false">O9*2*PI()*$E$17/12/IF($B$4, 3.281, 1)</f>
        <v>4.01666126898341</v>
      </c>
      <c r="P11" s="37" t="n">
        <f aca="false">P9*2*PI()*$E$17/12/IF($B$4, 3.281, 1)</f>
        <v>2.85406147872395</v>
      </c>
    </row>
    <row r="12" customFormat="false" ht="14.45" hidden="false" customHeight="false" outlineLevel="0" collapsed="false">
      <c r="G12" s="33" t="s">
        <v>60</v>
      </c>
      <c r="H12" s="44" t="n">
        <f aca="false">($E$10-$E$9)/$E$8*$E$17*$E$18/H7/$D$13/0.2248/39.37 + $E$9/$D$13</f>
        <v>106.766950643249</v>
      </c>
      <c r="I12" s="44" t="n">
        <f aca="false">($E$10-$E$9)/$E$8*$E$17*$E$18/I7/$D$13/0.2248/39.37 + $E$9/$D$13</f>
        <v>67.3438362448734</v>
      </c>
      <c r="J12" s="44" t="n">
        <f aca="false">($E$10-$E$9)/$E$8*$E$17*$E$18/J7/$D$13/0.2248/39.37 + $E$9/$D$13</f>
        <v>9.68536894010539</v>
      </c>
      <c r="K12" s="44" t="n">
        <f aca="false">($E$10-$E$9)/$E$8*$E$17*$E$18/K7/$D$13/0.2248/39.37 + $E$9/$D$13</f>
        <v>133.987672489747</v>
      </c>
      <c r="L12" s="44" t="n">
        <f aca="false">($E$10-$E$9)/$E$8*$E$17*$E$18/L7/$D$13/0.2248/39.37 + $E$9/$D$13</f>
        <v>7.88257170961936</v>
      </c>
      <c r="M12" s="44" t="n">
        <f aca="false">($E$10-$E$9)/$E$8*$E$17*$E$18/M7/$D$13/0.2248/39.37 + $E$9/$D$13</f>
        <v>15.2714541658703</v>
      </c>
      <c r="N12" s="45" t="n">
        <v>30</v>
      </c>
      <c r="O12" s="44" t="n">
        <f aca="false">($E$10-$E$9)/$E$8*$E$17*$E$18/O7/$D$13/0.2248/39.37 + $E$9/$D$13</f>
        <v>36.2433793305991</v>
      </c>
      <c r="P12" s="44" t="n">
        <f aca="false">($E$10-$E$9)/$E$8*$E$17*$E$18/P7/$D$13/0.2248/39.37 + $E$9/$D$13</f>
        <v>111.773060408122</v>
      </c>
    </row>
    <row r="13" customFormat="false" ht="14.45" hidden="false" customHeight="false" outlineLevel="0" collapsed="false">
      <c r="C13" s="46" t="s">
        <v>61</v>
      </c>
      <c r="D13" s="47" t="n">
        <v>2</v>
      </c>
      <c r="G13" s="33" t="str">
        <f aca="false">"Stall Load (" &amp; IF($B$4, "kgf", "lbf") &amp; ")"</f>
        <v>Stall Load (lbf)</v>
      </c>
      <c r="H13" s="48" t="n">
        <f aca="false">$E$8*H7*39.37*0.2248/$E$17/IF($B$4, 2.205, 1)</f>
        <v>100.54027136</v>
      </c>
      <c r="I13" s="48" t="n">
        <f aca="false">2*D18</f>
        <v>160</v>
      </c>
      <c r="J13" s="48" t="n">
        <f aca="false">$E$8*J7*39.37*0.2248/$E$17/IF($B$4, 2.205, 1)</f>
        <v>1186.81826768428</v>
      </c>
      <c r="K13" s="48" t="n">
        <f aca="false">D18</f>
        <v>80</v>
      </c>
      <c r="L13" s="48" t="n">
        <f aca="false">$E$8*L7*39.37*0.2248/$E$17/IF($B$4, 2.205, 1)</f>
        <v>1484.70498188248</v>
      </c>
      <c r="M13" s="48" t="n">
        <f aca="false">$E$8*M7*39.37*0.2248/$E$17/IF($B$4, 2.205, 1)</f>
        <v>731.841851788381</v>
      </c>
      <c r="N13" s="48" t="n">
        <f aca="false">$E$8*N7*39.37*0.2248/$E$17/IF($B$4, 2.205, 1)</f>
        <v>363.959044368601</v>
      </c>
      <c r="O13" s="49" t="n">
        <v>300</v>
      </c>
      <c r="P13" s="48" t="n">
        <f aca="false">$E$8*P7*39.37*0.2248/$E$17/IF($B$4, 2.205, 1)</f>
        <v>96.008878848</v>
      </c>
    </row>
    <row r="14" customFormat="false" ht="14.45" hidden="false" customHeight="false" outlineLevel="0" collapsed="false">
      <c r="C14" s="46" t="s">
        <v>62</v>
      </c>
      <c r="D14" s="47" t="n">
        <v>12</v>
      </c>
      <c r="G14" s="50" t="s">
        <v>63</v>
      </c>
      <c r="H14" s="51" t="n">
        <f aca="false">12*0.113*$E$17*$E$18/($D$15*$D$8*$D$13*H7)</f>
        <v>9.54929577464788</v>
      </c>
      <c r="I14" s="51" t="n">
        <f aca="false">12*0.113*$E$17*$E$18/($D$15*$D$8*$D$13*I7)</f>
        <v>6</v>
      </c>
      <c r="J14" s="51" t="n">
        <f aca="false">12*0.113*$E$17*$E$18/($D$15*$D$8*$D$13*J7)</f>
        <v>0.808960238161253</v>
      </c>
      <c r="K14" s="51" t="n">
        <f aca="false">12*0.113*$E$17*$E$18/($D$15*$D$8*$D$13*K7)</f>
        <v>12</v>
      </c>
      <c r="L14" s="51" t="n">
        <f aca="false">12*0.113*$E$17*$E$18/($D$15*$D$8*$D$13*L7)</f>
        <v>0.646652904244109</v>
      </c>
      <c r="M14" s="51" t="n">
        <f aca="false">12*0.113*$E$17*$E$18/($D$15*$D$8*$D$13*M7)</f>
        <v>1.31188013658123</v>
      </c>
      <c r="N14" s="51" t="n">
        <f aca="false">12*0.113*$E$17*$E$18/($D$15*$D$8*$D$13*N7)</f>
        <v>2.63790336669767</v>
      </c>
      <c r="O14" s="51" t="n">
        <f aca="false">12*0.113*$E$17*$E$18/($D$15*$D$8*$D$13*O7)</f>
        <v>3.2</v>
      </c>
      <c r="P14" s="52" t="n">
        <v>10</v>
      </c>
    </row>
    <row r="15" customFormat="false" ht="14.45" hidden="false" customHeight="false" outlineLevel="0" collapsed="false">
      <c r="C15" s="46" t="s">
        <v>64</v>
      </c>
      <c r="D15" s="53" t="n">
        <v>0.8</v>
      </c>
    </row>
    <row r="17" customFormat="false" ht="14.45" hidden="false" customHeight="false" outlineLevel="0" collapsed="false">
      <c r="C17" s="46" t="str">
        <f aca="false">"Radius (" &amp; IF($B$4, "mm", "in") &amp; ")"</f>
        <v>Radius (in)</v>
      </c>
      <c r="D17" s="54" t="n">
        <v>2</v>
      </c>
      <c r="E17" s="55" t="n">
        <f aca="false">D17/IF($B$4, 25.4, 1)</f>
        <v>2</v>
      </c>
      <c r="H17" s="22" t="s">
        <v>65</v>
      </c>
      <c r="I17" s="56" t="n">
        <f aca="false">IF(PRODUCT(I18:I21)&gt;0,PRODUCT(I18:I21),1)/IF(PRODUCT(H18:H21)&gt;0,PRODUCT(H18:H21), 1)</f>
        <v>20</v>
      </c>
    </row>
    <row r="18" customFormat="false" ht="14.45" hidden="false" customHeight="false" outlineLevel="0" collapsed="false">
      <c r="C18" s="46" t="str">
        <f aca="false">"Load (" &amp; IF($B$4, "kgf", "lbf") &amp; ")"</f>
        <v>Load (lbf)</v>
      </c>
      <c r="D18" s="57" t="n">
        <v>80</v>
      </c>
      <c r="E18" s="55" t="n">
        <f aca="false">D18*IF($B$4, 2.205, 1)</f>
        <v>80</v>
      </c>
      <c r="H18" s="58"/>
      <c r="I18" s="59" t="n">
        <v>6</v>
      </c>
    </row>
    <row r="19" customFormat="false" ht="14.45" hidden="false" customHeight="false" outlineLevel="0" collapsed="false">
      <c r="H19" s="58" t="n">
        <v>18</v>
      </c>
      <c r="I19" s="59" t="n">
        <v>60</v>
      </c>
    </row>
    <row r="20" customFormat="false" ht="14.45" hidden="false" customHeight="false" outlineLevel="0" collapsed="false">
      <c r="H20" s="58"/>
      <c r="I20" s="59"/>
    </row>
    <row r="21" customFormat="false" ht="14.45" hidden="false" customHeight="false" outlineLevel="0" collapsed="false">
      <c r="H21" s="58"/>
      <c r="I21" s="59"/>
    </row>
    <row r="24" customFormat="false" ht="18.75" hidden="false" customHeight="true" outlineLevel="0" collapsed="false">
      <c r="D24" s="60" t="s">
        <v>66</v>
      </c>
      <c r="E24" s="60"/>
      <c r="F24" s="60"/>
      <c r="G24" s="60"/>
      <c r="H24" s="60"/>
      <c r="I24" s="60"/>
      <c r="J24" s="60"/>
      <c r="K24" s="60"/>
      <c r="L24" s="60"/>
      <c r="M24" s="60"/>
      <c r="N24" s="60"/>
      <c r="O24" s="60"/>
    </row>
    <row r="25" customFormat="false" ht="75" hidden="false" customHeight="true" outlineLevel="0" collapsed="false">
      <c r="D25" s="61" t="s">
        <v>67</v>
      </c>
      <c r="E25" s="61"/>
      <c r="F25" s="61"/>
      <c r="G25" s="61"/>
      <c r="H25" s="61"/>
      <c r="I25" s="61"/>
      <c r="J25" s="61"/>
      <c r="K25" s="61"/>
      <c r="L25" s="61"/>
      <c r="M25" s="61"/>
      <c r="N25" s="61"/>
      <c r="O25" s="61"/>
    </row>
    <row r="26" customFormat="false" ht="72" hidden="false" customHeight="true" outlineLevel="0" collapsed="false">
      <c r="D26" s="61" t="s">
        <v>68</v>
      </c>
      <c r="E26" s="61"/>
      <c r="F26" s="61"/>
      <c r="G26" s="61"/>
      <c r="H26" s="61"/>
      <c r="I26" s="61"/>
      <c r="J26" s="61"/>
      <c r="K26" s="61"/>
      <c r="L26" s="61"/>
      <c r="M26" s="61"/>
      <c r="N26" s="61"/>
      <c r="O26" s="61"/>
    </row>
    <row r="27" customFormat="false" ht="73.5" hidden="false" customHeight="true" outlineLevel="0" collapsed="false">
      <c r="D27" s="62" t="s">
        <v>69</v>
      </c>
      <c r="E27" s="62"/>
      <c r="F27" s="62"/>
      <c r="G27" s="62"/>
      <c r="H27" s="62"/>
      <c r="I27" s="62"/>
      <c r="J27" s="62"/>
      <c r="K27" s="62"/>
      <c r="L27" s="62"/>
      <c r="M27" s="62"/>
      <c r="N27" s="62"/>
      <c r="O27" s="62"/>
    </row>
  </sheetData>
  <sheetProtection sheet="true" objects="true" scenarios="true" formatCells="false" formatColumns="false" formatRows="false"/>
  <mergeCells count="5">
    <mergeCell ref="C6:D6"/>
    <mergeCell ref="D24:O24"/>
    <mergeCell ref="D25:O25"/>
    <mergeCell ref="D26:O26"/>
    <mergeCell ref="D27:O27"/>
  </mergeCells>
  <conditionalFormatting sqref="P14 O13 N12 M11 L9 D13:D15 D17:D18">
    <cfRule type="expression" priority="2" aboveAverage="0" equalAverage="0" bottom="0" percent="0" rank="0" text="" dxfId="0">
      <formula>LEN(TRIM(D13))=0</formula>
    </cfRule>
  </conditionalFormatting>
  <conditionalFormatting sqref="H18:I21">
    <cfRule type="expression" priority="3" aboveAverage="0" equalAverage="0" bottom="0" percent="0" rank="0" text="" dxfId="1">
      <formula>$I$17=1</formula>
    </cfRule>
  </conditionalFormatting>
  <conditionalFormatting sqref="D14">
    <cfRule type="cellIs" priority="4" operator="greaterThan" aboveAverage="0" equalAverage="0" bottom="0" percent="0" rank="0" text="" dxfId="2">
      <formula>12</formula>
    </cfRule>
  </conditionalFormatting>
  <conditionalFormatting sqref="P14">
    <cfRule type="cellIs" priority="5" operator="greaterThan" aboveAverage="0" equalAverage="0" bottom="0" percent="0" rank="0" text="" dxfId="3">
      <formula>$D$14</formula>
    </cfRule>
  </conditionalFormatting>
  <conditionalFormatting sqref="D15">
    <cfRule type="cellIs" priority="6" operator="greaterThan" aboveAverage="0" equalAverage="0" bottom="0" percent="0" rank="0" text="" dxfId="4">
      <formula>1</formula>
    </cfRule>
  </conditionalFormatting>
  <conditionalFormatting sqref="D13:D15 D17:D18 L9 M11 N12 O13 P14">
    <cfRule type="cellIs" priority="7" operator="lessThanOrEqual" aboveAverage="0" equalAverage="0" bottom="0" percent="0" rank="0" text="" dxfId="5">
      <formula>0</formula>
    </cfRule>
  </conditionalFormatting>
  <conditionalFormatting sqref="D13:D15 D17:D18 H18:I21 L9 M11 N12 O13 P14">
    <cfRule type="expression" priority="8" aboveAverage="0" equalAverage="0" bottom="0" percent="0" rank="0" text="" dxfId="6">
      <formula>ISTEXT(D9)</formula>
    </cfRule>
  </conditionalFormatting>
  <conditionalFormatting sqref="P7:P13">
    <cfRule type="expression" priority="9" aboveAverage="0" equalAverage="0" bottom="0" percent="0" rank="0" text="" dxfId="7">
      <formula>ISERROR($P$7)</formula>
    </cfRule>
  </conditionalFormatting>
  <conditionalFormatting sqref="O7:O12 O14">
    <cfRule type="expression" priority="10" aboveAverage="0" equalAverage="0" bottom="0" percent="0" rank="0" text="" dxfId="8">
      <formula>ISERROR($O$8)</formula>
    </cfRule>
  </conditionalFormatting>
  <conditionalFormatting sqref="N7:N11 N13:N14">
    <cfRule type="expression" priority="11" aboveAverage="0" equalAverage="0" bottom="0" percent="0" rank="0" text="" dxfId="9">
      <formula>$N$9&lt;0</formula>
    </cfRule>
  </conditionalFormatting>
  <conditionalFormatting sqref="M7:M10 M12:M14">
    <cfRule type="expression" priority="12" aboveAverage="0" equalAverage="0" bottom="0" percent="0" rank="0" text="" dxfId="10">
      <formula>ISERROR($M$7)</formula>
    </cfRule>
  </conditionalFormatting>
  <conditionalFormatting sqref="L7:L8 L10:L14">
    <cfRule type="expression" priority="13" aboveAverage="0" equalAverage="0" bottom="0" percent="0" rank="0" text="" dxfId="11">
      <formula>ISERROR($L$7)</formula>
    </cfRule>
  </conditionalFormatting>
  <conditionalFormatting sqref="H7:H14">
    <cfRule type="expression" priority="14" aboveAverage="0" equalAverage="0" bottom="0" percent="0" rank="0" text="" dxfId="12">
      <formula>$H$9&lt;=0</formula>
    </cfRule>
  </conditionalFormatting>
  <dataValidations count="1">
    <dataValidation allowBlank="true" error="Not a valid motor." errorTitle="Error" operator="between" showDropDown="false" showErrorMessage="true" showInputMessage="false" sqref="C6:D6" type="list">
      <formula1>Motors</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B2:J2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19.42"/>
    <col collapsed="false" customWidth="true" hidden="false" outlineLevel="0" max="6" min="4" style="18" width="9.14"/>
    <col collapsed="false" customWidth="true" hidden="false" outlineLevel="0" max="7" min="7" style="18" width="22.7"/>
    <col collapsed="false" customWidth="true" hidden="false" outlineLevel="0" max="1025" min="8" style="18" width="9.14"/>
  </cols>
  <sheetData>
    <row r="2" customFormat="false" ht="31.15" hidden="false" customHeight="false" outlineLevel="0" collapsed="false">
      <c r="C2" s="19" t="s">
        <v>70</v>
      </c>
    </row>
    <row r="4" customFormat="false" ht="14.45" hidden="false" customHeight="false" outlineLevel="0" collapsed="false">
      <c r="B4" s="20" t="n">
        <f aca="false">FALSE()</f>
        <v>0</v>
      </c>
      <c r="C4" s="18" t="s">
        <v>40</v>
      </c>
    </row>
    <row r="6" customFormat="false" ht="14.45" hidden="false" customHeight="false" outlineLevel="0" collapsed="false">
      <c r="C6" s="63" t="str">
        <f aca="false">"Diameter (" &amp; IF($B$4,"mm","in") &amp; ")"</f>
        <v>Diameter (in)</v>
      </c>
      <c r="D6" s="64" t="n">
        <v>0.375</v>
      </c>
      <c r="G6" s="65" t="s">
        <v>71</v>
      </c>
      <c r="H6" s="66" t="n">
        <f aca="false">(D7*D8/(PI()*(D6-D7/2)))/((PI()*(D6-D7/2)*D14+D7*D8*COS(0.5*RADIANS(D9)))/(PI()*(D6-D7/2)*COS(0.5*RADIANS(D9))-D14*D7*D8))</f>
        <v>0.41621760320186</v>
      </c>
    </row>
    <row r="7" customFormat="false" ht="14.45" hidden="false" customHeight="false" outlineLevel="0" collapsed="false">
      <c r="C7" s="63" t="str">
        <f aca="false">"Pitch (" &amp; IF($B$4, "mm", "in") &amp; "/rev)"</f>
        <v>Pitch (in/rev)</v>
      </c>
      <c r="D7" s="64" t="n">
        <v>0.1</v>
      </c>
      <c r="G7" s="65" t="str">
        <f aca="false">"Equivalent Radius (" &amp; IF($B$4, "mm", "in") &amp; ")"</f>
        <v>Equivalent Radius (in)</v>
      </c>
      <c r="H7" s="67" t="n">
        <f aca="false">D7*D8/(2*PI())</f>
        <v>0.0159154943091895</v>
      </c>
    </row>
    <row r="8" customFormat="false" ht="14.45" hidden="false" customHeight="false" outlineLevel="0" collapsed="false">
      <c r="C8" s="63" t="s">
        <v>72</v>
      </c>
      <c r="D8" s="59" t="n">
        <v>1</v>
      </c>
    </row>
    <row r="9" customFormat="false" ht="15" hidden="false" customHeight="false" outlineLevel="0" collapsed="false">
      <c r="C9" s="63" t="s">
        <v>73</v>
      </c>
      <c r="D9" s="59" t="n">
        <v>29</v>
      </c>
      <c r="G9" s="68" t="str">
        <f aca="false">"Applied Force (" &amp; IF($B$4, "N", "lbf") &amp; ")"</f>
        <v>Applied Force (lbf)</v>
      </c>
      <c r="H9" s="69" t="n">
        <v>900</v>
      </c>
      <c r="I9" s="70" t="n">
        <f aca="false">I10/(($D$6-$D$7/2)/2*((PI()*($D$6-$D$7/2)*$D$14+$D$7*$D$8*COS(0.5*RADIANS($D$9)))/(PI()*($D$6-$D$7/2)*COS(0.5*RADIANS($D$9))-$D$14*$D$7*$D$8)))</f>
        <v>52.3034465805486</v>
      </c>
      <c r="J9" s="70" t="n">
        <f aca="false">J11/(($D$6-$D$7/2)/2*((PI()*$D$14*($D$6-$D$7/2)-$D$7*$D$8*COS(0.5*RADIANS($D$9)))/(PI()*($D$6-$D$7/2)*COS(0.5*RADIANS($D$9))+$D$14*$D$7*$D$8)))</f>
        <v>51.4766894181126</v>
      </c>
    </row>
    <row r="10" customFormat="false" ht="14.45" hidden="false" customHeight="false" outlineLevel="0" collapsed="false">
      <c r="G10" s="33" t="str">
        <f aca="false">"Raise Torque (" &amp; IF($B$4, "Nmm", "in-lb") &amp; ")"</f>
        <v>Raise Torque (in-lb)</v>
      </c>
      <c r="H10" s="44" t="n">
        <f aca="false">H9*($D$6-$D$7/2)/2*((PI()*($D$6-$D$7/2)*$D$14+$D$7*$D$8*COS(0.5*RADIANS($D$9)))/(PI()*($D$6-$D$7/2)*COS(0.5*RADIANS($D$9))-$D$14*$D$7*$D$8))</f>
        <v>34.4145580775056</v>
      </c>
      <c r="I10" s="45" t="n">
        <v>2</v>
      </c>
      <c r="J10" s="44" t="n">
        <f aca="false">J9*($D$6-$D$7/2)/2*((PI()*($D$6-$D$7/2)*$D$14+$D$7*$D$8*COS(0.5*RADIANS($D$9)))/(PI()*($D$6-$D$7/2)*COS(0.5*RADIANS($D$9))-$D$14*$D$7*$D$8))</f>
        <v>1.96838613068595</v>
      </c>
    </row>
    <row r="11" customFormat="false" ht="14.45" hidden="false" customHeight="false" outlineLevel="0" collapsed="false">
      <c r="C11" s="63" t="s">
        <v>74</v>
      </c>
      <c r="D11" s="71" t="s">
        <v>75</v>
      </c>
      <c r="G11" s="33" t="str">
        <f aca="false">"Lower Torque (" &amp; IF($B$4, "Nmm", "in-lb") &amp; ")"</f>
        <v>Lower Torque (in-lb)</v>
      </c>
      <c r="H11" s="44" t="n">
        <f aca="false">H9*($D$6-$D$7/2)/2*((PI()*$D$14*($D$6-$D$7/2)-$D$7*$D$8*COS(0.5*RADIANS($D$9)))/(PI()*($D$6-$D$7/2)*COS(0.5*RADIANS($D$9))+$D$14*$D$7*$D$8))</f>
        <v>5.24509254678289</v>
      </c>
      <c r="I11" s="44" t="n">
        <f aca="false">I9*($D$6-$D$7/2)/2*((PI()*$D$14*($D$6-$D$7/2)-$D$7*$D$8*COS(0.5*RADIANS($D$9)))/(PI()*($D$6-$D$7/2)*COS(0.5*RADIANS($D$9))+$D$14*$D$7*$D$8))</f>
        <v>0.304818242034103</v>
      </c>
      <c r="J11" s="45" t="n">
        <v>0.3</v>
      </c>
    </row>
    <row r="12" customFormat="false" ht="14.45" hidden="false" customHeight="false" outlineLevel="0" collapsed="false">
      <c r="C12" s="63" t="s">
        <v>76</v>
      </c>
      <c r="D12" s="71" t="s">
        <v>77</v>
      </c>
      <c r="G12" s="33" t="str">
        <f aca="false">"Eq. Raise Load (" &amp; IF($B$4, "kgf", "lbf") &amp; ")"</f>
        <v>Eq. Raise Load (lbf)</v>
      </c>
      <c r="H12" s="44" t="n">
        <f aca="false">H10/$H$7/9.8</f>
        <v>220.645964964961</v>
      </c>
      <c r="I12" s="44" t="n">
        <f aca="false">I10/$H$7/9.8</f>
        <v>12.8228271575094</v>
      </c>
      <c r="J12" s="44" t="n">
        <f aca="false">J10/$H$7/9.8</f>
        <v>12.6201375665123</v>
      </c>
    </row>
    <row r="13" customFormat="false" ht="14.45" hidden="false" customHeight="false" outlineLevel="0" collapsed="false">
      <c r="C13" s="63" t="s">
        <v>78</v>
      </c>
      <c r="D13" s="71" t="s">
        <v>79</v>
      </c>
      <c r="G13" s="50" t="str">
        <f aca="false">"Eq. Lower Load (" &amp; IF($B$4, "kgf", "lbf") &amp; ")"</f>
        <v>Eq. Lower Load (lbf)</v>
      </c>
      <c r="H13" s="51" t="n">
        <f aca="false">H11/$H$7/9.8</f>
        <v>33.6284575762688</v>
      </c>
      <c r="I13" s="51" t="n">
        <f aca="false">I11/$H$7/9.8</f>
        <v>1.95431581602958</v>
      </c>
      <c r="J13" s="51" t="n">
        <f aca="false">J11/$H$7/9.8</f>
        <v>1.9234240736264</v>
      </c>
    </row>
    <row r="14" customFormat="false" ht="14.45" hidden="false" customHeight="false" outlineLevel="0" collapsed="false">
      <c r="D14" s="55" t="n">
        <f aca="false">IF($D$11="Steel", IF($D$13="No",IF($D$12="Steel",0.2,IF($D$12="Bronze",0.19,IF($D$12="Brass",0.17,0.2))), IF($D$12="Steel",0.14,IF($D$12="Bronze",0.13,IF($D$12="Brass",0.13,0.14)))), IF($D$12="Steel",0.1,IF($D$12="Bronze",0.05,IF($D$12="Brass",0.05,0.08))))</f>
        <v>0.13</v>
      </c>
    </row>
    <row r="15" customFormat="false" ht="14.45" hidden="false" customHeight="false" outlineLevel="0" collapsed="false">
      <c r="G15" s="68" t="s">
        <v>80</v>
      </c>
      <c r="H15" s="72" t="n">
        <v>5000</v>
      </c>
      <c r="I15" s="73" t="n">
        <f aca="false">I16*60/$D$7/$D$8*IF($B$4, 1000, 12)</f>
        <v>7200</v>
      </c>
    </row>
    <row r="16" customFormat="false" ht="14.45" hidden="false" customHeight="false" outlineLevel="0" collapsed="false">
      <c r="C16" s="63" t="s">
        <v>81</v>
      </c>
      <c r="D16" s="74" t="n">
        <f aca="false">((PI()*$D$14*($D$6-$D$7/2)-$D$7*$D$8*COS(0.5*RADIANS($D$9)))/(PI()*($D$6-$D$7/2)*COS(0.5*RADIANS($D$9))+$D$14*$D$7*$D$8))&lt;0</f>
        <v>0</v>
      </c>
      <c r="G16" s="50" t="str">
        <f aca="false">"Linear Speed (" &amp; IF($B$4, "m", "ft") &amp; "/s)"</f>
        <v>Linear Speed (ft/s)</v>
      </c>
      <c r="H16" s="75" t="n">
        <f aca="false">H15/60*$D$7*$D$8/IF($B$4, 1000, 12)</f>
        <v>0.694444444444444</v>
      </c>
      <c r="I16" s="76" t="n">
        <v>1</v>
      </c>
    </row>
    <row r="19" customFormat="false" ht="43.5" hidden="false" customHeight="true" outlineLevel="0" collapsed="false">
      <c r="C19" s="77" t="s">
        <v>82</v>
      </c>
      <c r="D19" s="77"/>
      <c r="E19" s="77"/>
      <c r="F19" s="77"/>
      <c r="G19" s="77"/>
      <c r="H19" s="77"/>
      <c r="I19" s="77"/>
      <c r="J19" s="77"/>
    </row>
    <row r="20" customFormat="false" ht="14.45" hidden="false" customHeight="true" outlineLevel="0" collapsed="false">
      <c r="C20" s="78" t="s">
        <v>83</v>
      </c>
      <c r="D20" s="78"/>
      <c r="E20" s="78"/>
      <c r="F20" s="78"/>
      <c r="G20" s="78"/>
      <c r="H20" s="78"/>
      <c r="I20" s="78"/>
      <c r="J20" s="78"/>
    </row>
    <row r="22" customFormat="false" ht="43.5" hidden="false" customHeight="true" outlineLevel="0" collapsed="false">
      <c r="C22" s="77" t="s">
        <v>84</v>
      </c>
      <c r="D22" s="77"/>
      <c r="E22" s="77"/>
      <c r="F22" s="77"/>
      <c r="G22" s="77"/>
      <c r="H22" s="77"/>
      <c r="I22" s="77"/>
      <c r="J22" s="77"/>
    </row>
    <row r="23" customFormat="false" ht="29.25" hidden="false" customHeight="true" outlineLevel="0" collapsed="false">
      <c r="C23" s="78" t="s">
        <v>85</v>
      </c>
      <c r="D23" s="78"/>
      <c r="E23" s="78"/>
      <c r="F23" s="78"/>
      <c r="G23" s="78"/>
      <c r="H23" s="78"/>
      <c r="I23" s="78"/>
      <c r="J23" s="78"/>
    </row>
  </sheetData>
  <sheetProtection sheet="true" objects="true" scenarios="true" formatCells="false" formatColumns="false" formatRows="false"/>
  <mergeCells count="4">
    <mergeCell ref="C19:J19"/>
    <mergeCell ref="C20:J20"/>
    <mergeCell ref="C22:J22"/>
    <mergeCell ref="C23:J23"/>
  </mergeCells>
  <conditionalFormatting sqref="J9:J10 J12:J13">
    <cfRule type="expression" priority="2" aboveAverage="0" equalAverage="0" bottom="0" percent="0" rank="0" text="" dxfId="0">
      <formula>$J$9&lt;0</formula>
    </cfRule>
  </conditionalFormatting>
  <conditionalFormatting sqref="I9 I11:I13">
    <cfRule type="expression" priority="3" aboveAverage="0" equalAverage="0" bottom="0" percent="0" rank="0" text="" dxfId="1">
      <formula>$I$9&lt;0</formula>
    </cfRule>
  </conditionalFormatting>
  <conditionalFormatting sqref="H9 I10 I16 H15 D6:D9">
    <cfRule type="cellIs" priority="4" operator="lessThan" aboveAverage="0" equalAverage="0" bottom="0" percent="0" rank="0" text="" dxfId="2">
      <formula>0</formula>
    </cfRule>
  </conditionalFormatting>
  <conditionalFormatting sqref="J11 I10 H9 I16 H15 D6:D9 D11:D13">
    <cfRule type="expression" priority="5" aboveAverage="0" equalAverage="0" bottom="0" percent="0" rank="0" text="" dxfId="3">
      <formula>LEN(TRIM(D6))=0</formula>
    </cfRule>
  </conditionalFormatting>
  <conditionalFormatting sqref="D9">
    <cfRule type="cellIs" priority="6" operator="greaterThan" aboveAverage="0" equalAverage="0" bottom="0" percent="0" rank="0" text="" dxfId="4">
      <formula>90</formula>
    </cfRule>
  </conditionalFormatting>
  <conditionalFormatting sqref="D6:D9 H9 I10 J11 H15 I16">
    <cfRule type="expression" priority="7" aboveAverage="0" equalAverage="0" bottom="0" percent="0" rank="0" text="" dxfId="5">
      <formula>ISTEXT(D6)</formula>
    </cfRule>
  </conditionalFormatting>
  <dataValidations count="4">
    <dataValidation allowBlank="true" operator="between" prompt="You can choose a common thread angle or enter a custom angle" showDropDown="false" showErrorMessage="false" showInputMessage="true" sqref="D9" type="list">
      <formula1>"29,30,90"</formula1>
      <formula2>0</formula2>
    </dataValidation>
    <dataValidation allowBlank="true" operator="between" showDropDown="false" showErrorMessage="true" showInputMessage="true" sqref="D11" type="list">
      <formula1>"Steel,Bronze"</formula1>
      <formula2>0</formula2>
    </dataValidation>
    <dataValidation allowBlank="true" operator="between" showDropDown="false" showErrorMessage="true" showInputMessage="true" sqref="D12" type="list">
      <formula1>"Steel,Bronze,Brass,Cast Iron"</formula1>
      <formula2>0</formula2>
    </dataValidation>
    <dataValidation allowBlank="true" operator="between" showDropDown="false" showErrorMessage="true" showInputMessage="true" sqref="D13"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sheetPr filterMode="false">
    <pageSetUpPr fitToPage="false"/>
  </sheetPr>
  <dimension ref="B2:N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21.57"/>
    <col collapsed="false" customWidth="true" hidden="false" outlineLevel="0" max="5" min="4" style="18" width="9.14"/>
    <col collapsed="false" customWidth="true" hidden="false" outlineLevel="0" max="6" min="6" style="18" width="14.28"/>
    <col collapsed="false" customWidth="false" hidden="false" outlineLevel="0" max="8" min="7" style="18" width="11.42"/>
    <col collapsed="false" customWidth="true" hidden="false" outlineLevel="0" max="9" min="9" style="18" width="9.14"/>
    <col collapsed="false" customWidth="true" hidden="false" outlineLevel="0" max="10" min="10" style="18" width="13.29"/>
    <col collapsed="false" customWidth="true" hidden="false" outlineLevel="0" max="11" min="11" style="18" width="8.14"/>
    <col collapsed="false" customWidth="true" hidden="false" outlineLevel="0" max="12" min="12" style="18" width="9.14"/>
    <col collapsed="false" customWidth="true" hidden="false" outlineLevel="0" max="13" min="13" style="18" width="25.57"/>
    <col collapsed="false" customWidth="true" hidden="false" outlineLevel="0" max="1025" min="14" style="18" width="9.14"/>
  </cols>
  <sheetData>
    <row r="2" customFormat="false" ht="31.15" hidden="false" customHeight="false" outlineLevel="0" collapsed="false">
      <c r="C2" s="19" t="s">
        <v>86</v>
      </c>
    </row>
    <row r="4" customFormat="false" ht="14.45" hidden="false" customHeight="false" outlineLevel="0" collapsed="false">
      <c r="B4" s="20" t="n">
        <f aca="false">FALSE()</f>
        <v>0</v>
      </c>
      <c r="C4" s="18" t="s">
        <v>40</v>
      </c>
    </row>
    <row r="5" customFormat="false" ht="18" hidden="false" customHeight="false" outlineLevel="0" collapsed="false">
      <c r="G5" s="79" t="s">
        <v>87</v>
      </c>
      <c r="H5" s="79"/>
      <c r="M5" s="79" t="s">
        <v>88</v>
      </c>
    </row>
    <row r="6" customFormat="false" ht="14.45" hidden="false" customHeight="false" outlineLevel="0" collapsed="false">
      <c r="C6" s="21" t="s">
        <v>89</v>
      </c>
      <c r="D6" s="21"/>
      <c r="E6" s="22" t="s">
        <v>42</v>
      </c>
      <c r="G6" s="65" t="s">
        <v>90</v>
      </c>
      <c r="H6" s="80" t="s">
        <v>91</v>
      </c>
      <c r="I6" s="80" t="s">
        <v>92</v>
      </c>
      <c r="J6" s="81" t="str">
        <f aca="false">"C-C dist. (" &amp; IF($B$4, "mm", "in") &amp; ")"</f>
        <v>C-C dist. (in)</v>
      </c>
      <c r="M6" s="46" t="s">
        <v>93</v>
      </c>
      <c r="N6" s="47" t="n">
        <v>7</v>
      </c>
    </row>
    <row r="7" customFormat="false" ht="14.45" hidden="false" customHeight="false" outlineLevel="0" collapsed="false">
      <c r="C7" s="25" t="s">
        <v>52</v>
      </c>
      <c r="D7" s="26" t="n">
        <f aca="false">VLOOKUP($C$6, MotorSpecs, 2, 0)</f>
        <v>5330</v>
      </c>
      <c r="E7" s="27" t="n">
        <f aca="false">D7*(D14/12)</f>
        <v>5330</v>
      </c>
      <c r="G7" s="82" t="n">
        <v>12</v>
      </c>
      <c r="H7" s="83" t="n">
        <v>54</v>
      </c>
      <c r="I7" s="83" t="n">
        <v>20</v>
      </c>
      <c r="J7" s="84" t="n">
        <f aca="false">IF(COUNTBLANK(G7:I7)&gt;0, "", ((G7+H7)/(2*I7)+0.003)*IF($B$4, 25.4, 1))</f>
        <v>1.653</v>
      </c>
      <c r="M7" s="46" t="s">
        <v>94</v>
      </c>
      <c r="N7" s="47" t="n">
        <v>12.7</v>
      </c>
    </row>
    <row r="8" customFormat="false" ht="15" hidden="false" customHeight="false" outlineLevel="0" collapsed="false">
      <c r="C8" s="30" t="s">
        <v>54</v>
      </c>
      <c r="D8" s="31" t="n">
        <f aca="false">VLOOKUP($C$6, MotorSpecs, 3, 0)</f>
        <v>2.41</v>
      </c>
      <c r="E8" s="32" t="n">
        <f aca="false">D8*D13*(D14/12)*D15</f>
        <v>7.712</v>
      </c>
      <c r="G8" s="82" t="n">
        <v>18</v>
      </c>
      <c r="H8" s="83" t="n">
        <v>50</v>
      </c>
      <c r="I8" s="83" t="n">
        <v>20</v>
      </c>
      <c r="J8" s="84" t="n">
        <f aca="false">IF(COUNTBLANK(G8:I8)&gt;0, "", ((G8+H8)/(2*I8)+0.003)*IF($B$4, 25.4, 1))</f>
        <v>1.703</v>
      </c>
      <c r="M8" s="46" t="s">
        <v>95</v>
      </c>
      <c r="N8" s="47" t="n">
        <v>20</v>
      </c>
    </row>
    <row r="9" customFormat="false" ht="15" hidden="false" customHeight="false" outlineLevel="0" collapsed="false">
      <c r="C9" s="30" t="s">
        <v>56</v>
      </c>
      <c r="D9" s="35" t="n">
        <f aca="false">VLOOKUP($C$6, MotorSpecs, 4, 0)</f>
        <v>2.7</v>
      </c>
      <c r="E9" s="36" t="n">
        <f aca="false">D9*D13*(D14/12)</f>
        <v>10.8</v>
      </c>
      <c r="G9" s="82"/>
      <c r="H9" s="83"/>
      <c r="I9" s="83"/>
      <c r="J9" s="84" t="str">
        <f aca="false">IF(COUNTBLANK(G9:I9)&gt;0, "", ((G9+H9)/(2*I9)+0.003)*IF($B$4, 25.4, 1))</f>
        <v/>
      </c>
      <c r="M9" s="46" t="s">
        <v>96</v>
      </c>
      <c r="N9" s="47" t="n">
        <v>1</v>
      </c>
    </row>
    <row r="10" customFormat="false" ht="14.45" hidden="false" customHeight="false" outlineLevel="0" collapsed="false">
      <c r="C10" s="30" t="s">
        <v>58</v>
      </c>
      <c r="D10" s="39" t="n">
        <f aca="false">VLOOKUP($C$6, MotorSpecs, 5, 0)</f>
        <v>131</v>
      </c>
      <c r="E10" s="40" t="n">
        <f aca="false">D10*D13*(D14/12)</f>
        <v>524</v>
      </c>
      <c r="G10" s="82"/>
      <c r="H10" s="83"/>
      <c r="I10" s="83"/>
      <c r="J10" s="84" t="str">
        <f aca="false">IF(COUNTBLANK(G10:I10)&gt;0, "", ((G10+H10)/(2*I10)+0.003)*IF($B$4, 25.4, 1))</f>
        <v/>
      </c>
    </row>
    <row r="11" customFormat="false" ht="14.45" hidden="false" customHeight="false" outlineLevel="0" collapsed="false">
      <c r="C11" s="41" t="s">
        <v>59</v>
      </c>
      <c r="D11" s="42" t="n">
        <f aca="false">VLOOKUP($C$6, MotorSpecs, 6, 0)</f>
        <v>336.289167609641</v>
      </c>
      <c r="E11" s="43" t="n">
        <f aca="false">(E7/60*2*PI())*E8/4</f>
        <v>1076.12533635085</v>
      </c>
      <c r="M11" s="65" t="s">
        <v>97</v>
      </c>
      <c r="N11" s="85" t="n">
        <f aca="false">(N7-N6)/((N8+N9/D13)/1000)</f>
        <v>281.481481481481</v>
      </c>
    </row>
    <row r="12" customFormat="false" ht="14.45" hidden="false" customHeight="false" outlineLevel="0" collapsed="false">
      <c r="G12" s="65" t="s">
        <v>98</v>
      </c>
      <c r="H12" s="65"/>
      <c r="I12" s="86" t="n">
        <f aca="false">IF(COUNTBLANK($H$7:$H$10)&lt;4, PRODUCT($H$7:$H$10), 1)/IF(COUNTBLANK($G$7:$G$10)&lt;4, PRODUCT($G$7:$G$10), 1)</f>
        <v>12.5</v>
      </c>
      <c r="M12" s="65" t="s">
        <v>99</v>
      </c>
      <c r="N12" s="86" t="n">
        <f aca="false">(E10-E9)/E8*(D19/IF($B$4,1,2.205))*9.8*D17*D21*(D20/2*IF($B$4,0.001,0.0254))/(N11-E9)</f>
        <v>9.4027671677063</v>
      </c>
    </row>
    <row r="13" customFormat="false" ht="14.45" hidden="false" customHeight="false" outlineLevel="0" collapsed="false">
      <c r="C13" s="46" t="s">
        <v>100</v>
      </c>
      <c r="D13" s="47" t="n">
        <v>4</v>
      </c>
      <c r="G13" s="65" t="str">
        <f aca="false">"Adjusted Speed (" &amp; IF($B$4, "m", "ft") &amp; "/s)"</f>
        <v>Adjusted Speed (ft/s)</v>
      </c>
      <c r="H13" s="65"/>
      <c r="I13" s="67" t="n">
        <f aca="false">I14*$D$16</f>
        <v>6.6234546981484</v>
      </c>
      <c r="M13" s="65" t="str">
        <f aca="false">"Free Speed (" &amp; IF($B$4, "m", "ft") &amp; "/s)"</f>
        <v>Free Speed (ft/s)</v>
      </c>
      <c r="N13" s="67" t="n">
        <f aca="false">($E$7/60)/N12*((D20/IF($B$4,25.4,1))*PI()/12)/IF($B$4, 3.281, 1)</f>
        <v>9.89347576857956</v>
      </c>
    </row>
    <row r="14" customFormat="false" ht="14.45" hidden="false" customHeight="false" outlineLevel="0" collapsed="false">
      <c r="C14" s="46" t="s">
        <v>62</v>
      </c>
      <c r="D14" s="47" t="n">
        <v>12</v>
      </c>
      <c r="G14" s="65" t="str">
        <f aca="false">"Free Speed (" &amp; IF($B$4, "m", "ft") &amp; "/s)"</f>
        <v>Free Speed (ft/s)</v>
      </c>
      <c r="H14" s="65"/>
      <c r="I14" s="67" t="n">
        <f aca="false">($E$7/60)/I12*((D20/IF($B$4,25.4,1))*PI()/12)/IF($B$4, 3.281, 1)</f>
        <v>7.44208393050382</v>
      </c>
      <c r="M14" s="65" t="str">
        <f aca="false">"Adjusted Speed (" &amp; IF($B$4, "m", "ft") &amp; "/s)"</f>
        <v>Adjusted Speed (ft/s)</v>
      </c>
      <c r="N14" s="67" t="n">
        <f aca="false">N13*D16</f>
        <v>8.80519343403581</v>
      </c>
    </row>
    <row r="15" customFormat="false" ht="14.45" hidden="false" customHeight="false" outlineLevel="0" collapsed="false">
      <c r="C15" s="46" t="s">
        <v>101</v>
      </c>
      <c r="D15" s="53" t="n">
        <v>0.8</v>
      </c>
      <c r="G15" s="65" t="s">
        <v>102</v>
      </c>
      <c r="H15" s="65"/>
      <c r="I15" s="85" t="n">
        <f aca="false">(($E$10-$E$9)/$E$8)*($D$19*IF($B$4,2.205,1))*$D$17*D21/$D$13*((D20/IF($B$4,25.4,1))/2)/I12*4.448*0.0254 + $E$9/$D$13</f>
        <v>53.6438214187552</v>
      </c>
    </row>
    <row r="16" customFormat="false" ht="14.45" hidden="false" customHeight="false" outlineLevel="0" collapsed="false">
      <c r="C16" s="46" t="s">
        <v>103</v>
      </c>
      <c r="D16" s="53" t="n">
        <v>0.89</v>
      </c>
    </row>
    <row r="17" customFormat="false" ht="14.45" hidden="false" customHeight="false" outlineLevel="0" collapsed="false">
      <c r="C17" s="46" t="s">
        <v>104</v>
      </c>
      <c r="D17" s="53" t="n">
        <v>1</v>
      </c>
      <c r="E17" s="55"/>
      <c r="G17" s="87" t="s">
        <v>90</v>
      </c>
      <c r="H17" s="88" t="s">
        <v>91</v>
      </c>
      <c r="J17" s="89" t="s">
        <v>98</v>
      </c>
      <c r="K17" s="89"/>
      <c r="L17" s="86" t="n">
        <f aca="false">IF(COUNTBLANK($H$7:$H$10)&lt;4, PRODUCT($H$7:$H$10), 1)*IF(ISBLANK(H18), 1, H18) / (IF(COUNTBLANK($G$7:$G$10)&lt;4, PRODUCT($G$7:$G$10), 1)*IF(ISBLANK(G18), 1, G18))</f>
        <v>15.625</v>
      </c>
    </row>
    <row r="18" customFormat="false" ht="14.45" hidden="false" customHeight="false" outlineLevel="0" collapsed="false">
      <c r="D18" s="90"/>
      <c r="E18" s="55"/>
      <c r="G18" s="91" t="n">
        <v>12</v>
      </c>
      <c r="H18" s="92" t="n">
        <v>15</v>
      </c>
      <c r="J18" s="89" t="str">
        <f aca="false">"Adjusted Speed (" &amp; IF($B$4, "m", "ft") &amp; "/s)"</f>
        <v>Adjusted Speed (ft/s)</v>
      </c>
      <c r="K18" s="89"/>
      <c r="L18" s="67" t="n">
        <f aca="false">L19*$D$16</f>
        <v>5.29876375851872</v>
      </c>
    </row>
    <row r="19" customFormat="false" ht="14.45" hidden="false" customHeight="false" outlineLevel="0" collapsed="false">
      <c r="C19" s="46" t="str">
        <f aca="false">"Robot Weight  (" &amp; IF($B$4, "kg", "lbs") &amp; ")"</f>
        <v>Robot Weight  (lbs)</v>
      </c>
      <c r="D19" s="93" t="n">
        <v>154</v>
      </c>
      <c r="G19" s="94" t="s">
        <v>92</v>
      </c>
      <c r="H19" s="95"/>
      <c r="J19" s="89" t="str">
        <f aca="false">"Free Speed (" &amp; IF($B$4, "m", "ft") &amp; "/s)"</f>
        <v>Free Speed (ft/s)</v>
      </c>
      <c r="K19" s="89"/>
      <c r="L19" s="67" t="n">
        <f aca="false">($E$7/60)/L17*((D20/IF($B$4,25.4,1))*PI()/12)/IF($B$4, 3.281, 1)</f>
        <v>5.95366714440306</v>
      </c>
    </row>
    <row r="20" customFormat="false" ht="14.45" hidden="false" customHeight="false" outlineLevel="0" collapsed="false">
      <c r="C20" s="46" t="str">
        <f aca="false">"Wheel Diam. (" &amp; IF($B$4, "mm", "in") &amp; ")"</f>
        <v>Wheel Diam. (in)</v>
      </c>
      <c r="D20" s="96" t="n">
        <v>4</v>
      </c>
      <c r="G20" s="97" t="str">
        <f aca="false">"C-C (" &amp; IF($B$4, "mm", "in") &amp; ")"</f>
        <v>C-C (in)</v>
      </c>
      <c r="H20" s="98" t="str">
        <f aca="false">IF(COUNTBLANK(G18:H19)&gt;0, "", ((G18+H18)/(2*H19)+0.003)*IF($B$4, 25.4, 1))</f>
        <v/>
      </c>
      <c r="J20" s="89" t="s">
        <v>102</v>
      </c>
      <c r="K20" s="89"/>
      <c r="L20" s="85" t="n">
        <f aca="false">(($E$10-$E$9)/$E$8)*($D$19*IF($B$4,2.205,1))*$D$17*D21/$D$13*((D20/IF($B$4,25.4,1))/2)/L17*4.448*0.0254 + $E$9/$D$13</f>
        <v>43.4550571350041</v>
      </c>
    </row>
    <row r="21" customFormat="false" ht="14.45" hidden="false" customHeight="false" outlineLevel="0" collapsed="false">
      <c r="C21" s="46" t="s">
        <v>105</v>
      </c>
      <c r="D21" s="96" t="n">
        <v>1.1</v>
      </c>
    </row>
    <row r="22" customFormat="false" ht="14.45" hidden="false" customHeight="false" outlineLevel="0" collapsed="false">
      <c r="G22" s="87" t="s">
        <v>90</v>
      </c>
      <c r="H22" s="88" t="s">
        <v>91</v>
      </c>
      <c r="J22" s="65" t="s">
        <v>98</v>
      </c>
      <c r="K22" s="65"/>
      <c r="L22" s="86" t="n">
        <f aca="false">IF(COUNTBLANK($H$7:$H$10)&lt;4, PRODUCT($H$7:$H$10), 1)*IF(ISBLANK(H23), 1, H23) / (IF(COUNTBLANK($G$7:$G$10)&lt;4, PRODUCT($G$7:$G$10), 1)*IF(ISBLANK(G23), 1, G23))</f>
        <v>25</v>
      </c>
    </row>
    <row r="23" customFormat="false" ht="14.45" hidden="false" customHeight="false" outlineLevel="0" collapsed="false">
      <c r="C23" s="99" t="s">
        <v>106</v>
      </c>
      <c r="D23" s="20" t="n">
        <f aca="false">FALSE()</f>
        <v>0</v>
      </c>
      <c r="G23" s="91"/>
      <c r="H23" s="92" t="n">
        <v>2</v>
      </c>
      <c r="J23" s="65" t="str">
        <f aca="false">"Adjusted Speed (" &amp; IF($B$4, "m", "ft") &amp; "/s)"</f>
        <v>Adjusted Speed (ft/s)</v>
      </c>
      <c r="K23" s="65"/>
      <c r="L23" s="67" t="n">
        <f aca="false">L24*$D$16</f>
        <v>3.3117273490742</v>
      </c>
    </row>
    <row r="24" customFormat="false" ht="14.45" hidden="false" customHeight="false" outlineLevel="0" collapsed="false">
      <c r="C24" s="99" t="s">
        <v>107</v>
      </c>
      <c r="D24" s="20" t="n">
        <f aca="false">FALSE()</f>
        <v>0</v>
      </c>
      <c r="G24" s="94" t="s">
        <v>92</v>
      </c>
      <c r="H24" s="95"/>
      <c r="J24" s="65" t="str">
        <f aca="false">"Free Speed (" &amp; IF($B$4, "m", "ft") &amp; "/s)"</f>
        <v>Free Speed (ft/s)</v>
      </c>
      <c r="K24" s="65"/>
      <c r="L24" s="67" t="n">
        <f aca="false">($E$7/60)/L22*((IF(D24,D26,D20)/IF($B$4,25.4,1))*PI()/12)/IF($B$4, 3.281, 1)</f>
        <v>3.72104196525191</v>
      </c>
    </row>
    <row r="25" customFormat="false" ht="14.45" hidden="false" customHeight="false" outlineLevel="0" collapsed="false">
      <c r="G25" s="97" t="str">
        <f aca="false">"C-C (" &amp; IF($B$4, "mm", "in") &amp; ")"</f>
        <v>C-C (in)</v>
      </c>
      <c r="H25" s="98" t="str">
        <f aca="false">IF(COUNTBLANK(G23:H24)&gt;0, "", ((G23+H23)/(2*H24)+0.003)*IF($B$4, 25.4, 1))</f>
        <v/>
      </c>
      <c r="J25" s="65" t="s">
        <v>102</v>
      </c>
      <c r="K25" s="65"/>
      <c r="L25" s="85" t="n">
        <f aca="false">(($E$10-$E$9)/$E$8)*($D$19*IF($B$4,2.205,1))*$D$17*IF(D24,D27,D21)/$D$13*((IF(D24,D26,D20)/IF($B$4,25.4,1))/2)/L22*4.448*0.0254 + $E$9/$D$13</f>
        <v>28.1719107093776</v>
      </c>
    </row>
    <row r="26" customFormat="false" ht="14.45" hidden="false" customHeight="false" outlineLevel="0" collapsed="false">
      <c r="C26" s="100" t="str">
        <f aca="false">"2nd Wheel Diam. (" &amp; IF($B$4, "mm", "in") &amp; ")"</f>
        <v>2nd Wheel Diam. (in)</v>
      </c>
      <c r="D26" s="96" t="n">
        <v>6</v>
      </c>
    </row>
    <row r="27" customFormat="false" ht="14.45" hidden="false" customHeight="false" outlineLevel="0" collapsed="false">
      <c r="C27" s="100" t="s">
        <v>108</v>
      </c>
      <c r="D27" s="47" t="n">
        <v>1.2</v>
      </c>
    </row>
  </sheetData>
  <sheetProtection sheet="true" objects="true" scenarios="true" formatCells="false" formatColumns="false" formatRows="false"/>
  <mergeCells count="13">
    <mergeCell ref="C6:D6"/>
    <mergeCell ref="G12:H12"/>
    <mergeCell ref="G13:H13"/>
    <mergeCell ref="G14:H14"/>
    <mergeCell ref="G15:H15"/>
    <mergeCell ref="J17:K17"/>
    <mergeCell ref="J18:K18"/>
    <mergeCell ref="J19:K19"/>
    <mergeCell ref="J20:K20"/>
    <mergeCell ref="J22:K22"/>
    <mergeCell ref="J23:K23"/>
    <mergeCell ref="J24:K24"/>
    <mergeCell ref="J25:K25"/>
  </mergeCells>
  <conditionalFormatting sqref="D14">
    <cfRule type="cellIs" priority="2" operator="greaterThan" aboveAverage="0" equalAverage="0" bottom="0" percent="0" rank="0" text="" dxfId="0">
      <formula>12</formula>
    </cfRule>
  </conditionalFormatting>
  <conditionalFormatting sqref="D13:D17 D19:D21 N8:N9">
    <cfRule type="cellIs" priority="3" operator="lessThanOrEqual" aboveAverage="0" equalAverage="0" bottom="0" percent="0" rank="0" text="" dxfId="1">
      <formula>0</formula>
    </cfRule>
  </conditionalFormatting>
  <conditionalFormatting sqref="D15:D17">
    <cfRule type="cellIs" priority="4" operator="greaterThan" aboveAverage="0" equalAverage="0" bottom="0" percent="0" rank="0" text="" dxfId="2">
      <formula>1</formula>
    </cfRule>
  </conditionalFormatting>
  <conditionalFormatting sqref="D13:D17 D19:D21 N6:N9">
    <cfRule type="expression" priority="5" aboveAverage="0" equalAverage="0" bottom="0" percent="0" rank="0" text="" dxfId="3">
      <formula>LEN(TRIM(D13))=0</formula>
    </cfRule>
  </conditionalFormatting>
  <conditionalFormatting sqref="G7:I10 G18:H18 H19 D26:D27 G23:H23 H24">
    <cfRule type="cellIs" priority="6" operator="lessThan" aboveAverage="0" equalAverage="0" bottom="0" percent="0" rank="0" text="" dxfId="4">
      <formula>0</formula>
    </cfRule>
  </conditionalFormatting>
  <conditionalFormatting sqref="C26:D27">
    <cfRule type="expression" priority="7" aboveAverage="0" equalAverage="0" bottom="0" percent="0" rank="0" text="" dxfId="5">
      <formula>NOT($D$24)</formula>
    </cfRule>
  </conditionalFormatting>
  <conditionalFormatting sqref="G17:L25">
    <cfRule type="expression" priority="8" aboveAverage="0" equalAverage="0" bottom="0" percent="0" rank="0" text="" dxfId="6">
      <formula>NOT($D$23)</formula>
    </cfRule>
  </conditionalFormatting>
  <conditionalFormatting sqref="G12:I15">
    <cfRule type="expression" priority="9" aboveAverage="0" equalAverage="0" bottom="0" percent="0" rank="0" text="" dxfId="7">
      <formula>$D$23</formula>
    </cfRule>
  </conditionalFormatting>
  <conditionalFormatting sqref="D13:D17 D19:D21 G7:I10 G18:H18 H19 G23:H23 H24 N6:N9">
    <cfRule type="expression" priority="10" aboveAverage="0" equalAverage="0" bottom="0" percent="0" rank="0" text="" dxfId="8">
      <formula>ISTEXT(D6)</formula>
    </cfRule>
  </conditionalFormatting>
  <conditionalFormatting sqref="N11:N14">
    <cfRule type="expression" priority="11" aboveAverage="0" equalAverage="0" bottom="0" percent="0" rank="0" text="" dxfId="9">
      <formula>$N$6&gt;=$N$7</formula>
    </cfRule>
  </conditionalFormatting>
  <conditionalFormatting sqref="N6:N7">
    <cfRule type="expression" priority="12" aboveAverage="0" equalAverage="0" bottom="0" percent="0" rank="0" text="" dxfId="10">
      <formula>$N$6&gt;=$N$7</formula>
    </cfRule>
  </conditionalFormatting>
  <dataValidations count="1">
    <dataValidation allowBlank="true" error="Not a valid motor." errorTitle="Error" operator="between" showDropDown="false" showErrorMessage="true" showInputMessage="false" sqref="C6:D6" type="list">
      <formula1>Motors</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pageSetUpPr fitToPage="false"/>
  </sheetPr>
  <dimension ref="B2:P2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18.85"/>
    <col collapsed="false" customWidth="true" hidden="false" outlineLevel="0" max="4" min="4" style="18" width="10.71"/>
    <col collapsed="false" customWidth="true" hidden="false" outlineLevel="0" max="5" min="5" style="18" width="12.86"/>
    <col collapsed="false" customWidth="true" hidden="false" outlineLevel="0" max="6" min="6" style="18" width="24.29"/>
    <col collapsed="false" customWidth="true" hidden="false" outlineLevel="0" max="8" min="7" style="18" width="9.14"/>
    <col collapsed="false" customWidth="true" hidden="false" outlineLevel="0" max="9" min="9" style="18" width="24.29"/>
    <col collapsed="false" customWidth="true" hidden="false" outlineLevel="0" max="11" min="10" style="18" width="9.14"/>
    <col collapsed="false" customWidth="true" hidden="false" outlineLevel="0" max="12" min="12" style="18" width="19.85"/>
    <col collapsed="false" customWidth="true" hidden="false" outlineLevel="0" max="14" min="13" style="18" width="9.14"/>
    <col collapsed="false" customWidth="true" hidden="false" outlineLevel="0" max="15" min="15" style="18" width="24.29"/>
    <col collapsed="false" customWidth="true" hidden="false" outlineLevel="0" max="1025" min="16" style="18" width="9.14"/>
  </cols>
  <sheetData>
    <row r="2" customFormat="false" ht="31.15" hidden="false" customHeight="false" outlineLevel="0" collapsed="false">
      <c r="C2" s="19" t="s">
        <v>109</v>
      </c>
    </row>
    <row r="4" customFormat="false" ht="14.45" hidden="false" customHeight="false" outlineLevel="0" collapsed="false">
      <c r="B4" s="20" t="n">
        <f aca="false">FALSE()</f>
        <v>0</v>
      </c>
      <c r="C4" s="18" t="s">
        <v>40</v>
      </c>
    </row>
    <row r="6" customFormat="false" ht="18.75" hidden="false" customHeight="false" outlineLevel="0" collapsed="false">
      <c r="D6" s="90"/>
      <c r="F6" s="101" t="s">
        <v>110</v>
      </c>
      <c r="G6" s="101"/>
      <c r="I6" s="101" t="s">
        <v>111</v>
      </c>
      <c r="J6" s="101"/>
      <c r="L6" s="101" t="s">
        <v>112</v>
      </c>
      <c r="M6" s="101"/>
      <c r="O6" s="79" t="s">
        <v>113</v>
      </c>
      <c r="P6" s="79"/>
    </row>
    <row r="7" customFormat="false" ht="14.45" hidden="false" customHeight="false" outlineLevel="0" collapsed="false">
      <c r="D7" s="90"/>
    </row>
    <row r="8" customFormat="false" ht="14.45" hidden="false" customHeight="false" outlineLevel="0" collapsed="false">
      <c r="C8" s="65" t="s">
        <v>114</v>
      </c>
      <c r="D8" s="102" t="s">
        <v>115</v>
      </c>
      <c r="F8" s="65" t="str">
        <f aca="false">"Load Force (" &amp; IF($B$4, "kgf", "lbf") &amp; ")"</f>
        <v>Load Force (lbf)</v>
      </c>
      <c r="G8" s="96" t="n">
        <v>160</v>
      </c>
      <c r="I8" s="65" t="str">
        <f aca="false">"Load Force (" &amp; IF($B$4, "kgf", "lbf") &amp; ")"</f>
        <v>Load Force (lbf)</v>
      </c>
      <c r="J8" s="96" t="n">
        <v>160</v>
      </c>
      <c r="L8" s="65" t="str">
        <f aca="false">"Length (" &amp; IF($B$4, "mm", "in") &amp; ")"</f>
        <v>Length (in)</v>
      </c>
      <c r="M8" s="96" t="n">
        <v>20</v>
      </c>
      <c r="O8" s="65" t="str">
        <f aca="false">"Torque (" &amp; IF($B$4, "Nmm", "in-lbs") &amp; ")"</f>
        <v>Torque (in-lbs)</v>
      </c>
      <c r="P8" s="96" t="n">
        <v>1500</v>
      </c>
    </row>
    <row r="9" customFormat="false" ht="14.45" hidden="false" customHeight="false" outlineLevel="0" collapsed="false">
      <c r="D9" s="103"/>
      <c r="F9" s="65" t="str">
        <f aca="false">"Distance To Support (" &amp; IF($B$4, "mm", "in") &amp; ")"</f>
        <v>Distance To Support (in)</v>
      </c>
      <c r="G9" s="96" t="n">
        <v>8</v>
      </c>
      <c r="H9" s="104"/>
      <c r="I9" s="65" t="str">
        <f aca="false">"Distance To Support (" &amp; IF($B$4, "mm", "in") &amp; ")"</f>
        <v>Distance To Support (in)</v>
      </c>
      <c r="J9" s="96" t="n">
        <v>3</v>
      </c>
      <c r="K9" s="104"/>
      <c r="L9" s="65" t="s">
        <v>116</v>
      </c>
      <c r="M9" s="57" t="n">
        <v>0.8</v>
      </c>
      <c r="N9" s="104"/>
      <c r="O9" s="65" t="str">
        <f aca="false">"Distance To Support (" &amp; IF($B$4, "mm", "in") &amp; ")"</f>
        <v>Distance To Support (in)</v>
      </c>
      <c r="P9" s="96" t="n">
        <v>3</v>
      </c>
    </row>
    <row r="10" customFormat="false" ht="14.45" hidden="false" customHeight="false" outlineLevel="0" collapsed="false">
      <c r="C10" s="65" t="s">
        <v>117</v>
      </c>
      <c r="D10" s="102" t="s">
        <v>118</v>
      </c>
      <c r="F10" s="65" t="str">
        <f aca="false">"Dist. Btwn. Supports (" &amp; IF($B$4, "mm", "in") &amp; ")"</f>
        <v>Dist. Btwn. Supports (in)</v>
      </c>
      <c r="G10" s="96" t="n">
        <v>20</v>
      </c>
      <c r="I10" s="65" t="str">
        <f aca="false">"Length (" &amp; IF($B$4, "mm", "in") &amp; ")"</f>
        <v>Length (in)</v>
      </c>
      <c r="J10" s="96" t="n">
        <v>10</v>
      </c>
    </row>
    <row r="11" customFormat="false" ht="14.45" hidden="false" customHeight="false" outlineLevel="0" collapsed="false">
      <c r="C11" s="65" t="str">
        <f aca="false">CHOOSE(MATCH($D$10,{"Hex","Round","Round Tube","Square","Rect. Tube"},0), "Size","Diameter","Outside Diam.","Size","║ Size") &amp; " (" &amp; IF($B$4,"mm","in") &amp; ")"</f>
        <v>Size (in)</v>
      </c>
      <c r="D11" s="54" t="n">
        <v>0.5</v>
      </c>
    </row>
    <row r="12" customFormat="false" ht="14.45" hidden="false" customHeight="false" outlineLevel="0" collapsed="false">
      <c r="C12" s="105" t="str">
        <f aca="false">CHOOSE(MATCH($D$10,{"Hex","Round","Round Tube","Square","Rect. Tube"},0), "","","Wall Thick. ("&amp;IF($B$4,"in","mm")&amp;")","","┴ Size ("&amp;IF($B$4,"mm","in")&amp;")")</f>
        <v/>
      </c>
      <c r="D12" s="54" t="n">
        <v>0.118110236220472</v>
      </c>
    </row>
    <row r="13" customFormat="false" ht="15" hidden="false" customHeight="false" outlineLevel="0" collapsed="false">
      <c r="C13" s="105" t="str">
        <f aca="false">CHOOSE(MATCH($D$10,{"Hex","Round","Round Tube","Square","Rect. Tube"},0), "","","","","Wall Thick. ("&amp;IF($B$4,"mm","in")&amp;")")</f>
        <v/>
      </c>
      <c r="D13" s="54" t="n">
        <v>0</v>
      </c>
      <c r="F13" s="65" t="str">
        <f aca="false">"Displacement (" &amp; IF($B$4, "mm", "in") &amp; ")"</f>
        <v>Displacement (in)</v>
      </c>
      <c r="G13" s="106" t="n">
        <f aca="false">4*G8*IF($B$4, 9.8, 1)*(MAX(G9,G10-G9))^3*(MIN(G9,G10-G9))^2 / (3*D20*D22*(3*MAX(G9,G10-G9)+MIN(G9,G10-G9))^2)</f>
        <v>0.311976320032038</v>
      </c>
      <c r="I13" s="65" t="str">
        <f aca="false">"Displacement (" &amp; IF($B$4, "mm", "in") &amp; ")"</f>
        <v>Displacement (in)</v>
      </c>
      <c r="J13" s="67" t="n">
        <f aca="false">(J8*IF($B$4, 9.8, 1))*J9^2/(6*D22*D20)*(3*J10-J9)</f>
        <v>0.165889752204536</v>
      </c>
      <c r="L13" s="65" t="str">
        <f aca="false">"Max. Force (" &amp; IF($B$4, "kgf", "lbf") &amp; ")"</f>
        <v>Max. Force (lbf)</v>
      </c>
      <c r="M13" s="107" t="n">
        <f aca="false">PI()^2*D22*D20/(M8*M9)^2 / IF($B$4, 9.8, 1)</f>
        <v>1505.96620998355</v>
      </c>
      <c r="O13" s="65" t="s">
        <v>119</v>
      </c>
      <c r="P13" s="67" t="n">
        <f aca="false">DEGREES(P8*P9/(D23*D21))</f>
        <v>9.16252637055977</v>
      </c>
    </row>
    <row r="14" customFormat="false" ht="14.45" hidden="false" customHeight="false" outlineLevel="0" collapsed="false">
      <c r="G14" s="103"/>
    </row>
    <row r="15" customFormat="false" ht="15" hidden="false" customHeight="true" outlineLevel="0" collapsed="false">
      <c r="C15" s="108" t="s">
        <v>120</v>
      </c>
      <c r="D15" s="108"/>
    </row>
    <row r="16" customFormat="false" ht="15" hidden="false" customHeight="true" outlineLevel="0" collapsed="false">
      <c r="C16" s="108"/>
      <c r="D16" s="108"/>
    </row>
    <row r="17" customFormat="false" ht="15" hidden="false" customHeight="true" outlineLevel="0" collapsed="false">
      <c r="C17" s="108"/>
      <c r="D17" s="108"/>
    </row>
    <row r="18" customFormat="false" ht="15" hidden="false" customHeight="false" outlineLevel="0" collapsed="false">
      <c r="C18" s="108"/>
      <c r="D18" s="108"/>
    </row>
    <row r="20" customFormat="false" ht="14.45" hidden="false" customHeight="false" outlineLevel="0" collapsed="false">
      <c r="C20" s="109" t="s">
        <v>121</v>
      </c>
      <c r="D20" s="110" t="n">
        <f aca="false">CHOOSE(MATCH($D$10,{"Hex","Round","Round Tube","Square","Rect. Tube"},0), 0.0601*$D$11^4, PI()/64*$D$11^4, PI()/8*$D$11^3*$D$12, $D$11^4/12, $D$11^2*$D$12*$D$13/3)</f>
        <v>0.00375624999999999</v>
      </c>
    </row>
    <row r="21" customFormat="false" ht="14.45" hidden="false" customHeight="false" outlineLevel="0" collapsed="false">
      <c r="C21" s="109" t="s">
        <v>122</v>
      </c>
      <c r="D21" s="110" t="n">
        <f aca="false">CHOOSE(MATCH($D$10,{"Hex","Round","Round Tube","Square","Rect. Tube"},0), 0.1154*$D$11^4, PI()/32*$D$11^4, PI()/4*$D$11^3*$D$12, 9/64*$D$11^4, (2*$D$13^2*($D$12-$D$13)^2*($D$11-$D$13)^2)/($D$11*$D$13+$D$12*$D$13-2*$D$13^2))</f>
        <v>0.00721249999999999</v>
      </c>
    </row>
    <row r="22" customFormat="false" ht="14.45" hidden="false" customHeight="false" outlineLevel="0" collapsed="false">
      <c r="C22" s="109" t="s">
        <v>123</v>
      </c>
      <c r="D22" s="55" t="n">
        <f aca="false">VLOOKUP($D$8, MaterialSpecs, 2, 0)*IF($B$4, 1, 145.038)</f>
        <v>10399224.6</v>
      </c>
    </row>
    <row r="23" customFormat="false" ht="14.45" hidden="false" customHeight="false" outlineLevel="0" collapsed="false">
      <c r="C23" s="109" t="s">
        <v>124</v>
      </c>
      <c r="D23" s="55" t="n">
        <f aca="false">VLOOKUP($D$8, MaterialSpecs, 3, 0)*IF($B$4, 1, 145.038)</f>
        <v>3901522.2</v>
      </c>
    </row>
  </sheetData>
  <sheetProtection sheet="true" objects="true" scenarios="true" formatCells="false" formatColumns="false" formatRows="false"/>
  <mergeCells count="4">
    <mergeCell ref="F6:G6"/>
    <mergeCell ref="I6:J6"/>
    <mergeCell ref="L6:M6"/>
    <mergeCell ref="C15:D18"/>
  </mergeCells>
  <conditionalFormatting sqref="C13:D13">
    <cfRule type="expression" priority="2" aboveAverage="0" equalAverage="0" bottom="0" percent="0" rank="0" text="" dxfId="0">
      <formula>NOT($D$10="Rect. Tube")</formula>
    </cfRule>
  </conditionalFormatting>
  <conditionalFormatting sqref="C12:D13">
    <cfRule type="expression" priority="3" aboveAverage="0" equalAverage="0" bottom="0" percent="0" rank="0" text="" dxfId="1">
      <formula>NOT(OR($D$10="Round Tube", $D$10="Rect. Tube"))</formula>
    </cfRule>
  </conditionalFormatting>
  <conditionalFormatting sqref="D11:D13 G8:G10 J8:J10 M8:M9 P8:P9">
    <cfRule type="cellIs" priority="4" operator="lessThanOrEqual" aboveAverage="0" equalAverage="0" bottom="0" percent="0" rank="0" text="" dxfId="2">
      <formula>0</formula>
    </cfRule>
  </conditionalFormatting>
  <conditionalFormatting sqref="G9">
    <cfRule type="cellIs" priority="5" operator="greaterThanOrEqual" aboveAverage="0" equalAverage="0" bottom="0" percent="0" rank="0" text="" dxfId="3">
      <formula>$G$10</formula>
    </cfRule>
  </conditionalFormatting>
  <conditionalFormatting sqref="D11 G8:G10 J8:J10 M8:M9 P8:P9">
    <cfRule type="expression" priority="6" aboveAverage="0" equalAverage="0" bottom="0" percent="0" rank="0" text="" dxfId="4">
      <formula>ISTEXT(D8)</formula>
    </cfRule>
  </conditionalFormatting>
  <conditionalFormatting sqref="D11">
    <cfRule type="expression" priority="7" aboveAverage="0" equalAverage="0" bottom="0" percent="0" rank="0" text="" dxfId="5">
      <formula>LEN(TRIM(D11))=0</formula>
    </cfRule>
  </conditionalFormatting>
  <dataValidations count="3">
    <dataValidation allowBlank="true" operator="between" showDropDown="false" showErrorMessage="true" showInputMessage="true" sqref="D10" type="list">
      <formula1>"Hex,Round,Round Tube,Square,Rect. Tube"</formula1>
      <formula2>0</formula2>
    </dataValidation>
    <dataValidation allowBlank="true" operator="between" showDropDown="false" showErrorMessage="true" showInputMessage="true" sqref="D8" type="list">
      <formula1>Materials</formula1>
      <formula2>0</formula2>
    </dataValidation>
    <dataValidation allowBlank="true" operator="between" prompt="Select a common value from the list or write in a custom value." showDropDown="false" showErrorMessage="true" showInputMessage="true" sqref="M9" type="list">
      <formula1>"0.65,0.80,1.20,1.00,2.10,2.00"</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B2:EZ1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11" width="7.15"/>
    <col collapsed="false" customWidth="true" hidden="false" outlineLevel="0" max="2" min="2" style="111" width="3.29"/>
    <col collapsed="false" customWidth="true" hidden="false" outlineLevel="0" max="3" min="3" style="111" width="21.14"/>
    <col collapsed="false" customWidth="true" hidden="false" outlineLevel="0" max="4" min="4" style="111" width="10.29"/>
    <col collapsed="false" customWidth="true" hidden="false" outlineLevel="0" max="5" min="5" style="111" width="9.14"/>
    <col collapsed="false" customWidth="true" hidden="false" outlineLevel="0" max="6" min="6" style="111" width="21.14"/>
    <col collapsed="false" customWidth="true" hidden="false" outlineLevel="0" max="7" min="7" style="111" width="10.29"/>
    <col collapsed="false" customWidth="true" hidden="false" outlineLevel="0" max="9" min="8" style="111" width="9.14"/>
    <col collapsed="false" customWidth="true" hidden="false" outlineLevel="0" max="10" min="10" style="111" width="1.58"/>
    <col collapsed="false" customWidth="true" hidden="false" outlineLevel="0" max="19" min="11" style="111" width="9.14"/>
    <col collapsed="false" customWidth="true" hidden="true" outlineLevel="0" max="154" min="20" style="112" width="9.14"/>
    <col collapsed="false" customWidth="true" hidden="false" outlineLevel="0" max="1025" min="155" style="111" width="9.14"/>
  </cols>
  <sheetData>
    <row r="2" customFormat="false" ht="31.15" hidden="false" customHeight="false" outlineLevel="0" collapsed="false">
      <c r="C2" s="113" t="s">
        <v>18</v>
      </c>
    </row>
    <row r="3" customFormat="false" ht="14.45" hidden="false" customHeight="false" outlineLevel="0" collapsed="false">
      <c r="I3" s="21" t="s">
        <v>88</v>
      </c>
      <c r="J3" s="21"/>
    </row>
    <row r="4" customFormat="false" ht="14.45" hidden="false" customHeight="false" outlineLevel="0" collapsed="false">
      <c r="B4" s="20" t="n">
        <f aca="false">TRUE()</f>
        <v>1</v>
      </c>
      <c r="C4" s="111" t="s">
        <v>40</v>
      </c>
      <c r="V4" s="114"/>
      <c r="W4" s="115"/>
      <c r="Y4" s="116"/>
      <c r="Z4" s="115"/>
    </row>
    <row r="5" customFormat="false" ht="14.45" hidden="false" customHeight="false" outlineLevel="0" collapsed="false">
      <c r="T5" s="112" t="n">
        <f aca="false">IF($I$3="Forward",D7,G7)</f>
        <v>0.3</v>
      </c>
      <c r="V5" s="117" t="n">
        <f aca="false">MAX(CI8:CI108)*2</f>
        <v>9.5499370050355</v>
      </c>
      <c r="W5" s="115"/>
      <c r="Y5" s="116"/>
    </row>
    <row r="6" customFormat="false" ht="18" hidden="false" customHeight="false" outlineLevel="0" collapsed="false">
      <c r="C6" s="118" t="s">
        <v>87</v>
      </c>
      <c r="D6" s="118"/>
      <c r="F6" s="118" t="s">
        <v>88</v>
      </c>
      <c r="G6" s="118"/>
    </row>
    <row r="7" customFormat="false" ht="14.45" hidden="false" customHeight="false" outlineLevel="0" collapsed="false">
      <c r="C7" s="119" t="str">
        <f aca="false">"Release Height (" &amp; IF($B$4, "m", "ft") &amp; ")"</f>
        <v>Release Height (m)</v>
      </c>
      <c r="D7" s="96" t="n">
        <v>0.2</v>
      </c>
      <c r="F7" s="119" t="str">
        <f aca="false">"Release Height (" &amp; IF($B$4, "m", "ft") &amp; ")"</f>
        <v>Release Height (m)</v>
      </c>
      <c r="G7" s="96" t="n">
        <v>0.3</v>
      </c>
      <c r="T7" s="114" t="n">
        <f aca="false">IF($I$3="Forward", $D$8-$D$9, $G$8-$G$9)</f>
        <v>2</v>
      </c>
      <c r="U7" s="114" t="n">
        <f aca="false">$G$10-$G$11</f>
        <v>2.5</v>
      </c>
      <c r="V7" s="114" t="n">
        <f aca="false">$G$12-$G$13</f>
        <v>-80</v>
      </c>
      <c r="W7" s="114" t="n">
        <f aca="false">IF($I$3="Forward", $D$10*(1-$D$11), SQRT((IF($B$4, 9.807, 32.174)*T7)/(ABS(TAN(RADIANS(X7))-TAN(RADIANS(V7)))))/COS(RADIANS(X7)))</f>
        <v>9.54893468356343</v>
      </c>
      <c r="X7" s="115" t="n">
        <f aca="false">IF($I$3="Forward", $D$12-$D$13, DEGREES(ATAN(2*(U7-$T$5)/T7-TAN(RADIANS(V7)))))</f>
        <v>82.759695716411</v>
      </c>
      <c r="Y7" s="114" t="n">
        <f aca="false">IF($I$3="Forward", $D$8, $G$8)</f>
        <v>2</v>
      </c>
      <c r="Z7" s="114" t="n">
        <f aca="false">$G$10-$G$11</f>
        <v>2.5</v>
      </c>
      <c r="AA7" s="114" t="n">
        <f aca="false">$G$12-$G$13</f>
        <v>-80</v>
      </c>
      <c r="AB7" s="114" t="n">
        <f aca="false">IF($I$3="Forward", $D$10*(1-$D$11), SQRT((IF($B$4, 9.807, 32.174)*Y7)/(ABS(TAN(RADIANS(AC7))-TAN(RADIANS(AA7)))))/COS(RADIANS(AC7)))</f>
        <v>9.54893468356343</v>
      </c>
      <c r="AC7" s="115" t="n">
        <f aca="false">IF($I$3="Forward", $D$12-$D$13, DEGREES(ATAN(2*(Z7-$T$5)/Y7-TAN(RADIANS(AA7)))))</f>
        <v>82.759695716411</v>
      </c>
      <c r="AD7" s="114" t="n">
        <f aca="false">IF($I$3="Forward", $D$8+$D$9, $G$8+$G$9)</f>
        <v>2</v>
      </c>
      <c r="AE7" s="114" t="n">
        <f aca="false">$G$10-$G$11</f>
        <v>2.5</v>
      </c>
      <c r="AF7" s="114" t="n">
        <f aca="false">$G$12-$G$13</f>
        <v>-80</v>
      </c>
      <c r="AG7" s="114" t="n">
        <f aca="false">IF($I$3="Forward", $D$10*(1-$D$11), SQRT((IF($B$4, 9.807, 32.174)*AD7)/(ABS(TAN(RADIANS(AH7))-TAN(RADIANS(AF7)))))/COS(RADIANS(AH7)))</f>
        <v>9.54893468356343</v>
      </c>
      <c r="AH7" s="115" t="n">
        <f aca="false">IF($I$3="Forward", $D$12-$D$13, DEGREES(ATAN(2*(AE7-$T$5)/AD7-TAN(RADIANS(AF7)))))</f>
        <v>82.759695716411</v>
      </c>
      <c r="AI7" s="114" t="n">
        <f aca="false">IF($I$3="Forward", $D$8-$D$9, $G$8-$G$9)</f>
        <v>2</v>
      </c>
      <c r="AJ7" s="114" t="n">
        <f aca="false">$G$10</f>
        <v>2.5</v>
      </c>
      <c r="AK7" s="114" t="n">
        <f aca="false">$G$12-$G$13</f>
        <v>-80</v>
      </c>
      <c r="AL7" s="114" t="n">
        <f aca="false">IF($I$3="Forward", $D$10, SQRT((IF($B$4, 9.807, 32.174)*AI7)/(ABS(TAN(RADIANS(AM7))-TAN(RADIANS(AK7)))))/COS(RADIANS(AM7)))</f>
        <v>9.54893468356343</v>
      </c>
      <c r="AM7" s="115" t="n">
        <f aca="false">IF($I$3="Forward", $D$12-$D$13, DEGREES(ATAN(2*(AJ7-$T$5)/AI7-TAN(RADIANS(AK7)))))</f>
        <v>82.759695716411</v>
      </c>
      <c r="AN7" s="114" t="n">
        <f aca="false">IF($I$3="Forward", $D$8, $G$8)</f>
        <v>2</v>
      </c>
      <c r="AO7" s="114" t="n">
        <f aca="false">$G$10</f>
        <v>2.5</v>
      </c>
      <c r="AP7" s="114" t="n">
        <f aca="false">$G$12-$G$13</f>
        <v>-80</v>
      </c>
      <c r="AQ7" s="114" t="n">
        <f aca="false">IF($I$3="Forward", $D$10, SQRT((IF($B$4, 9.807, 32.174)*AN7)/(ABS(TAN(RADIANS(AR7))-TAN(RADIANS(AP7)))))/COS(RADIANS(AR7)))</f>
        <v>9.54893468356343</v>
      </c>
      <c r="AR7" s="115" t="n">
        <f aca="false">IF($I$3="Forward", $D$12-$D$13, DEGREES(ATAN(2*(AO7-$T$5)/AN7-TAN(RADIANS(AP7)))))</f>
        <v>82.759695716411</v>
      </c>
      <c r="AS7" s="114" t="n">
        <f aca="false">IF($I$3="Forward", $D$8+$D$9, $G$8+$G$9)</f>
        <v>2</v>
      </c>
      <c r="AT7" s="114" t="n">
        <f aca="false">$G$10</f>
        <v>2.5</v>
      </c>
      <c r="AU7" s="114" t="n">
        <f aca="false">$G$12-$G$13</f>
        <v>-80</v>
      </c>
      <c r="AV7" s="114" t="n">
        <f aca="false">IF($I$3="Forward", $D$10, SQRT((IF($B$4, 9.807, 32.174)*AS7)/(ABS(TAN(RADIANS(AW7))-TAN(RADIANS(AU7)))))/COS(RADIANS(AW7)))</f>
        <v>9.54893468356343</v>
      </c>
      <c r="AW7" s="115" t="n">
        <f aca="false">IF($I$3="Forward", $D$12-$D$13, DEGREES(ATAN(2*(AT7-$T$5)/AS7-TAN(RADIANS(AU7)))))</f>
        <v>82.759695716411</v>
      </c>
      <c r="AX7" s="114" t="n">
        <f aca="false">IF($I$3="Forward", $D$8-$D$9, $G$8-$G$9)</f>
        <v>2</v>
      </c>
      <c r="AY7" s="114" t="n">
        <f aca="false">$G$10+$G$11</f>
        <v>2.5</v>
      </c>
      <c r="AZ7" s="114" t="n">
        <f aca="false">$G$12-$G$13</f>
        <v>-80</v>
      </c>
      <c r="BA7" s="114" t="n">
        <f aca="false">IF($I$3="Forward", $D$10*(1+$D$11), SQRT((IF($B$4, 9.807, 32.174)*AX7)/(ABS(TAN(RADIANS(BB7))-TAN(RADIANS(AZ7)))))/COS(RADIANS(BB7)))</f>
        <v>9.54893468356343</v>
      </c>
      <c r="BB7" s="115" t="n">
        <f aca="false">IF($I$3="Forward", $D$12-$D$13, DEGREES(ATAN(2*(AY7-$T$5)/AX7-TAN(RADIANS(AZ7)))))</f>
        <v>82.759695716411</v>
      </c>
      <c r="BC7" s="114" t="n">
        <f aca="false">IF($I$3="Forward", $D$8, $G$8)</f>
        <v>2</v>
      </c>
      <c r="BD7" s="114" t="n">
        <f aca="false">$G$10+$G$11</f>
        <v>2.5</v>
      </c>
      <c r="BE7" s="114" t="n">
        <f aca="false">$G$12-$G$13</f>
        <v>-80</v>
      </c>
      <c r="BF7" s="114" t="n">
        <f aca="false">IF($I$3="Forward", $D$10*(1+$D$11), SQRT((IF($B$4, 9.807, 32.174)*BC7)/(ABS(TAN(RADIANS(BG7))-TAN(RADIANS(BE7)))))/COS(RADIANS(BG7)))</f>
        <v>9.54893468356343</v>
      </c>
      <c r="BG7" s="115" t="n">
        <f aca="false">IF($I$3="Forward", $D$12-$D$13, DEGREES(ATAN(2*(BD7-$T$5)/BC7-TAN(RADIANS(BE7)))))</f>
        <v>82.759695716411</v>
      </c>
      <c r="BH7" s="114" t="n">
        <f aca="false">IF($I$3="Forward", $D$8+$D$9, $G$8+$G$9)</f>
        <v>2</v>
      </c>
      <c r="BI7" s="114" t="n">
        <f aca="false">$G$10+$G$11</f>
        <v>2.5</v>
      </c>
      <c r="BJ7" s="114" t="n">
        <f aca="false">$G$12-$G$13</f>
        <v>-80</v>
      </c>
      <c r="BK7" s="114" t="n">
        <f aca="false">IF($I$3="Forward", $D$10*(1+$D$11), SQRT((IF($B$4, 9.807, 32.174)*BH7)/(ABS(TAN(RADIANS(BL7))-TAN(RADIANS(BJ7)))))/COS(RADIANS(BL7)))</f>
        <v>9.54893468356343</v>
      </c>
      <c r="BL7" s="115" t="n">
        <f aca="false">IF($I$3="Forward", $D$12-$D$13, DEGREES(ATAN(2*(BI7-$T$5)/BH7-TAN(RADIANS(BJ7)))))</f>
        <v>82.759695716411</v>
      </c>
      <c r="BM7" s="114" t="n">
        <f aca="false">IF($I$3="Forward", $D$8-$D$9, $G$8-$G$9)</f>
        <v>2</v>
      </c>
      <c r="BN7" s="114" t="n">
        <f aca="false">$G$10-$G$11</f>
        <v>2.5</v>
      </c>
      <c r="BO7" s="114" t="n">
        <f aca="false">$G$12</f>
        <v>-80</v>
      </c>
      <c r="BP7" s="114" t="n">
        <f aca="false">IF($I$3="Forward", $D$10*(1-$D$11), SQRT((IF($B$4, 9.807, 32.174)*BM7)/(ABS(TAN(RADIANS(BQ7))-TAN(RADIANS(BO7)))))/COS(RADIANS(BQ7)))</f>
        <v>9.54893468356343</v>
      </c>
      <c r="BQ7" s="115" t="n">
        <f aca="false">IF($I$3="Forward", $D$12, DEGREES(ATAN(2*(BN7-$T$5)/BM7-TAN(RADIANS(BO7)))))</f>
        <v>82.759695716411</v>
      </c>
      <c r="BR7" s="114" t="n">
        <f aca="false">IF($I$3="Forward", $D$8, $G$8)</f>
        <v>2</v>
      </c>
      <c r="BS7" s="114" t="n">
        <f aca="false">$G$10-$G$11</f>
        <v>2.5</v>
      </c>
      <c r="BT7" s="114" t="n">
        <f aca="false">$G$12</f>
        <v>-80</v>
      </c>
      <c r="BU7" s="114" t="n">
        <f aca="false">IF($I$3="Forward", $D$10*(1-$D$11), SQRT((IF($B$4, 9.807, 32.174)*BR7)/(ABS(TAN(RADIANS(BV7))-TAN(RADIANS(BT7)))))/COS(RADIANS(BV7)))</f>
        <v>9.54893468356343</v>
      </c>
      <c r="BV7" s="115" t="n">
        <f aca="false">IF($I$3="Forward", $D$12, DEGREES(ATAN(2*(BS7-$T$5)/BR7-TAN(RADIANS(BT7)))))</f>
        <v>82.759695716411</v>
      </c>
      <c r="BW7" s="114" t="n">
        <f aca="false">IF($I$3="Forward", $D$8+$D$9, $G$8+$G$9)</f>
        <v>2</v>
      </c>
      <c r="BX7" s="114" t="n">
        <f aca="false">$G$10-$G$11</f>
        <v>2.5</v>
      </c>
      <c r="BY7" s="114" t="n">
        <f aca="false">$G$12</f>
        <v>-80</v>
      </c>
      <c r="BZ7" s="114" t="n">
        <f aca="false">IF($I$3="Forward", $D$10*(1-$D$11), SQRT((IF($B$4, 9.807, 32.174)*BW7)/(ABS(TAN(RADIANS(CA7))-TAN(RADIANS(BY7)))))/COS(RADIANS(CA7)))</f>
        <v>9.54893468356343</v>
      </c>
      <c r="CA7" s="115" t="n">
        <f aca="false">IF($I$3="Forward", $D$12, DEGREES(ATAN(2*(BX7-$T$5)/BW7-TAN(RADIANS(BY7)))))</f>
        <v>82.759695716411</v>
      </c>
      <c r="CB7" s="114" t="n">
        <f aca="false">IF($I$3="Forward", $D$8-$D$9, $G$8-$G$9)</f>
        <v>2</v>
      </c>
      <c r="CC7" s="114" t="n">
        <f aca="false">$G$10</f>
        <v>2.5</v>
      </c>
      <c r="CD7" s="114" t="n">
        <f aca="false">$G$12</f>
        <v>-80</v>
      </c>
      <c r="CE7" s="114" t="n">
        <f aca="false">IF($I$3="Forward", $D$10, SQRT((IF($B$4, 9.807, 32.174)*CB7)/(ABS(TAN(RADIANS(CF7))-TAN(RADIANS(CD7)))))/COS(RADIANS(CF7)))</f>
        <v>9.54893468356343</v>
      </c>
      <c r="CF7" s="115" t="n">
        <f aca="false">IF($I$3="Forward", $D$12, DEGREES(ATAN(2*(CC7-$T$5)/CB7-TAN(RADIANS(CD7)))))</f>
        <v>82.759695716411</v>
      </c>
      <c r="CG7" s="117" t="n">
        <f aca="false">IF($I$3="Forward", $D$8, $G$8)</f>
        <v>2</v>
      </c>
      <c r="CH7" s="117" t="n">
        <f aca="false">$G$10</f>
        <v>2.5</v>
      </c>
      <c r="CI7" s="117" t="n">
        <f aca="false">$G$12</f>
        <v>-80</v>
      </c>
      <c r="CJ7" s="117" t="n">
        <f aca="false">IF($I$3="Forward", $D$10, SQRT((IF($B$4, 9.807, 32.174)*CG7)/(ABS(TAN(RADIANS(CK7))-TAN(RADIANS(CI7)))))/COS(RADIANS(CK7)))</f>
        <v>9.54893468356343</v>
      </c>
      <c r="CK7" s="120" t="n">
        <f aca="false">IF($I$3="Forward", $D$12, DEGREES(ATAN(2*(CH7-$T$5)/CG7-TAN(RADIANS(CI7)))))</f>
        <v>82.759695716411</v>
      </c>
      <c r="CL7" s="114" t="n">
        <f aca="false">IF($I$3="Forward", $D$8+$D$9, $G$8+$G$9)</f>
        <v>2</v>
      </c>
      <c r="CM7" s="114" t="n">
        <f aca="false">$G$10</f>
        <v>2.5</v>
      </c>
      <c r="CN7" s="114" t="n">
        <f aca="false">$G$12</f>
        <v>-80</v>
      </c>
      <c r="CO7" s="114" t="n">
        <f aca="false">IF($I$3="Forward", $D$10, SQRT((IF($B$4, 9.807, 32.174)*CL7)/(ABS(TAN(RADIANS(CP7))-TAN(RADIANS(CN7)))))/COS(RADIANS(CP7)))</f>
        <v>9.54893468356343</v>
      </c>
      <c r="CP7" s="115" t="n">
        <f aca="false">IF($I$3="Forward", $D$12, DEGREES(ATAN(2*(CM7-$T$5)/CL7-TAN(RADIANS(CN7)))))</f>
        <v>82.759695716411</v>
      </c>
      <c r="CQ7" s="114" t="n">
        <f aca="false">IF($I$3="Forward", $D$8-$D$9, $G$8-$G$9)</f>
        <v>2</v>
      </c>
      <c r="CR7" s="114" t="n">
        <f aca="false">$G$10+$G$11</f>
        <v>2.5</v>
      </c>
      <c r="CS7" s="114" t="n">
        <f aca="false">$G$12</f>
        <v>-80</v>
      </c>
      <c r="CT7" s="114" t="n">
        <f aca="false">IF($I$3="Forward", $D$10*(1+$D$11), SQRT((IF($B$4, 9.807, 32.174)*CQ7)/(ABS(TAN(RADIANS(CU7))-TAN(RADIANS(CS7)))))/COS(RADIANS(CU7)))</f>
        <v>9.54893468356343</v>
      </c>
      <c r="CU7" s="115" t="n">
        <f aca="false">IF($I$3="Forward", $D$12, DEGREES(ATAN(2*(CR7-$T$5)/CQ7-TAN(RADIANS(CS7)))))</f>
        <v>82.759695716411</v>
      </c>
      <c r="CV7" s="114" t="n">
        <f aca="false">IF($I$3="Forward", $D$8, $G$8)</f>
        <v>2</v>
      </c>
      <c r="CW7" s="114" t="n">
        <f aca="false">$G$10+$G$11</f>
        <v>2.5</v>
      </c>
      <c r="CX7" s="114" t="n">
        <f aca="false">$G$12</f>
        <v>-80</v>
      </c>
      <c r="CY7" s="114" t="n">
        <f aca="false">IF($I$3="Forward", $D$10*(1+$D$11), SQRT((IF($B$4, 9.807, 32.174)*CV7)/(ABS(TAN(RADIANS(CZ7))-TAN(RADIANS(CX7)))))/COS(RADIANS(CZ7)))</f>
        <v>9.54893468356343</v>
      </c>
      <c r="CZ7" s="115" t="n">
        <f aca="false">IF($I$3="Forward", $D$12, DEGREES(ATAN(2*(CW7-$T$5)/CV7-TAN(RADIANS(CX7)))))</f>
        <v>82.759695716411</v>
      </c>
      <c r="DA7" s="114" t="n">
        <f aca="false">IF($I$3="Forward", $D$8+$D$9, $G$8+$G$9)</f>
        <v>2</v>
      </c>
      <c r="DB7" s="114" t="n">
        <f aca="false">$G$10+$G$11</f>
        <v>2.5</v>
      </c>
      <c r="DC7" s="114" t="n">
        <f aca="false">$G$12</f>
        <v>-80</v>
      </c>
      <c r="DD7" s="114" t="n">
        <f aca="false">IF($I$3="Forward", $D$10*(1+$D$11), SQRT((IF($B$4, 9.807, 32.174)*DA7)/(ABS(TAN(RADIANS(DE7))-TAN(RADIANS(DC7)))))/COS(RADIANS(DE7)))</f>
        <v>9.54893468356343</v>
      </c>
      <c r="DE7" s="115" t="n">
        <f aca="false">IF($I$3="Forward", $D$12, DEGREES(ATAN(2*(DB7-$T$5)/DA7-TAN(RADIANS(DC7)))))</f>
        <v>82.759695716411</v>
      </c>
      <c r="DF7" s="114" t="n">
        <f aca="false">IF($I$3="Forward", $D$8-$D$9, $G$8-$G$9)</f>
        <v>2</v>
      </c>
      <c r="DG7" s="114" t="n">
        <f aca="false">$G$10-$G$11</f>
        <v>2.5</v>
      </c>
      <c r="DH7" s="114" t="n">
        <f aca="false">$G$12+$G$13</f>
        <v>-80</v>
      </c>
      <c r="DI7" s="114" t="n">
        <f aca="false">IF($I$3="Forward", $D$10*(1-$D$11), SQRT((IF($B$4, 9.807, 32.174)*DF7)/(ABS(TAN(RADIANS(DJ7))-TAN(RADIANS(DH7)))))/COS(RADIANS(DJ7)))</f>
        <v>9.54893468356343</v>
      </c>
      <c r="DJ7" s="115" t="n">
        <f aca="false">IF($I$3="Forward", $D$12+$D$13, DEGREES(ATAN(2*(DG7-$T$5)/DF7-TAN(RADIANS(DH7)))))</f>
        <v>82.759695716411</v>
      </c>
      <c r="DK7" s="114" t="n">
        <f aca="false">IF($I$3="Forward", $D$8, $G$8)</f>
        <v>2</v>
      </c>
      <c r="DL7" s="114" t="n">
        <f aca="false">$G$10-$G$11</f>
        <v>2.5</v>
      </c>
      <c r="DM7" s="114" t="n">
        <f aca="false">$G$12+$G$13</f>
        <v>-80</v>
      </c>
      <c r="DN7" s="114" t="n">
        <f aca="false">IF($I$3="Forward", $D$10*(1-$D$11), SQRT((IF($B$4, 9.807, 32.174)*DK7)/(ABS(TAN(RADIANS(DO7))-TAN(RADIANS(DM7)))))/COS(RADIANS(DO7)))</f>
        <v>9.54893468356343</v>
      </c>
      <c r="DO7" s="115" t="n">
        <f aca="false">IF($I$3="Forward", $D$12+$D$13, DEGREES(ATAN(2*(DL7-$T$5)/DK7-TAN(RADIANS(DM7)))))</f>
        <v>82.759695716411</v>
      </c>
      <c r="DP7" s="114" t="n">
        <f aca="false">IF($I$3="Forward", $D$8+$D$9, $G$8+$G$9)</f>
        <v>2</v>
      </c>
      <c r="DQ7" s="114" t="n">
        <f aca="false">$G$10-$G$11</f>
        <v>2.5</v>
      </c>
      <c r="DR7" s="114" t="n">
        <f aca="false">$G$12+$G$13</f>
        <v>-80</v>
      </c>
      <c r="DS7" s="114" t="n">
        <f aca="false">IF($I$3="Forward", $D$10*(1-$D$11), SQRT((IF($B$4, 9.807, 32.174)*DP7)/(ABS(TAN(RADIANS(DT7))-TAN(RADIANS(DR7)))))/COS(RADIANS(DT7)))</f>
        <v>9.54893468356343</v>
      </c>
      <c r="DT7" s="115" t="n">
        <f aca="false">IF($I$3="Forward", $D$12+$D$13, DEGREES(ATAN(2*(DQ7-$T$5)/DP7-TAN(RADIANS(DR7)))))</f>
        <v>82.759695716411</v>
      </c>
      <c r="DU7" s="114" t="n">
        <f aca="false">IF($I$3="Forward", $D$8-$D$9, $G$8-$G$9)</f>
        <v>2</v>
      </c>
      <c r="DV7" s="114" t="n">
        <f aca="false">$G$10</f>
        <v>2.5</v>
      </c>
      <c r="DW7" s="114" t="n">
        <f aca="false">$G$12+$G$13</f>
        <v>-80</v>
      </c>
      <c r="DX7" s="114" t="n">
        <f aca="false">IF($I$3="Forward", $D$10, SQRT((IF($B$4, 9.807, 32.174)*DU7)/(ABS(TAN(RADIANS(DY7))-TAN(RADIANS(DW7)))))/COS(RADIANS(DY7)))</f>
        <v>9.54893468356343</v>
      </c>
      <c r="DY7" s="115" t="n">
        <f aca="false">IF($I$3="Forward", $D$12+$D$13, DEGREES(ATAN(2*(DV7-$T$5)/DU7-TAN(RADIANS(DW7)))))</f>
        <v>82.759695716411</v>
      </c>
      <c r="DZ7" s="114" t="n">
        <f aca="false">IF($I$3="Forward", $D$8, $G$8)</f>
        <v>2</v>
      </c>
      <c r="EA7" s="114" t="n">
        <f aca="false">$G$10</f>
        <v>2.5</v>
      </c>
      <c r="EB7" s="114" t="n">
        <f aca="false">$G$12+$G$13</f>
        <v>-80</v>
      </c>
      <c r="EC7" s="114" t="n">
        <f aca="false">IF($I$3="Forward", $D$10, SQRT((IF($B$4, 9.807, 32.174)*DZ7)/(ABS(TAN(RADIANS(ED7))-TAN(RADIANS(EB7)))))/COS(RADIANS(ED7)))</f>
        <v>9.54893468356343</v>
      </c>
      <c r="ED7" s="115" t="n">
        <f aca="false">IF($I$3="Forward", $D$12+$D$13, DEGREES(ATAN(2*(EA7-$T$5)/DZ7-TAN(RADIANS(EB7)))))</f>
        <v>82.759695716411</v>
      </c>
      <c r="EE7" s="114" t="n">
        <f aca="false">IF($I$3="Forward", $D$8+$D$9, $G$8+$G$9)</f>
        <v>2</v>
      </c>
      <c r="EF7" s="114" t="n">
        <f aca="false">$G$10</f>
        <v>2.5</v>
      </c>
      <c r="EG7" s="114" t="n">
        <f aca="false">$G$12+$G$13</f>
        <v>-80</v>
      </c>
      <c r="EH7" s="114" t="n">
        <f aca="false">IF($I$3="Forward", $D$10, SQRT((IF($B$4, 9.807, 32.174)*EE7)/(ABS(TAN(RADIANS(EI7))-TAN(RADIANS(EG7)))))/COS(RADIANS(EI7)))</f>
        <v>9.54893468356343</v>
      </c>
      <c r="EI7" s="115" t="n">
        <f aca="false">IF($I$3="Forward", $D$12+$D$13, DEGREES(ATAN(2*(EF7-$T$5)/EE7-TAN(RADIANS(EG7)))))</f>
        <v>82.759695716411</v>
      </c>
      <c r="EJ7" s="114" t="n">
        <f aca="false">IF($I$3="Forward", $D$8-$D$9, $G$8-$G$9)</f>
        <v>2</v>
      </c>
      <c r="EK7" s="114" t="n">
        <f aca="false">$G$10+$G$11</f>
        <v>2.5</v>
      </c>
      <c r="EL7" s="114" t="n">
        <f aca="false">$G$12+$G$13</f>
        <v>-80</v>
      </c>
      <c r="EM7" s="114" t="n">
        <f aca="false">IF($I$3="Forward", $D$10*(1+$D$11), SQRT((IF($B$4, 9.807, 32.174)*EJ7)/(ABS(TAN(RADIANS(EN7))-TAN(RADIANS(EL7)))))/COS(RADIANS(EN7)))</f>
        <v>9.54893468356343</v>
      </c>
      <c r="EN7" s="115" t="n">
        <f aca="false">IF($I$3="Forward", $D$12+$D$13, DEGREES(ATAN(2*(EK7-$T$5)/EJ7-TAN(RADIANS(EL7)))))</f>
        <v>82.759695716411</v>
      </c>
      <c r="EO7" s="114" t="n">
        <f aca="false">IF($I$3="Forward", $D$8, $G$8)</f>
        <v>2</v>
      </c>
      <c r="EP7" s="114" t="n">
        <f aca="false">$G$10+$G$11</f>
        <v>2.5</v>
      </c>
      <c r="EQ7" s="114" t="n">
        <f aca="false">$G$12+$G$13</f>
        <v>-80</v>
      </c>
      <c r="ER7" s="114" t="n">
        <f aca="false">IF($I$3="Forward", $D$10*(1+$D$11), SQRT((IF($B$4, 9.807, 32.174)*EO7)/(ABS(TAN(RADIANS(ES7))-TAN(RADIANS(EQ7)))))/COS(RADIANS(ES7)))</f>
        <v>9.54893468356343</v>
      </c>
      <c r="ES7" s="115" t="n">
        <f aca="false">IF($I$3="Forward", $D$12+$D$13, DEGREES(ATAN(2*(EP7-$T$5)/EO7-TAN(RADIANS(EQ7)))))</f>
        <v>82.759695716411</v>
      </c>
      <c r="ET7" s="114" t="n">
        <f aca="false">IF($I$3="Forward", $D$8+$D$9, $G$8+$G$9)</f>
        <v>2</v>
      </c>
      <c r="EU7" s="114" t="n">
        <f aca="false">$G$10+$G$11</f>
        <v>2.5</v>
      </c>
      <c r="EV7" s="114" t="n">
        <f aca="false">$G$12+$G$13</f>
        <v>-80</v>
      </c>
      <c r="EW7" s="114" t="n">
        <f aca="false">IF($I$3="Forward", $D$10*(1+$D$11), SQRT((IF($B$4, 9.807, 32.174)*ET7)/(ABS(TAN(RADIANS(EX7))-TAN(RADIANS(EV7)))))/COS(RADIANS(EX7)))</f>
        <v>9.54893468356343</v>
      </c>
      <c r="EX7" s="115" t="n">
        <f aca="false">IF($I$3="Forward", $D$12+$D$13, DEGREES(ATAN(2*(EU7-$T$5)/ET7-TAN(RADIANS(EV7)))))</f>
        <v>82.759695716411</v>
      </c>
    </row>
    <row r="8" customFormat="false" ht="14.45" hidden="false" customHeight="false" outlineLevel="0" collapsed="false">
      <c r="C8" s="119" t="str">
        <f aca="false">"Distance to Target (" &amp; IF($B$4, "m", "ft") &amp; ")"</f>
        <v>Distance to Target (m)</v>
      </c>
      <c r="D8" s="96" t="n">
        <v>10</v>
      </c>
      <c r="F8" s="119" t="str">
        <f aca="false">"Distance to Target (" &amp; IF($B$4, "m", "ft") &amp; ")"</f>
        <v>Distance to Target (m)</v>
      </c>
      <c r="G8" s="96" t="n">
        <v>2</v>
      </c>
      <c r="I8" s="121"/>
      <c r="J8" s="121" t="n">
        <v>0</v>
      </c>
      <c r="L8" s="121"/>
      <c r="M8" s="121"/>
      <c r="O8" s="121"/>
      <c r="P8" s="121"/>
      <c r="T8" s="112" t="n">
        <f aca="false">0</f>
        <v>0</v>
      </c>
      <c r="U8" s="122" t="n">
        <f aca="false">T8+IF($I$3="Forward", $D$9, $G$9)</f>
        <v>0</v>
      </c>
      <c r="V8" s="112" t="n">
        <f aca="false">T8*TAN(RADIANS(X$7))-(IF($B$4, 9.807, 32.174)*T8^2)/(2*W$7^2*COS(RADIANS(X$7))^2)+$D$7</f>
        <v>0.2</v>
      </c>
      <c r="W8" s="123" t="n">
        <f aca="false">MIN($V$5,V8)</f>
        <v>0.2</v>
      </c>
      <c r="Y8" s="112" t="n">
        <f aca="false">0</f>
        <v>0</v>
      </c>
      <c r="Z8" s="112" t="n">
        <f aca="false">Y8</f>
        <v>0</v>
      </c>
      <c r="AA8" s="112" t="n">
        <f aca="false">Y8*TAN(RADIANS(AC$7))-(IF($B$4, 9.807, 32.174)*Y8^2)/(2*AB$7^2*COS(RADIANS(AC$7))^2)+$D$7</f>
        <v>0.2</v>
      </c>
      <c r="AB8" s="123" t="n">
        <f aca="false">MIN($V$5,AA8)</f>
        <v>0.2</v>
      </c>
      <c r="AD8" s="112" t="n">
        <f aca="false">0</f>
        <v>0</v>
      </c>
      <c r="AE8" s="122" t="n">
        <f aca="false">AD8-IF($I$3="Forward", $D$9, $G$9)</f>
        <v>0</v>
      </c>
      <c r="AF8" s="112" t="n">
        <f aca="false">AD8*TAN(RADIANS(AH$7))-(IF($B$4, 9.807, 32.174)*AD8^2)/(2*AG$7^2*COS(RADIANS(AH$7))^2)+$D$7</f>
        <v>0.2</v>
      </c>
      <c r="AG8" s="123" t="n">
        <f aca="false">MIN($V$5,AF8)</f>
        <v>0.2</v>
      </c>
      <c r="AI8" s="112" t="n">
        <f aca="false">0</f>
        <v>0</v>
      </c>
      <c r="AJ8" s="122" t="n">
        <f aca="false">AI8+IF($I$3="Forward", $D$9, $G$9)</f>
        <v>0</v>
      </c>
      <c r="AK8" s="112" t="n">
        <f aca="false">AI8*TAN(RADIANS(AM$7))-(IF($B$4, 9.807, 32.174)*AI8^2)/(2*AL$7^2*COS(RADIANS(AM$7))^2)+$D$7</f>
        <v>0.2</v>
      </c>
      <c r="AL8" s="123" t="n">
        <f aca="false">MIN($V$5,AK8)</f>
        <v>0.2</v>
      </c>
      <c r="AN8" s="112" t="n">
        <f aca="false">0</f>
        <v>0</v>
      </c>
      <c r="AO8" s="112" t="n">
        <f aca="false">AN8</f>
        <v>0</v>
      </c>
      <c r="AP8" s="112" t="n">
        <f aca="false">AN8*TAN(RADIANS(AR$7))-(IF($B$4, 9.807, 32.174)*AN8^2)/(2*AQ$7^2*COS(RADIANS(AR$7))^2)+$D$7</f>
        <v>0.2</v>
      </c>
      <c r="AQ8" s="123" t="n">
        <f aca="false">MIN($V$5,AP8)</f>
        <v>0.2</v>
      </c>
      <c r="AS8" s="112" t="n">
        <f aca="false">0</f>
        <v>0</v>
      </c>
      <c r="AT8" s="122" t="n">
        <f aca="false">AS8-IF($I$3="Forward", $D$9, $G$9)</f>
        <v>0</v>
      </c>
      <c r="AU8" s="112" t="n">
        <f aca="false">AS8*TAN(RADIANS(AW$7))-(IF($B$4, 9.807, 32.174)*AS8^2)/(2*AV$7^2*COS(RADIANS(AW$7))^2)+$D$7</f>
        <v>0.2</v>
      </c>
      <c r="AV8" s="123" t="n">
        <f aca="false">MIN($V$5,AU8)</f>
        <v>0.2</v>
      </c>
      <c r="AX8" s="112" t="n">
        <f aca="false">0</f>
        <v>0</v>
      </c>
      <c r="AY8" s="122" t="n">
        <f aca="false">AX8+IF($I$3="Forward", $D$9, $G$9)</f>
        <v>0</v>
      </c>
      <c r="AZ8" s="112" t="n">
        <f aca="false">AX8*TAN(RADIANS(BB$7))-(IF($B$4, 9.807, 32.174)*AX8^2)/(2*BA$7^2*COS(RADIANS(BB$7))^2)+$D$7</f>
        <v>0.2</v>
      </c>
      <c r="BA8" s="123" t="n">
        <f aca="false">MIN($V$5,AZ8)</f>
        <v>0.2</v>
      </c>
      <c r="BC8" s="112" t="n">
        <f aca="false">0</f>
        <v>0</v>
      </c>
      <c r="BD8" s="112" t="n">
        <f aca="false">BC8</f>
        <v>0</v>
      </c>
      <c r="BE8" s="112" t="n">
        <f aca="false">BC8*TAN(RADIANS(BG$7))-(IF($B$4, 9.807, 32.174)*BC8^2)/(2*BF$7^2*COS(RADIANS(BG$7))^2)+$D$7</f>
        <v>0.2</v>
      </c>
      <c r="BF8" s="123" t="n">
        <f aca="false">MIN($V$5,BE8)</f>
        <v>0.2</v>
      </c>
      <c r="BH8" s="112" t="n">
        <f aca="false">0</f>
        <v>0</v>
      </c>
      <c r="BI8" s="122" t="n">
        <f aca="false">BH8-IF($I$3="Forward", $D$9, $G$9)</f>
        <v>0</v>
      </c>
      <c r="BJ8" s="112" t="n">
        <f aca="false">BH8*TAN(RADIANS(BL$7))-(IF($B$4, 9.807, 32.174)*BH8^2)/(2*BK$7^2*COS(RADIANS(BL$7))^2)+$D$7</f>
        <v>0.2</v>
      </c>
      <c r="BK8" s="123" t="n">
        <f aca="false">MIN($V$5,BJ8)</f>
        <v>0.2</v>
      </c>
      <c r="BM8" s="112" t="n">
        <f aca="false">0</f>
        <v>0</v>
      </c>
      <c r="BN8" s="122" t="n">
        <f aca="false">BM8+IF($I$3="Forward", $D$9, $G$9)</f>
        <v>0</v>
      </c>
      <c r="BO8" s="112" t="n">
        <f aca="false">BM8*TAN(RADIANS(BQ$7))-(IF($B$4, 9.807, 32.174)*BM8^2)/(2*BP$7^2*COS(RADIANS(BQ$7))^2)+$D$7</f>
        <v>0.2</v>
      </c>
      <c r="BP8" s="123" t="n">
        <f aca="false">MIN($V$5,BO8)</f>
        <v>0.2</v>
      </c>
      <c r="BR8" s="112" t="n">
        <f aca="false">0</f>
        <v>0</v>
      </c>
      <c r="BS8" s="112" t="n">
        <f aca="false">BR8</f>
        <v>0</v>
      </c>
      <c r="BT8" s="112" t="n">
        <f aca="false">BR8*TAN(RADIANS(BV$7))-(IF($B$4, 9.807, 32.174)*BR8^2)/(2*BU$7^2*COS(RADIANS(BV$7))^2)+$D$7</f>
        <v>0.2</v>
      </c>
      <c r="BU8" s="123" t="n">
        <f aca="false">MIN($V$5,BT8)</f>
        <v>0.2</v>
      </c>
      <c r="BW8" s="112" t="n">
        <f aca="false">0</f>
        <v>0</v>
      </c>
      <c r="BX8" s="122" t="n">
        <f aca="false">BW8-IF($I$3="Forward", $D$9, $G$9)</f>
        <v>0</v>
      </c>
      <c r="BY8" s="112" t="n">
        <f aca="false">BW8*TAN(RADIANS(CA$7))-(IF($B$4, 9.807, 32.174)*BW8^2)/(2*BZ$7^2*COS(RADIANS(CA$7))^2)+$D$7</f>
        <v>0.2</v>
      </c>
      <c r="BZ8" s="123" t="n">
        <f aca="false">MIN($V$5,BY8)</f>
        <v>0.2</v>
      </c>
      <c r="CB8" s="112" t="n">
        <f aca="false">0</f>
        <v>0</v>
      </c>
      <c r="CC8" s="122" t="n">
        <f aca="false">CB8+IF($I$3="Forward", $D$9, $G$9)</f>
        <v>0</v>
      </c>
      <c r="CD8" s="112" t="n">
        <f aca="false">CB8*TAN(RADIANS(CF$7))-(IF($B$4, 9.807, 32.174)*CB8^2)/(2*CE$7^2*COS(RADIANS(CF$7))^2)+$D$7</f>
        <v>0.2</v>
      </c>
      <c r="CE8" s="123" t="n">
        <f aca="false">MIN($V$5,CD8)</f>
        <v>0.2</v>
      </c>
      <c r="CG8" s="124" t="n">
        <f aca="false">0</f>
        <v>0</v>
      </c>
      <c r="CH8" s="124" t="n">
        <f aca="false">CG8</f>
        <v>0</v>
      </c>
      <c r="CI8" s="124" t="n">
        <f aca="false">CG8*TAN(RADIANS(CK$7))-(IF($B$4, 9.807, 32.174)*CG8^2)/(2*CJ$7^2*COS(RADIANS(CK$7))^2)+$D$7</f>
        <v>0.2</v>
      </c>
      <c r="CJ8" s="123" t="n">
        <f aca="false">MIN($V$5,CI8)</f>
        <v>0.2</v>
      </c>
      <c r="CK8" s="124"/>
      <c r="CL8" s="112" t="n">
        <f aca="false">0</f>
        <v>0</v>
      </c>
      <c r="CM8" s="122" t="n">
        <f aca="false">CL8-IF($I$3="Forward", $D$9, $G$9)</f>
        <v>0</v>
      </c>
      <c r="CN8" s="112" t="n">
        <f aca="false">CL8*TAN(RADIANS(CP$7))-(IF($B$4, 9.807, 32.174)*CL8^2)/(2*CO$7^2*COS(RADIANS(CP$7))^2)+$D$7</f>
        <v>0.2</v>
      </c>
      <c r="CO8" s="123" t="n">
        <f aca="false">MIN($V$5,CN8)</f>
        <v>0.2</v>
      </c>
      <c r="CQ8" s="112" t="n">
        <f aca="false">0</f>
        <v>0</v>
      </c>
      <c r="CR8" s="122" t="n">
        <f aca="false">CQ8+IF($I$3="Forward", $D$9, $G$9)</f>
        <v>0</v>
      </c>
      <c r="CS8" s="112" t="n">
        <f aca="false">CQ8*TAN(RADIANS(CU$7))-(IF($B$4, 9.807, 32.174)*CQ8^2)/(2*CT$7^2*COS(RADIANS(CU$7))^2)+$D$7</f>
        <v>0.2</v>
      </c>
      <c r="CT8" s="123" t="n">
        <f aca="false">MIN($V$5,CS8)</f>
        <v>0.2</v>
      </c>
      <c r="CV8" s="112" t="n">
        <f aca="false">0</f>
        <v>0</v>
      </c>
      <c r="CW8" s="112" t="n">
        <f aca="false">CV8</f>
        <v>0</v>
      </c>
      <c r="CX8" s="112" t="n">
        <f aca="false">CV8*TAN(RADIANS(CZ$7))-(IF($B$4, 9.807, 32.174)*CV8^2)/(2*CY$7^2*COS(RADIANS(CZ$7))^2)+$D$7</f>
        <v>0.2</v>
      </c>
      <c r="CY8" s="123" t="n">
        <f aca="false">MIN($V$5,CX8)</f>
        <v>0.2</v>
      </c>
      <c r="DA8" s="112" t="n">
        <f aca="false">0</f>
        <v>0</v>
      </c>
      <c r="DB8" s="122" t="n">
        <f aca="false">DA8-IF($I$3="Forward", $D$9, $G$9)</f>
        <v>0</v>
      </c>
      <c r="DC8" s="112" t="n">
        <f aca="false">DA8*TAN(RADIANS(DE$7))-(IF($B$4, 9.807, 32.174)*DA8^2)/(2*DD$7^2*COS(RADIANS(DE$7))^2)+$D$7</f>
        <v>0.2</v>
      </c>
      <c r="DD8" s="123" t="n">
        <f aca="false">MIN($V$5,DC8)</f>
        <v>0.2</v>
      </c>
      <c r="DF8" s="112" t="n">
        <f aca="false">0</f>
        <v>0</v>
      </c>
      <c r="DG8" s="122" t="n">
        <f aca="false">DF8+IF($I$3="Forward", $D$9, $G$9)</f>
        <v>0</v>
      </c>
      <c r="DH8" s="112" t="n">
        <f aca="false">DF8*TAN(RADIANS(DJ$7))-(IF($B$4, 9.807, 32.174)*DF8^2)/(2*DI$7^2*COS(RADIANS(DJ$7))^2)+$D$7</f>
        <v>0.2</v>
      </c>
      <c r="DI8" s="123" t="n">
        <f aca="false">MIN($V$5,DH8)</f>
        <v>0.2</v>
      </c>
      <c r="DK8" s="112" t="n">
        <f aca="false">0</f>
        <v>0</v>
      </c>
      <c r="DL8" s="112" t="n">
        <f aca="false">DK8</f>
        <v>0</v>
      </c>
      <c r="DM8" s="112" t="n">
        <f aca="false">DK8*TAN(RADIANS(DO$7))-(IF($B$4, 9.807, 32.174)*DK8^2)/(2*DN$7^2*COS(RADIANS(DO$7))^2)+$D$7</f>
        <v>0.2</v>
      </c>
      <c r="DN8" s="123" t="n">
        <f aca="false">MIN($V$5,DM8)</f>
        <v>0.2</v>
      </c>
      <c r="DP8" s="112" t="n">
        <f aca="false">0</f>
        <v>0</v>
      </c>
      <c r="DQ8" s="122" t="n">
        <f aca="false">DP8-IF($I$3="Forward", $D$9, $G$9)</f>
        <v>0</v>
      </c>
      <c r="DR8" s="112" t="n">
        <f aca="false">DP8*TAN(RADIANS(DT$7))-(IF($B$4, 9.807, 32.174)*DP8^2)/(2*DS$7^2*COS(RADIANS(DT$7))^2)+$D$7</f>
        <v>0.2</v>
      </c>
      <c r="DS8" s="123" t="n">
        <f aca="false">MIN($V$5,DR8)</f>
        <v>0.2</v>
      </c>
      <c r="DU8" s="112" t="n">
        <f aca="false">0</f>
        <v>0</v>
      </c>
      <c r="DV8" s="122" t="n">
        <f aca="false">DU8+IF($I$3="Forward", $D$9, $G$9)</f>
        <v>0</v>
      </c>
      <c r="DW8" s="112" t="n">
        <f aca="false">DU8*TAN(RADIANS(DY$7))-(IF($B$4, 9.807, 32.174)*DU8^2)/(2*DX$7^2*COS(RADIANS(DY$7))^2)+$D$7</f>
        <v>0.2</v>
      </c>
      <c r="DX8" s="123" t="n">
        <f aca="false">MIN($V$5,DW8)</f>
        <v>0.2</v>
      </c>
      <c r="DZ8" s="112" t="n">
        <f aca="false">0</f>
        <v>0</v>
      </c>
      <c r="EA8" s="112" t="n">
        <f aca="false">DZ8</f>
        <v>0</v>
      </c>
      <c r="EB8" s="112" t="n">
        <f aca="false">DZ8*TAN(RADIANS(ED$7))-(IF($B$4, 9.807, 32.174)*DZ8^2)/(2*EC$7^2*COS(RADIANS(ED$7))^2)+$D$7</f>
        <v>0.2</v>
      </c>
      <c r="EC8" s="123" t="n">
        <f aca="false">MIN($V$5,EB8)</f>
        <v>0.2</v>
      </c>
      <c r="EE8" s="112" t="n">
        <f aca="false">0</f>
        <v>0</v>
      </c>
      <c r="EF8" s="122" t="n">
        <f aca="false">EE8-IF($I$3="Forward", $D$9, $G$9)</f>
        <v>0</v>
      </c>
      <c r="EG8" s="112" t="n">
        <f aca="false">EE8*TAN(RADIANS(EI$7))-(IF($B$4, 9.807, 32.174)*EE8^2)/(2*EH$7^2*COS(RADIANS(EI$7))^2)+$D$7</f>
        <v>0.2</v>
      </c>
      <c r="EH8" s="123" t="n">
        <f aca="false">MIN($V$5,EG8)</f>
        <v>0.2</v>
      </c>
      <c r="EJ8" s="112" t="n">
        <f aca="false">0</f>
        <v>0</v>
      </c>
      <c r="EK8" s="122" t="n">
        <f aca="false">EJ8+IF($I$3="Forward", $D$9, $G$9)</f>
        <v>0</v>
      </c>
      <c r="EL8" s="112" t="n">
        <f aca="false">EJ8*TAN(RADIANS(EN$7))-(IF($B$4, 9.807, 32.174)*EJ8^2)/(2*EM$7^2*COS(RADIANS(EN$7))^2)+$D$7</f>
        <v>0.2</v>
      </c>
      <c r="EM8" s="123" t="n">
        <f aca="false">MIN($V$5,EL8)</f>
        <v>0.2</v>
      </c>
      <c r="EO8" s="112" t="n">
        <f aca="false">0</f>
        <v>0</v>
      </c>
      <c r="EP8" s="112" t="n">
        <f aca="false">EO8</f>
        <v>0</v>
      </c>
      <c r="EQ8" s="112" t="n">
        <f aca="false">EO8*TAN(RADIANS(ES$7))-(IF($B$4, 9.807, 32.174)*EO8^2)/(2*ER$7^2*COS(RADIANS(ES$7))^2)+$D$7</f>
        <v>0.2</v>
      </c>
      <c r="ER8" s="123" t="n">
        <f aca="false">MIN($V$5,EQ8)</f>
        <v>0.2</v>
      </c>
      <c r="ET8" s="112" t="n">
        <f aca="false">0</f>
        <v>0</v>
      </c>
      <c r="EU8" s="122" t="n">
        <f aca="false">ET8-IF($I$3="Forward", $D$9, $G$9)</f>
        <v>0</v>
      </c>
      <c r="EV8" s="112" t="n">
        <f aca="false">ET8*TAN(RADIANS(EX$7))-(IF($B$4, 9.807, 32.174)*ET8^2)/(2*EW$7^2*COS(RADIANS(EX$7))^2)+$D$7</f>
        <v>0.2</v>
      </c>
      <c r="EW8" s="123" t="n">
        <f aca="false">MIN($V$5,EV8)</f>
        <v>0.2</v>
      </c>
      <c r="EZ8" s="121"/>
    </row>
    <row r="9" customFormat="false" ht="14.45" hidden="false" customHeight="false" outlineLevel="0" collapsed="false">
      <c r="C9" s="119" t="str">
        <f aca="false">"     ^ Tolerance (" &amp; IF($B$4, "m", "ft") &amp; ")"</f>
        <v>     ^ Tolerance (m)</v>
      </c>
      <c r="D9" s="96" t="n">
        <v>0</v>
      </c>
      <c r="F9" s="119" t="str">
        <f aca="false">"     ^ Tolerance (" &amp; IF($B$4, "m", "ft") &amp; ")"</f>
        <v>     ^ Tolerance (m)</v>
      </c>
      <c r="G9" s="96" t="n">
        <v>0</v>
      </c>
      <c r="I9" s="121"/>
      <c r="J9" s="121" t="n">
        <v>0</v>
      </c>
      <c r="O9" s="121"/>
      <c r="P9" s="121"/>
      <c r="T9" s="112" t="n">
        <f aca="false">T8+T$7/100</f>
        <v>0.02</v>
      </c>
      <c r="U9" s="122" t="n">
        <f aca="false">T9+IF($I$3="Forward", $D$9, $G$9)</f>
        <v>0.02</v>
      </c>
      <c r="V9" s="112" t="n">
        <f aca="false">T9*TAN(RADIANS(X$7))-(IF($B$4, 9.807, 32.174)*T9^2)/(2*W$7^2*COS(RADIANS(X$7))^2)+$D$7</f>
        <v>0.356071380028431</v>
      </c>
      <c r="W9" s="123" t="n">
        <f aca="false">MIN($V$5,V9)</f>
        <v>0.356071380028431</v>
      </c>
      <c r="Y9" s="112" t="n">
        <f aca="false">Y8+Y$7/100</f>
        <v>0.02</v>
      </c>
      <c r="Z9" s="112" t="n">
        <f aca="false">Y9</f>
        <v>0.02</v>
      </c>
      <c r="AA9" s="112" t="n">
        <f aca="false">Y9*TAN(RADIANS(AC$7))-(IF($B$4, 9.807, 32.174)*Y9^2)/(2*AB$7^2*COS(RADIANS(AC$7))^2)+$D$7</f>
        <v>0.356071380028431</v>
      </c>
      <c r="AB9" s="123" t="n">
        <f aca="false">MIN($V$5,AA9)</f>
        <v>0.356071380028431</v>
      </c>
      <c r="AD9" s="112" t="n">
        <f aca="false">AD8+AD$7/100</f>
        <v>0.02</v>
      </c>
      <c r="AE9" s="122" t="n">
        <f aca="false">AD9-IF($I$3="Forward", $D$9, $G$9)</f>
        <v>0.02</v>
      </c>
      <c r="AF9" s="112" t="n">
        <f aca="false">AD9*TAN(RADIANS(AH$7))-(IF($B$4, 9.807, 32.174)*AD9^2)/(2*AG$7^2*COS(RADIANS(AH$7))^2)+$D$7</f>
        <v>0.356071380028431</v>
      </c>
      <c r="AG9" s="123" t="n">
        <f aca="false">MIN($V$5,AF9)</f>
        <v>0.356071380028431</v>
      </c>
      <c r="AI9" s="112" t="n">
        <f aca="false">AI8+AI$7/100</f>
        <v>0.02</v>
      </c>
      <c r="AJ9" s="122" t="n">
        <f aca="false">AI9+IF($I$3="Forward", $D$9, $G$9)</f>
        <v>0.02</v>
      </c>
      <c r="AK9" s="112" t="n">
        <f aca="false">AI9*TAN(RADIANS(AM$7))-(IF($B$4, 9.807, 32.174)*AI9^2)/(2*AL$7^2*COS(RADIANS(AM$7))^2)+$D$7</f>
        <v>0.356071380028431</v>
      </c>
      <c r="AL9" s="123" t="n">
        <f aca="false">MIN($V$5,AK9)</f>
        <v>0.356071380028431</v>
      </c>
      <c r="AN9" s="112" t="n">
        <f aca="false">AN8+AN$7/100</f>
        <v>0.02</v>
      </c>
      <c r="AO9" s="112" t="n">
        <f aca="false">AN9</f>
        <v>0.02</v>
      </c>
      <c r="AP9" s="112" t="n">
        <f aca="false">AN9*TAN(RADIANS(AR$7))-(IF($B$4, 9.807, 32.174)*AN9^2)/(2*AQ$7^2*COS(RADIANS(AR$7))^2)+$D$7</f>
        <v>0.356071380028431</v>
      </c>
      <c r="AQ9" s="123" t="n">
        <f aca="false">MIN($V$5,AP9)</f>
        <v>0.356071380028431</v>
      </c>
      <c r="AS9" s="112" t="n">
        <f aca="false">AS8+AS$7/100</f>
        <v>0.02</v>
      </c>
      <c r="AT9" s="122" t="n">
        <f aca="false">AS9-IF($I$3="Forward", $D$9, $G$9)</f>
        <v>0.02</v>
      </c>
      <c r="AU9" s="112" t="n">
        <f aca="false">AS9*TAN(RADIANS(AW$7))-(IF($B$4, 9.807, 32.174)*AS9^2)/(2*AV$7^2*COS(RADIANS(AW$7))^2)+$D$7</f>
        <v>0.356071380028431</v>
      </c>
      <c r="AV9" s="123" t="n">
        <f aca="false">MIN($V$5,AU9)</f>
        <v>0.356071380028431</v>
      </c>
      <c r="AX9" s="112" t="n">
        <f aca="false">AX8+AX$7/100</f>
        <v>0.02</v>
      </c>
      <c r="AY9" s="122" t="n">
        <f aca="false">AX9+IF($I$3="Forward", $D$9, $G$9)</f>
        <v>0.02</v>
      </c>
      <c r="AZ9" s="112" t="n">
        <f aca="false">AX9*TAN(RADIANS(BB$7))-(IF($B$4, 9.807, 32.174)*AX9^2)/(2*BA$7^2*COS(RADIANS(BB$7))^2)+$D$7</f>
        <v>0.356071380028431</v>
      </c>
      <c r="BA9" s="123" t="n">
        <f aca="false">MIN($V$5,AZ9)</f>
        <v>0.356071380028431</v>
      </c>
      <c r="BC9" s="112" t="n">
        <f aca="false">BC8+BC$7/100</f>
        <v>0.02</v>
      </c>
      <c r="BD9" s="112" t="n">
        <f aca="false">BC9</f>
        <v>0.02</v>
      </c>
      <c r="BE9" s="112" t="n">
        <f aca="false">BC9*TAN(RADIANS(BG$7))-(IF($B$4, 9.807, 32.174)*BC9^2)/(2*BF$7^2*COS(RADIANS(BG$7))^2)+$D$7</f>
        <v>0.356071380028431</v>
      </c>
      <c r="BF9" s="123" t="n">
        <f aca="false">MIN($V$5,BE9)</f>
        <v>0.356071380028431</v>
      </c>
      <c r="BH9" s="112" t="n">
        <f aca="false">BH8+BH$7/100</f>
        <v>0.02</v>
      </c>
      <c r="BI9" s="122" t="n">
        <f aca="false">BH9-IF($I$3="Forward", $D$9, $G$9)</f>
        <v>0.02</v>
      </c>
      <c r="BJ9" s="112" t="n">
        <f aca="false">BH9*TAN(RADIANS(BL$7))-(IF($B$4, 9.807, 32.174)*BH9^2)/(2*BK$7^2*COS(RADIANS(BL$7))^2)+$D$7</f>
        <v>0.356071380028431</v>
      </c>
      <c r="BK9" s="123" t="n">
        <f aca="false">MIN($V$5,BJ9)</f>
        <v>0.356071380028431</v>
      </c>
      <c r="BM9" s="112" t="n">
        <f aca="false">BM8+BM$7/100</f>
        <v>0.02</v>
      </c>
      <c r="BN9" s="122" t="n">
        <f aca="false">BM9+IF($I$3="Forward", $D$9, $G$9)</f>
        <v>0.02</v>
      </c>
      <c r="BO9" s="112" t="n">
        <f aca="false">BM9*TAN(RADIANS(BQ$7))-(IF($B$4, 9.807, 32.174)*BM9^2)/(2*BP$7^2*COS(RADIANS(BQ$7))^2)+$D$7</f>
        <v>0.356071380028431</v>
      </c>
      <c r="BP9" s="123" t="n">
        <f aca="false">MIN($V$5,BO9)</f>
        <v>0.356071380028431</v>
      </c>
      <c r="BR9" s="112" t="n">
        <f aca="false">BR8+BR$7/100</f>
        <v>0.02</v>
      </c>
      <c r="BS9" s="112" t="n">
        <f aca="false">BR9</f>
        <v>0.02</v>
      </c>
      <c r="BT9" s="112" t="n">
        <f aca="false">BR9*TAN(RADIANS(BV$7))-(IF($B$4, 9.807, 32.174)*BR9^2)/(2*BU$7^2*COS(RADIANS(BV$7))^2)+$D$7</f>
        <v>0.356071380028431</v>
      </c>
      <c r="BU9" s="123" t="n">
        <f aca="false">MIN($V$5,BT9)</f>
        <v>0.356071380028431</v>
      </c>
      <c r="BW9" s="112" t="n">
        <f aca="false">BW8+BW$7/100</f>
        <v>0.02</v>
      </c>
      <c r="BX9" s="122" t="n">
        <f aca="false">BW9-IF($I$3="Forward", $D$9, $G$9)</f>
        <v>0.02</v>
      </c>
      <c r="BY9" s="112" t="n">
        <f aca="false">BW9*TAN(RADIANS(CA$7))-(IF($B$4, 9.807, 32.174)*BW9^2)/(2*BZ$7^2*COS(RADIANS(CA$7))^2)+$D$7</f>
        <v>0.356071380028431</v>
      </c>
      <c r="BZ9" s="123" t="n">
        <f aca="false">MIN($V$5,BY9)</f>
        <v>0.356071380028431</v>
      </c>
      <c r="CB9" s="112" t="n">
        <f aca="false">CB8+CB$7/100</f>
        <v>0.02</v>
      </c>
      <c r="CC9" s="122" t="n">
        <f aca="false">CB9+IF($I$3="Forward", $D$9, $G$9)</f>
        <v>0.02</v>
      </c>
      <c r="CD9" s="112" t="n">
        <f aca="false">CB9*TAN(RADIANS(CF$7))-(IF($B$4, 9.807, 32.174)*CB9^2)/(2*CE$7^2*COS(RADIANS(CF$7))^2)+$D$7</f>
        <v>0.356071380028431</v>
      </c>
      <c r="CE9" s="123" t="n">
        <f aca="false">MIN($V$5,CD9)</f>
        <v>0.356071380028431</v>
      </c>
      <c r="CG9" s="124" t="n">
        <f aca="false">CG8+CG$7/100</f>
        <v>0.02</v>
      </c>
      <c r="CH9" s="124" t="n">
        <f aca="false">CG9</f>
        <v>0.02</v>
      </c>
      <c r="CI9" s="124" t="n">
        <f aca="false">CG9*TAN(RADIANS(CK$7))-(IF($B$4, 9.807, 32.174)*CG9^2)/(2*CJ$7^2*COS(RADIANS(CK$7))^2)+$D$7</f>
        <v>0.356071380028431</v>
      </c>
      <c r="CJ9" s="123" t="n">
        <f aca="false">MIN($V$5,CI9)</f>
        <v>0.356071380028431</v>
      </c>
      <c r="CK9" s="124"/>
      <c r="CL9" s="112" t="n">
        <f aca="false">CL8+CL$7/100</f>
        <v>0.02</v>
      </c>
      <c r="CM9" s="122" t="n">
        <f aca="false">CL9-IF($I$3="Forward", $D$9, $G$9)</f>
        <v>0.02</v>
      </c>
      <c r="CN9" s="112" t="n">
        <f aca="false">CL9*TAN(RADIANS(CP$7))-(IF($B$4, 9.807, 32.174)*CL9^2)/(2*CO$7^2*COS(RADIANS(CP$7))^2)+$D$7</f>
        <v>0.356071380028431</v>
      </c>
      <c r="CO9" s="123" t="n">
        <f aca="false">MIN($V$5,CN9)</f>
        <v>0.356071380028431</v>
      </c>
      <c r="CQ9" s="112" t="n">
        <f aca="false">CQ8+CQ$7/100</f>
        <v>0.02</v>
      </c>
      <c r="CR9" s="122" t="n">
        <f aca="false">CQ9+IF($I$3="Forward", $D$9, $G$9)</f>
        <v>0.02</v>
      </c>
      <c r="CS9" s="112" t="n">
        <f aca="false">CQ9*TAN(RADIANS(CU$7))-(IF($B$4, 9.807, 32.174)*CQ9^2)/(2*CT$7^2*COS(RADIANS(CU$7))^2)+$D$7</f>
        <v>0.356071380028431</v>
      </c>
      <c r="CT9" s="123" t="n">
        <f aca="false">MIN($V$5,CS9)</f>
        <v>0.356071380028431</v>
      </c>
      <c r="CV9" s="112" t="n">
        <f aca="false">CV8+CV$7/100</f>
        <v>0.02</v>
      </c>
      <c r="CW9" s="112" t="n">
        <f aca="false">CV9</f>
        <v>0.02</v>
      </c>
      <c r="CX9" s="112" t="n">
        <f aca="false">CV9*TAN(RADIANS(CZ$7))-(IF($B$4, 9.807, 32.174)*CV9^2)/(2*CY$7^2*COS(RADIANS(CZ$7))^2)+$D$7</f>
        <v>0.356071380028431</v>
      </c>
      <c r="CY9" s="123" t="n">
        <f aca="false">MIN($V$5,CX9)</f>
        <v>0.356071380028431</v>
      </c>
      <c r="DA9" s="112" t="n">
        <f aca="false">DA8+DA$7/100</f>
        <v>0.02</v>
      </c>
      <c r="DB9" s="122" t="n">
        <f aca="false">DA9-IF($I$3="Forward", $D$9, $G$9)</f>
        <v>0.02</v>
      </c>
      <c r="DC9" s="112" t="n">
        <f aca="false">DA9*TAN(RADIANS(DE$7))-(IF($B$4, 9.807, 32.174)*DA9^2)/(2*DD$7^2*COS(RADIANS(DE$7))^2)+$D$7</f>
        <v>0.356071380028431</v>
      </c>
      <c r="DD9" s="123" t="n">
        <f aca="false">MIN($V$5,DC9)</f>
        <v>0.356071380028431</v>
      </c>
      <c r="DF9" s="112" t="n">
        <f aca="false">DF8+DF$7/100</f>
        <v>0.02</v>
      </c>
      <c r="DG9" s="122" t="n">
        <f aca="false">DF9+IF($I$3="Forward", $D$9, $G$9)</f>
        <v>0.02</v>
      </c>
      <c r="DH9" s="112" t="n">
        <f aca="false">DF9*TAN(RADIANS(DJ$7))-(IF($B$4, 9.807, 32.174)*DF9^2)/(2*DI$7^2*COS(RADIANS(DJ$7))^2)+$D$7</f>
        <v>0.356071380028431</v>
      </c>
      <c r="DI9" s="123" t="n">
        <f aca="false">MIN($V$5,DH9)</f>
        <v>0.356071380028431</v>
      </c>
      <c r="DK9" s="112" t="n">
        <f aca="false">DK8+DK$7/100</f>
        <v>0.02</v>
      </c>
      <c r="DL9" s="112" t="n">
        <f aca="false">DK9</f>
        <v>0.02</v>
      </c>
      <c r="DM9" s="112" t="n">
        <f aca="false">DK9*TAN(RADIANS(DO$7))-(IF($B$4, 9.807, 32.174)*DK9^2)/(2*DN$7^2*COS(RADIANS(DO$7))^2)+$D$7</f>
        <v>0.356071380028431</v>
      </c>
      <c r="DN9" s="123" t="n">
        <f aca="false">MIN($V$5,DM9)</f>
        <v>0.356071380028431</v>
      </c>
      <c r="DP9" s="112" t="n">
        <f aca="false">DP8+DP$7/100</f>
        <v>0.02</v>
      </c>
      <c r="DQ9" s="122" t="n">
        <f aca="false">DP9-IF($I$3="Forward", $D$9, $G$9)</f>
        <v>0.02</v>
      </c>
      <c r="DR9" s="112" t="n">
        <f aca="false">DP9*TAN(RADIANS(DT$7))-(IF($B$4, 9.807, 32.174)*DP9^2)/(2*DS$7^2*COS(RADIANS(DT$7))^2)+$D$7</f>
        <v>0.356071380028431</v>
      </c>
      <c r="DS9" s="123" t="n">
        <f aca="false">MIN($V$5,DR9)</f>
        <v>0.356071380028431</v>
      </c>
      <c r="DU9" s="112" t="n">
        <f aca="false">DU8+DU$7/100</f>
        <v>0.02</v>
      </c>
      <c r="DV9" s="122" t="n">
        <f aca="false">DU9+IF($I$3="Forward", $D$9, $G$9)</f>
        <v>0.02</v>
      </c>
      <c r="DW9" s="112" t="n">
        <f aca="false">DU9*TAN(RADIANS(DY$7))-(IF($B$4, 9.807, 32.174)*DU9^2)/(2*DX$7^2*COS(RADIANS(DY$7))^2)+$D$7</f>
        <v>0.356071380028431</v>
      </c>
      <c r="DX9" s="123" t="n">
        <f aca="false">MIN($V$5,DW9)</f>
        <v>0.356071380028431</v>
      </c>
      <c r="DZ9" s="112" t="n">
        <f aca="false">DZ8+DZ$7/100</f>
        <v>0.02</v>
      </c>
      <c r="EA9" s="112" t="n">
        <f aca="false">DZ9</f>
        <v>0.02</v>
      </c>
      <c r="EB9" s="112" t="n">
        <f aca="false">DZ9*TAN(RADIANS(ED$7))-(IF($B$4, 9.807, 32.174)*DZ9^2)/(2*EC$7^2*COS(RADIANS(ED$7))^2)+$D$7</f>
        <v>0.356071380028431</v>
      </c>
      <c r="EC9" s="123" t="n">
        <f aca="false">MIN($V$5,EB9)</f>
        <v>0.356071380028431</v>
      </c>
      <c r="EE9" s="112" t="n">
        <f aca="false">EE8+EE$7/100</f>
        <v>0.02</v>
      </c>
      <c r="EF9" s="122" t="n">
        <f aca="false">EE9-IF($I$3="Forward", $D$9, $G$9)</f>
        <v>0.02</v>
      </c>
      <c r="EG9" s="112" t="n">
        <f aca="false">EE9*TAN(RADIANS(EI$7))-(IF($B$4, 9.807, 32.174)*EE9^2)/(2*EH$7^2*COS(RADIANS(EI$7))^2)+$D$7</f>
        <v>0.356071380028431</v>
      </c>
      <c r="EH9" s="123" t="n">
        <f aca="false">MIN($V$5,EG9)</f>
        <v>0.356071380028431</v>
      </c>
      <c r="EJ9" s="112" t="n">
        <f aca="false">EJ8+EJ$7/100</f>
        <v>0.02</v>
      </c>
      <c r="EK9" s="122" t="n">
        <f aca="false">EJ9+IF($I$3="Forward", $D$9, $G$9)</f>
        <v>0.02</v>
      </c>
      <c r="EL9" s="112" t="n">
        <f aca="false">EJ9*TAN(RADIANS(EN$7))-(IF($B$4, 9.807, 32.174)*EJ9^2)/(2*EM$7^2*COS(RADIANS(EN$7))^2)+$D$7</f>
        <v>0.356071380028431</v>
      </c>
      <c r="EM9" s="123" t="n">
        <f aca="false">MIN($V$5,EL9)</f>
        <v>0.356071380028431</v>
      </c>
      <c r="EO9" s="112" t="n">
        <f aca="false">EO8+EO$7/100</f>
        <v>0.02</v>
      </c>
      <c r="EP9" s="112" t="n">
        <f aca="false">EO9</f>
        <v>0.02</v>
      </c>
      <c r="EQ9" s="112" t="n">
        <f aca="false">EO9*TAN(RADIANS(ES$7))-(IF($B$4, 9.807, 32.174)*EO9^2)/(2*ER$7^2*COS(RADIANS(ES$7))^2)+$D$7</f>
        <v>0.356071380028431</v>
      </c>
      <c r="ER9" s="123" t="n">
        <f aca="false">MIN($V$5,EQ9)</f>
        <v>0.356071380028431</v>
      </c>
      <c r="ET9" s="112" t="n">
        <f aca="false">ET8+ET$7/100</f>
        <v>0.02</v>
      </c>
      <c r="EU9" s="122" t="n">
        <f aca="false">ET9-IF($I$3="Forward", $D$9, $G$9)</f>
        <v>0.02</v>
      </c>
      <c r="EV9" s="112" t="n">
        <f aca="false">ET9*TAN(RADIANS(EX$7))-(IF($B$4, 9.807, 32.174)*ET9^2)/(2*EW$7^2*COS(RADIANS(EX$7))^2)+$D$7</f>
        <v>0.356071380028431</v>
      </c>
      <c r="EW9" s="123" t="n">
        <f aca="false">MIN($V$5,EV9)</f>
        <v>0.356071380028431</v>
      </c>
    </row>
    <row r="10" customFormat="false" ht="14.45" hidden="false" customHeight="false" outlineLevel="0" collapsed="false">
      <c r="C10" s="119" t="str">
        <f aca="false">"Release Velocity (" &amp; IF($B$4, "m", "ft") &amp; "/s)"</f>
        <v>Release Velocity (m/s)</v>
      </c>
      <c r="D10" s="96" t="n">
        <v>20</v>
      </c>
      <c r="F10" s="119" t="str">
        <f aca="false">"Target Height (" &amp; IF($B$4, "m", "ft") &amp; ")"</f>
        <v>Target Height (m)</v>
      </c>
      <c r="G10" s="96" t="n">
        <v>2.5</v>
      </c>
      <c r="I10" s="125"/>
      <c r="J10" s="121" t="n">
        <v>0</v>
      </c>
      <c r="T10" s="112" t="n">
        <f aca="false">T9+T$7/100</f>
        <v>0.04</v>
      </c>
      <c r="U10" s="122" t="n">
        <f aca="false">T10+IF($I$3="Forward", $D$9, $G$9)</f>
        <v>0.04</v>
      </c>
      <c r="V10" s="112" t="n">
        <f aca="false">T10*TAN(RADIANS(X$7))-(IF($B$4, 9.807, 32.174)*T10^2)/(2*W$7^2*COS(RADIANS(X$7))^2)+$D$7</f>
        <v>0.509434247329014</v>
      </c>
      <c r="W10" s="123" t="n">
        <f aca="false">MIN($V$5,V10)</f>
        <v>0.509434247329014</v>
      </c>
      <c r="Y10" s="112" t="n">
        <f aca="false">Y9+Y$7/100</f>
        <v>0.04</v>
      </c>
      <c r="Z10" s="112" t="n">
        <f aca="false">Y10</f>
        <v>0.04</v>
      </c>
      <c r="AA10" s="112" t="n">
        <f aca="false">Y10*TAN(RADIANS(AC$7))-(IF($B$4, 9.807, 32.174)*Y10^2)/(2*AB$7^2*COS(RADIANS(AC$7))^2)+$D$7</f>
        <v>0.509434247329014</v>
      </c>
      <c r="AB10" s="123" t="n">
        <f aca="false">MIN($V$5,AA10)</f>
        <v>0.509434247329014</v>
      </c>
      <c r="AD10" s="112" t="n">
        <f aca="false">AD9+AD$7/100</f>
        <v>0.04</v>
      </c>
      <c r="AE10" s="122" t="n">
        <f aca="false">AD10-IF($I$3="Forward", $D$9, $G$9)</f>
        <v>0.04</v>
      </c>
      <c r="AF10" s="112" t="n">
        <f aca="false">AD10*TAN(RADIANS(AH$7))-(IF($B$4, 9.807, 32.174)*AD10^2)/(2*AG$7^2*COS(RADIANS(AH$7))^2)+$D$7</f>
        <v>0.509434247329014</v>
      </c>
      <c r="AG10" s="123" t="n">
        <f aca="false">MIN($V$5,AF10)</f>
        <v>0.509434247329014</v>
      </c>
      <c r="AI10" s="112" t="n">
        <f aca="false">AI9+AI$7/100</f>
        <v>0.04</v>
      </c>
      <c r="AJ10" s="122" t="n">
        <f aca="false">AI10+IF($I$3="Forward", $D$9, $G$9)</f>
        <v>0.04</v>
      </c>
      <c r="AK10" s="112" t="n">
        <f aca="false">AI10*TAN(RADIANS(AM$7))-(IF($B$4, 9.807, 32.174)*AI10^2)/(2*AL$7^2*COS(RADIANS(AM$7))^2)+$D$7</f>
        <v>0.509434247329014</v>
      </c>
      <c r="AL10" s="123" t="n">
        <f aca="false">MIN($V$5,AK10)</f>
        <v>0.509434247329014</v>
      </c>
      <c r="AN10" s="112" t="n">
        <f aca="false">AN9+AN$7/100</f>
        <v>0.04</v>
      </c>
      <c r="AO10" s="112" t="n">
        <f aca="false">AN10</f>
        <v>0.04</v>
      </c>
      <c r="AP10" s="112" t="n">
        <f aca="false">AN10*TAN(RADIANS(AR$7))-(IF($B$4, 9.807, 32.174)*AN10^2)/(2*AQ$7^2*COS(RADIANS(AR$7))^2)+$D$7</f>
        <v>0.509434247329014</v>
      </c>
      <c r="AQ10" s="123" t="n">
        <f aca="false">MIN($V$5,AP10)</f>
        <v>0.509434247329014</v>
      </c>
      <c r="AS10" s="112" t="n">
        <f aca="false">AS9+AS$7/100</f>
        <v>0.04</v>
      </c>
      <c r="AT10" s="122" t="n">
        <f aca="false">AS10-IF($I$3="Forward", $D$9, $G$9)</f>
        <v>0.04</v>
      </c>
      <c r="AU10" s="112" t="n">
        <f aca="false">AS10*TAN(RADIANS(AW$7))-(IF($B$4, 9.807, 32.174)*AS10^2)/(2*AV$7^2*COS(RADIANS(AW$7))^2)+$D$7</f>
        <v>0.509434247329014</v>
      </c>
      <c r="AV10" s="123" t="n">
        <f aca="false">MIN($V$5,AU10)</f>
        <v>0.509434247329014</v>
      </c>
      <c r="AX10" s="112" t="n">
        <f aca="false">AX9+AX$7/100</f>
        <v>0.04</v>
      </c>
      <c r="AY10" s="122" t="n">
        <f aca="false">AX10+IF($I$3="Forward", $D$9, $G$9)</f>
        <v>0.04</v>
      </c>
      <c r="AZ10" s="112" t="n">
        <f aca="false">AX10*TAN(RADIANS(BB$7))-(IF($B$4, 9.807, 32.174)*AX10^2)/(2*BA$7^2*COS(RADIANS(BB$7))^2)+$D$7</f>
        <v>0.509434247329014</v>
      </c>
      <c r="BA10" s="123" t="n">
        <f aca="false">MIN($V$5,AZ10)</f>
        <v>0.509434247329014</v>
      </c>
      <c r="BC10" s="112" t="n">
        <f aca="false">BC9+BC$7/100</f>
        <v>0.04</v>
      </c>
      <c r="BD10" s="112" t="n">
        <f aca="false">BC10</f>
        <v>0.04</v>
      </c>
      <c r="BE10" s="112" t="n">
        <f aca="false">BC10*TAN(RADIANS(BG$7))-(IF($B$4, 9.807, 32.174)*BC10^2)/(2*BF$7^2*COS(RADIANS(BG$7))^2)+$D$7</f>
        <v>0.509434247329014</v>
      </c>
      <c r="BF10" s="123" t="n">
        <f aca="false">MIN($V$5,BE10)</f>
        <v>0.509434247329014</v>
      </c>
      <c r="BH10" s="112" t="n">
        <f aca="false">BH9+BH$7/100</f>
        <v>0.04</v>
      </c>
      <c r="BI10" s="122" t="n">
        <f aca="false">BH10-IF($I$3="Forward", $D$9, $G$9)</f>
        <v>0.04</v>
      </c>
      <c r="BJ10" s="112" t="n">
        <f aca="false">BH10*TAN(RADIANS(BL$7))-(IF($B$4, 9.807, 32.174)*BH10^2)/(2*BK$7^2*COS(RADIANS(BL$7))^2)+$D$7</f>
        <v>0.509434247329014</v>
      </c>
      <c r="BK10" s="123" t="n">
        <f aca="false">MIN($V$5,BJ10)</f>
        <v>0.509434247329014</v>
      </c>
      <c r="BM10" s="112" t="n">
        <f aca="false">BM9+BM$7/100</f>
        <v>0.04</v>
      </c>
      <c r="BN10" s="122" t="n">
        <f aca="false">BM10+IF($I$3="Forward", $D$9, $G$9)</f>
        <v>0.04</v>
      </c>
      <c r="BO10" s="112" t="n">
        <f aca="false">BM10*TAN(RADIANS(BQ$7))-(IF($B$4, 9.807, 32.174)*BM10^2)/(2*BP$7^2*COS(RADIANS(BQ$7))^2)+$D$7</f>
        <v>0.509434247329014</v>
      </c>
      <c r="BP10" s="123" t="n">
        <f aca="false">MIN($V$5,BO10)</f>
        <v>0.509434247329014</v>
      </c>
      <c r="BR10" s="112" t="n">
        <f aca="false">BR9+BR$7/100</f>
        <v>0.04</v>
      </c>
      <c r="BS10" s="112" t="n">
        <f aca="false">BR10</f>
        <v>0.04</v>
      </c>
      <c r="BT10" s="112" t="n">
        <f aca="false">BR10*TAN(RADIANS(BV$7))-(IF($B$4, 9.807, 32.174)*BR10^2)/(2*BU$7^2*COS(RADIANS(BV$7))^2)+$D$7</f>
        <v>0.509434247329014</v>
      </c>
      <c r="BU10" s="123" t="n">
        <f aca="false">MIN($V$5,BT10)</f>
        <v>0.509434247329014</v>
      </c>
      <c r="BW10" s="112" t="n">
        <f aca="false">BW9+BW$7/100</f>
        <v>0.04</v>
      </c>
      <c r="BX10" s="122" t="n">
        <f aca="false">BW10-IF($I$3="Forward", $D$9, $G$9)</f>
        <v>0.04</v>
      </c>
      <c r="BY10" s="112" t="n">
        <f aca="false">BW10*TAN(RADIANS(CA$7))-(IF($B$4, 9.807, 32.174)*BW10^2)/(2*BZ$7^2*COS(RADIANS(CA$7))^2)+$D$7</f>
        <v>0.509434247329014</v>
      </c>
      <c r="BZ10" s="123" t="n">
        <f aca="false">MIN($V$5,BY10)</f>
        <v>0.509434247329014</v>
      </c>
      <c r="CB10" s="112" t="n">
        <f aca="false">CB9+CB$7/100</f>
        <v>0.04</v>
      </c>
      <c r="CC10" s="122" t="n">
        <f aca="false">CB10+IF($I$3="Forward", $D$9, $G$9)</f>
        <v>0.04</v>
      </c>
      <c r="CD10" s="112" t="n">
        <f aca="false">CB10*TAN(RADIANS(CF$7))-(IF($B$4, 9.807, 32.174)*CB10^2)/(2*CE$7^2*COS(RADIANS(CF$7))^2)+$D$7</f>
        <v>0.509434247329014</v>
      </c>
      <c r="CE10" s="123" t="n">
        <f aca="false">MIN($V$5,CD10)</f>
        <v>0.509434247329014</v>
      </c>
      <c r="CG10" s="124" t="n">
        <f aca="false">CG9+CG$7/100</f>
        <v>0.04</v>
      </c>
      <c r="CH10" s="124" t="n">
        <f aca="false">CG10</f>
        <v>0.04</v>
      </c>
      <c r="CI10" s="124" t="n">
        <f aca="false">CG10*TAN(RADIANS(CK$7))-(IF($B$4, 9.807, 32.174)*CG10^2)/(2*CJ$7^2*COS(RADIANS(CK$7))^2)+$D$7</f>
        <v>0.509434247329014</v>
      </c>
      <c r="CJ10" s="123" t="n">
        <f aca="false">MIN($V$5,CI10)</f>
        <v>0.509434247329014</v>
      </c>
      <c r="CK10" s="124"/>
      <c r="CL10" s="112" t="n">
        <f aca="false">CL9+CL$7/100</f>
        <v>0.04</v>
      </c>
      <c r="CM10" s="122" t="n">
        <f aca="false">CL10-IF($I$3="Forward", $D$9, $G$9)</f>
        <v>0.04</v>
      </c>
      <c r="CN10" s="112" t="n">
        <f aca="false">CL10*TAN(RADIANS(CP$7))-(IF($B$4, 9.807, 32.174)*CL10^2)/(2*CO$7^2*COS(RADIANS(CP$7))^2)+$D$7</f>
        <v>0.509434247329014</v>
      </c>
      <c r="CO10" s="123" t="n">
        <f aca="false">MIN($V$5,CN10)</f>
        <v>0.509434247329014</v>
      </c>
      <c r="CQ10" s="112" t="n">
        <f aca="false">CQ9+CQ$7/100</f>
        <v>0.04</v>
      </c>
      <c r="CR10" s="122" t="n">
        <f aca="false">CQ10+IF($I$3="Forward", $D$9, $G$9)</f>
        <v>0.04</v>
      </c>
      <c r="CS10" s="112" t="n">
        <f aca="false">CQ10*TAN(RADIANS(CU$7))-(IF($B$4, 9.807, 32.174)*CQ10^2)/(2*CT$7^2*COS(RADIANS(CU$7))^2)+$D$7</f>
        <v>0.509434247329014</v>
      </c>
      <c r="CT10" s="123" t="n">
        <f aca="false">MIN($V$5,CS10)</f>
        <v>0.509434247329014</v>
      </c>
      <c r="CV10" s="112" t="n">
        <f aca="false">CV9+CV$7/100</f>
        <v>0.04</v>
      </c>
      <c r="CW10" s="112" t="n">
        <f aca="false">CV10</f>
        <v>0.04</v>
      </c>
      <c r="CX10" s="112" t="n">
        <f aca="false">CV10*TAN(RADIANS(CZ$7))-(IF($B$4, 9.807, 32.174)*CV10^2)/(2*CY$7^2*COS(RADIANS(CZ$7))^2)+$D$7</f>
        <v>0.509434247329014</v>
      </c>
      <c r="CY10" s="123" t="n">
        <f aca="false">MIN($V$5,CX10)</f>
        <v>0.509434247329014</v>
      </c>
      <c r="DA10" s="112" t="n">
        <f aca="false">DA9+DA$7/100</f>
        <v>0.04</v>
      </c>
      <c r="DB10" s="122" t="n">
        <f aca="false">DA10-IF($I$3="Forward", $D$9, $G$9)</f>
        <v>0.04</v>
      </c>
      <c r="DC10" s="112" t="n">
        <f aca="false">DA10*TAN(RADIANS(DE$7))-(IF($B$4, 9.807, 32.174)*DA10^2)/(2*DD$7^2*COS(RADIANS(DE$7))^2)+$D$7</f>
        <v>0.509434247329014</v>
      </c>
      <c r="DD10" s="123" t="n">
        <f aca="false">MIN($V$5,DC10)</f>
        <v>0.509434247329014</v>
      </c>
      <c r="DF10" s="112" t="n">
        <f aca="false">DF9+DF$7/100</f>
        <v>0.04</v>
      </c>
      <c r="DG10" s="122" t="n">
        <f aca="false">DF10+IF($I$3="Forward", $D$9, $G$9)</f>
        <v>0.04</v>
      </c>
      <c r="DH10" s="112" t="n">
        <f aca="false">DF10*TAN(RADIANS(DJ$7))-(IF($B$4, 9.807, 32.174)*DF10^2)/(2*DI$7^2*COS(RADIANS(DJ$7))^2)+$D$7</f>
        <v>0.509434247329014</v>
      </c>
      <c r="DI10" s="123" t="n">
        <f aca="false">MIN($V$5,DH10)</f>
        <v>0.509434247329014</v>
      </c>
      <c r="DK10" s="112" t="n">
        <f aca="false">DK9+DK$7/100</f>
        <v>0.04</v>
      </c>
      <c r="DL10" s="112" t="n">
        <f aca="false">DK10</f>
        <v>0.04</v>
      </c>
      <c r="DM10" s="112" t="n">
        <f aca="false">DK10*TAN(RADIANS(DO$7))-(IF($B$4, 9.807, 32.174)*DK10^2)/(2*DN$7^2*COS(RADIANS(DO$7))^2)+$D$7</f>
        <v>0.509434247329014</v>
      </c>
      <c r="DN10" s="123" t="n">
        <f aca="false">MIN($V$5,DM10)</f>
        <v>0.509434247329014</v>
      </c>
      <c r="DP10" s="112" t="n">
        <f aca="false">DP9+DP$7/100</f>
        <v>0.04</v>
      </c>
      <c r="DQ10" s="122" t="n">
        <f aca="false">DP10-IF($I$3="Forward", $D$9, $G$9)</f>
        <v>0.04</v>
      </c>
      <c r="DR10" s="112" t="n">
        <f aca="false">DP10*TAN(RADIANS(DT$7))-(IF($B$4, 9.807, 32.174)*DP10^2)/(2*DS$7^2*COS(RADIANS(DT$7))^2)+$D$7</f>
        <v>0.509434247329014</v>
      </c>
      <c r="DS10" s="123" t="n">
        <f aca="false">MIN($V$5,DR10)</f>
        <v>0.509434247329014</v>
      </c>
      <c r="DU10" s="112" t="n">
        <f aca="false">DU9+DU$7/100</f>
        <v>0.04</v>
      </c>
      <c r="DV10" s="122" t="n">
        <f aca="false">DU10+IF($I$3="Forward", $D$9, $G$9)</f>
        <v>0.04</v>
      </c>
      <c r="DW10" s="112" t="n">
        <f aca="false">DU10*TAN(RADIANS(DY$7))-(IF($B$4, 9.807, 32.174)*DU10^2)/(2*DX$7^2*COS(RADIANS(DY$7))^2)+$D$7</f>
        <v>0.509434247329014</v>
      </c>
      <c r="DX10" s="123" t="n">
        <f aca="false">MIN($V$5,DW10)</f>
        <v>0.509434247329014</v>
      </c>
      <c r="DZ10" s="112" t="n">
        <f aca="false">DZ9+DZ$7/100</f>
        <v>0.04</v>
      </c>
      <c r="EA10" s="112" t="n">
        <f aca="false">DZ10</f>
        <v>0.04</v>
      </c>
      <c r="EB10" s="112" t="n">
        <f aca="false">DZ10*TAN(RADIANS(ED$7))-(IF($B$4, 9.807, 32.174)*DZ10^2)/(2*EC$7^2*COS(RADIANS(ED$7))^2)+$D$7</f>
        <v>0.509434247329014</v>
      </c>
      <c r="EC10" s="123" t="n">
        <f aca="false">MIN($V$5,EB10)</f>
        <v>0.509434247329014</v>
      </c>
      <c r="EE10" s="112" t="n">
        <f aca="false">EE9+EE$7/100</f>
        <v>0.04</v>
      </c>
      <c r="EF10" s="122" t="n">
        <f aca="false">EE10-IF($I$3="Forward", $D$9, $G$9)</f>
        <v>0.04</v>
      </c>
      <c r="EG10" s="112" t="n">
        <f aca="false">EE10*TAN(RADIANS(EI$7))-(IF($B$4, 9.807, 32.174)*EE10^2)/(2*EH$7^2*COS(RADIANS(EI$7))^2)+$D$7</f>
        <v>0.509434247329014</v>
      </c>
      <c r="EH10" s="123" t="n">
        <f aca="false">MIN($V$5,EG10)</f>
        <v>0.509434247329014</v>
      </c>
      <c r="EJ10" s="112" t="n">
        <f aca="false">EJ9+EJ$7/100</f>
        <v>0.04</v>
      </c>
      <c r="EK10" s="122" t="n">
        <f aca="false">EJ10+IF($I$3="Forward", $D$9, $G$9)</f>
        <v>0.04</v>
      </c>
      <c r="EL10" s="112" t="n">
        <f aca="false">EJ10*TAN(RADIANS(EN$7))-(IF($B$4, 9.807, 32.174)*EJ10^2)/(2*EM$7^2*COS(RADIANS(EN$7))^2)+$D$7</f>
        <v>0.509434247329014</v>
      </c>
      <c r="EM10" s="123" t="n">
        <f aca="false">MIN($V$5,EL10)</f>
        <v>0.509434247329014</v>
      </c>
      <c r="EO10" s="112" t="n">
        <f aca="false">EO9+EO$7/100</f>
        <v>0.04</v>
      </c>
      <c r="EP10" s="112" t="n">
        <f aca="false">EO10</f>
        <v>0.04</v>
      </c>
      <c r="EQ10" s="112" t="n">
        <f aca="false">EO10*TAN(RADIANS(ES$7))-(IF($B$4, 9.807, 32.174)*EO10^2)/(2*ER$7^2*COS(RADIANS(ES$7))^2)+$D$7</f>
        <v>0.509434247329014</v>
      </c>
      <c r="ER10" s="123" t="n">
        <f aca="false">MIN($V$5,EQ10)</f>
        <v>0.509434247329014</v>
      </c>
      <c r="ET10" s="112" t="n">
        <f aca="false">ET9+ET$7/100</f>
        <v>0.04</v>
      </c>
      <c r="EU10" s="122" t="n">
        <f aca="false">ET10-IF($I$3="Forward", $D$9, $G$9)</f>
        <v>0.04</v>
      </c>
      <c r="EV10" s="112" t="n">
        <f aca="false">ET10*TAN(RADIANS(EX$7))-(IF($B$4, 9.807, 32.174)*ET10^2)/(2*EW$7^2*COS(RADIANS(EX$7))^2)+$D$7</f>
        <v>0.509434247329014</v>
      </c>
      <c r="EW10" s="123" t="n">
        <f aca="false">MIN($V$5,EV10)</f>
        <v>0.509434247329014</v>
      </c>
    </row>
    <row r="11" customFormat="false" ht="14.45" hidden="false" customHeight="false" outlineLevel="0" collapsed="false">
      <c r="C11" s="119" t="s">
        <v>125</v>
      </c>
      <c r="D11" s="126" t="n">
        <v>0</v>
      </c>
      <c r="F11" s="119" t="str">
        <f aca="false">"     ^ Tolerance (" &amp; IF($B$4, "m", "ft") &amp; ")"</f>
        <v>     ^ Tolerance (m)</v>
      </c>
      <c r="G11" s="127" t="n">
        <v>0</v>
      </c>
      <c r="T11" s="112" t="n">
        <f aca="false">T10+T$7/100</f>
        <v>0.06</v>
      </c>
      <c r="U11" s="122" t="n">
        <f aca="false">T11+IF($I$3="Forward", $D$9, $G$9)</f>
        <v>0.06</v>
      </c>
      <c r="V11" s="112" t="n">
        <f aca="false">T11*TAN(RADIANS(X$7))-(IF($B$4, 9.807, 32.174)*T11^2)/(2*W$7^2*COS(RADIANS(X$7))^2)+$D$7</f>
        <v>0.660088601901751</v>
      </c>
      <c r="W11" s="123" t="n">
        <f aca="false">MIN($V$5,V11)</f>
        <v>0.660088601901751</v>
      </c>
      <c r="Y11" s="112" t="n">
        <f aca="false">Y10+Y$7/100</f>
        <v>0.06</v>
      </c>
      <c r="Z11" s="112" t="n">
        <f aca="false">Y11</f>
        <v>0.06</v>
      </c>
      <c r="AA11" s="112" t="n">
        <f aca="false">Y11*TAN(RADIANS(AC$7))-(IF($B$4, 9.807, 32.174)*Y11^2)/(2*AB$7^2*COS(RADIANS(AC$7))^2)+$D$7</f>
        <v>0.660088601901751</v>
      </c>
      <c r="AB11" s="123" t="n">
        <f aca="false">MIN($V$5,AA11)</f>
        <v>0.660088601901751</v>
      </c>
      <c r="AD11" s="112" t="n">
        <f aca="false">AD10+AD$7/100</f>
        <v>0.06</v>
      </c>
      <c r="AE11" s="122" t="n">
        <f aca="false">AD11-IF($I$3="Forward", $D$9, $G$9)</f>
        <v>0.06</v>
      </c>
      <c r="AF11" s="112" t="n">
        <f aca="false">AD11*TAN(RADIANS(AH$7))-(IF($B$4, 9.807, 32.174)*AD11^2)/(2*AG$7^2*COS(RADIANS(AH$7))^2)+$D$7</f>
        <v>0.660088601901751</v>
      </c>
      <c r="AG11" s="123" t="n">
        <f aca="false">MIN($V$5,AF11)</f>
        <v>0.660088601901751</v>
      </c>
      <c r="AI11" s="112" t="n">
        <f aca="false">AI10+AI$7/100</f>
        <v>0.06</v>
      </c>
      <c r="AJ11" s="122" t="n">
        <f aca="false">AI11+IF($I$3="Forward", $D$9, $G$9)</f>
        <v>0.06</v>
      </c>
      <c r="AK11" s="112" t="n">
        <f aca="false">AI11*TAN(RADIANS(AM$7))-(IF($B$4, 9.807, 32.174)*AI11^2)/(2*AL$7^2*COS(RADIANS(AM$7))^2)+$D$7</f>
        <v>0.660088601901751</v>
      </c>
      <c r="AL11" s="123" t="n">
        <f aca="false">MIN($V$5,AK11)</f>
        <v>0.660088601901751</v>
      </c>
      <c r="AN11" s="112" t="n">
        <f aca="false">AN10+AN$7/100</f>
        <v>0.06</v>
      </c>
      <c r="AO11" s="112" t="n">
        <f aca="false">AN11</f>
        <v>0.06</v>
      </c>
      <c r="AP11" s="112" t="n">
        <f aca="false">AN11*TAN(RADIANS(AR$7))-(IF($B$4, 9.807, 32.174)*AN11^2)/(2*AQ$7^2*COS(RADIANS(AR$7))^2)+$D$7</f>
        <v>0.660088601901751</v>
      </c>
      <c r="AQ11" s="123" t="n">
        <f aca="false">MIN($V$5,AP11)</f>
        <v>0.660088601901751</v>
      </c>
      <c r="AS11" s="112" t="n">
        <f aca="false">AS10+AS$7/100</f>
        <v>0.06</v>
      </c>
      <c r="AT11" s="122" t="n">
        <f aca="false">AS11-IF($I$3="Forward", $D$9, $G$9)</f>
        <v>0.06</v>
      </c>
      <c r="AU11" s="112" t="n">
        <f aca="false">AS11*TAN(RADIANS(AW$7))-(IF($B$4, 9.807, 32.174)*AS11^2)/(2*AV$7^2*COS(RADIANS(AW$7))^2)+$D$7</f>
        <v>0.660088601901751</v>
      </c>
      <c r="AV11" s="123" t="n">
        <f aca="false">MIN($V$5,AU11)</f>
        <v>0.660088601901751</v>
      </c>
      <c r="AX11" s="112" t="n">
        <f aca="false">AX10+AX$7/100</f>
        <v>0.06</v>
      </c>
      <c r="AY11" s="122" t="n">
        <f aca="false">AX11+IF($I$3="Forward", $D$9, $G$9)</f>
        <v>0.06</v>
      </c>
      <c r="AZ11" s="112" t="n">
        <f aca="false">AX11*TAN(RADIANS(BB$7))-(IF($B$4, 9.807, 32.174)*AX11^2)/(2*BA$7^2*COS(RADIANS(BB$7))^2)+$D$7</f>
        <v>0.660088601901751</v>
      </c>
      <c r="BA11" s="123" t="n">
        <f aca="false">MIN($V$5,AZ11)</f>
        <v>0.660088601901751</v>
      </c>
      <c r="BC11" s="112" t="n">
        <f aca="false">BC10+BC$7/100</f>
        <v>0.06</v>
      </c>
      <c r="BD11" s="112" t="n">
        <f aca="false">BC11</f>
        <v>0.06</v>
      </c>
      <c r="BE11" s="112" t="n">
        <f aca="false">BC11*TAN(RADIANS(BG$7))-(IF($B$4, 9.807, 32.174)*BC11^2)/(2*BF$7^2*COS(RADIANS(BG$7))^2)+$D$7</f>
        <v>0.660088601901751</v>
      </c>
      <c r="BF11" s="123" t="n">
        <f aca="false">MIN($V$5,BE11)</f>
        <v>0.660088601901751</v>
      </c>
      <c r="BH11" s="112" t="n">
        <f aca="false">BH10+BH$7/100</f>
        <v>0.06</v>
      </c>
      <c r="BI11" s="122" t="n">
        <f aca="false">BH11-IF($I$3="Forward", $D$9, $G$9)</f>
        <v>0.06</v>
      </c>
      <c r="BJ11" s="112" t="n">
        <f aca="false">BH11*TAN(RADIANS(BL$7))-(IF($B$4, 9.807, 32.174)*BH11^2)/(2*BK$7^2*COS(RADIANS(BL$7))^2)+$D$7</f>
        <v>0.660088601901751</v>
      </c>
      <c r="BK11" s="123" t="n">
        <f aca="false">MIN($V$5,BJ11)</f>
        <v>0.660088601901751</v>
      </c>
      <c r="BM11" s="112" t="n">
        <f aca="false">BM10+BM$7/100</f>
        <v>0.06</v>
      </c>
      <c r="BN11" s="122" t="n">
        <f aca="false">BM11+IF($I$3="Forward", $D$9, $G$9)</f>
        <v>0.06</v>
      </c>
      <c r="BO11" s="112" t="n">
        <f aca="false">BM11*TAN(RADIANS(BQ$7))-(IF($B$4, 9.807, 32.174)*BM11^2)/(2*BP$7^2*COS(RADIANS(BQ$7))^2)+$D$7</f>
        <v>0.660088601901751</v>
      </c>
      <c r="BP11" s="123" t="n">
        <f aca="false">MIN($V$5,BO11)</f>
        <v>0.660088601901751</v>
      </c>
      <c r="BR11" s="112" t="n">
        <f aca="false">BR10+BR$7/100</f>
        <v>0.06</v>
      </c>
      <c r="BS11" s="112" t="n">
        <f aca="false">BR11</f>
        <v>0.06</v>
      </c>
      <c r="BT11" s="112" t="n">
        <f aca="false">BR11*TAN(RADIANS(BV$7))-(IF($B$4, 9.807, 32.174)*BR11^2)/(2*BU$7^2*COS(RADIANS(BV$7))^2)+$D$7</f>
        <v>0.660088601901751</v>
      </c>
      <c r="BU11" s="123" t="n">
        <f aca="false">MIN($V$5,BT11)</f>
        <v>0.660088601901751</v>
      </c>
      <c r="BW11" s="112" t="n">
        <f aca="false">BW10+BW$7/100</f>
        <v>0.06</v>
      </c>
      <c r="BX11" s="122" t="n">
        <f aca="false">BW11-IF($I$3="Forward", $D$9, $G$9)</f>
        <v>0.06</v>
      </c>
      <c r="BY11" s="112" t="n">
        <f aca="false">BW11*TAN(RADIANS(CA$7))-(IF($B$4, 9.807, 32.174)*BW11^2)/(2*BZ$7^2*COS(RADIANS(CA$7))^2)+$D$7</f>
        <v>0.660088601901751</v>
      </c>
      <c r="BZ11" s="123" t="n">
        <f aca="false">MIN($V$5,BY11)</f>
        <v>0.660088601901751</v>
      </c>
      <c r="CB11" s="112" t="n">
        <f aca="false">CB10+CB$7/100</f>
        <v>0.06</v>
      </c>
      <c r="CC11" s="122" t="n">
        <f aca="false">CB11+IF($I$3="Forward", $D$9, $G$9)</f>
        <v>0.06</v>
      </c>
      <c r="CD11" s="112" t="n">
        <f aca="false">CB11*TAN(RADIANS(CF$7))-(IF($B$4, 9.807, 32.174)*CB11^2)/(2*CE$7^2*COS(RADIANS(CF$7))^2)+$D$7</f>
        <v>0.660088601901751</v>
      </c>
      <c r="CE11" s="123" t="n">
        <f aca="false">MIN($V$5,CD11)</f>
        <v>0.660088601901751</v>
      </c>
      <c r="CG11" s="124" t="n">
        <f aca="false">CG10+CG$7/100</f>
        <v>0.06</v>
      </c>
      <c r="CH11" s="124" t="n">
        <f aca="false">CG11</f>
        <v>0.06</v>
      </c>
      <c r="CI11" s="124" t="n">
        <f aca="false">CG11*TAN(RADIANS(CK$7))-(IF($B$4, 9.807, 32.174)*CG11^2)/(2*CJ$7^2*COS(RADIANS(CK$7))^2)+$D$7</f>
        <v>0.660088601901751</v>
      </c>
      <c r="CJ11" s="123" t="n">
        <f aca="false">MIN($V$5,CI11)</f>
        <v>0.660088601901751</v>
      </c>
      <c r="CK11" s="124"/>
      <c r="CL11" s="112" t="n">
        <f aca="false">CL10+CL$7/100</f>
        <v>0.06</v>
      </c>
      <c r="CM11" s="122" t="n">
        <f aca="false">CL11-IF($I$3="Forward", $D$9, $G$9)</f>
        <v>0.06</v>
      </c>
      <c r="CN11" s="112" t="n">
        <f aca="false">CL11*TAN(RADIANS(CP$7))-(IF($B$4, 9.807, 32.174)*CL11^2)/(2*CO$7^2*COS(RADIANS(CP$7))^2)+$D$7</f>
        <v>0.660088601901751</v>
      </c>
      <c r="CO11" s="123" t="n">
        <f aca="false">MIN($V$5,CN11)</f>
        <v>0.660088601901751</v>
      </c>
      <c r="CQ11" s="112" t="n">
        <f aca="false">CQ10+CQ$7/100</f>
        <v>0.06</v>
      </c>
      <c r="CR11" s="122" t="n">
        <f aca="false">CQ11+IF($I$3="Forward", $D$9, $G$9)</f>
        <v>0.06</v>
      </c>
      <c r="CS11" s="112" t="n">
        <f aca="false">CQ11*TAN(RADIANS(CU$7))-(IF($B$4, 9.807, 32.174)*CQ11^2)/(2*CT$7^2*COS(RADIANS(CU$7))^2)+$D$7</f>
        <v>0.660088601901751</v>
      </c>
      <c r="CT11" s="123" t="n">
        <f aca="false">MIN($V$5,CS11)</f>
        <v>0.660088601901751</v>
      </c>
      <c r="CV11" s="112" t="n">
        <f aca="false">CV10+CV$7/100</f>
        <v>0.06</v>
      </c>
      <c r="CW11" s="112" t="n">
        <f aca="false">CV11</f>
        <v>0.06</v>
      </c>
      <c r="CX11" s="112" t="n">
        <f aca="false">CV11*TAN(RADIANS(CZ$7))-(IF($B$4, 9.807, 32.174)*CV11^2)/(2*CY$7^2*COS(RADIANS(CZ$7))^2)+$D$7</f>
        <v>0.660088601901751</v>
      </c>
      <c r="CY11" s="123" t="n">
        <f aca="false">MIN($V$5,CX11)</f>
        <v>0.660088601901751</v>
      </c>
      <c r="DA11" s="112" t="n">
        <f aca="false">DA10+DA$7/100</f>
        <v>0.06</v>
      </c>
      <c r="DB11" s="122" t="n">
        <f aca="false">DA11-IF($I$3="Forward", $D$9, $G$9)</f>
        <v>0.06</v>
      </c>
      <c r="DC11" s="112" t="n">
        <f aca="false">DA11*TAN(RADIANS(DE$7))-(IF($B$4, 9.807, 32.174)*DA11^2)/(2*DD$7^2*COS(RADIANS(DE$7))^2)+$D$7</f>
        <v>0.660088601901751</v>
      </c>
      <c r="DD11" s="123" t="n">
        <f aca="false">MIN($V$5,DC11)</f>
        <v>0.660088601901751</v>
      </c>
      <c r="DF11" s="112" t="n">
        <f aca="false">DF10+DF$7/100</f>
        <v>0.06</v>
      </c>
      <c r="DG11" s="122" t="n">
        <f aca="false">DF11+IF($I$3="Forward", $D$9, $G$9)</f>
        <v>0.06</v>
      </c>
      <c r="DH11" s="112" t="n">
        <f aca="false">DF11*TAN(RADIANS(DJ$7))-(IF($B$4, 9.807, 32.174)*DF11^2)/(2*DI$7^2*COS(RADIANS(DJ$7))^2)+$D$7</f>
        <v>0.660088601901751</v>
      </c>
      <c r="DI11" s="123" t="n">
        <f aca="false">MIN($V$5,DH11)</f>
        <v>0.660088601901751</v>
      </c>
      <c r="DK11" s="112" t="n">
        <f aca="false">DK10+DK$7/100</f>
        <v>0.06</v>
      </c>
      <c r="DL11" s="112" t="n">
        <f aca="false">DK11</f>
        <v>0.06</v>
      </c>
      <c r="DM11" s="112" t="n">
        <f aca="false">DK11*TAN(RADIANS(DO$7))-(IF($B$4, 9.807, 32.174)*DK11^2)/(2*DN$7^2*COS(RADIANS(DO$7))^2)+$D$7</f>
        <v>0.660088601901751</v>
      </c>
      <c r="DN11" s="123" t="n">
        <f aca="false">MIN($V$5,DM11)</f>
        <v>0.660088601901751</v>
      </c>
      <c r="DP11" s="112" t="n">
        <f aca="false">DP10+DP$7/100</f>
        <v>0.06</v>
      </c>
      <c r="DQ11" s="122" t="n">
        <f aca="false">DP11-IF($I$3="Forward", $D$9, $G$9)</f>
        <v>0.06</v>
      </c>
      <c r="DR11" s="112" t="n">
        <f aca="false">DP11*TAN(RADIANS(DT$7))-(IF($B$4, 9.807, 32.174)*DP11^2)/(2*DS$7^2*COS(RADIANS(DT$7))^2)+$D$7</f>
        <v>0.660088601901751</v>
      </c>
      <c r="DS11" s="123" t="n">
        <f aca="false">MIN($V$5,DR11)</f>
        <v>0.660088601901751</v>
      </c>
      <c r="DU11" s="112" t="n">
        <f aca="false">DU10+DU$7/100</f>
        <v>0.06</v>
      </c>
      <c r="DV11" s="122" t="n">
        <f aca="false">DU11+IF($I$3="Forward", $D$9, $G$9)</f>
        <v>0.06</v>
      </c>
      <c r="DW11" s="112" t="n">
        <f aca="false">DU11*TAN(RADIANS(DY$7))-(IF($B$4, 9.807, 32.174)*DU11^2)/(2*DX$7^2*COS(RADIANS(DY$7))^2)+$D$7</f>
        <v>0.660088601901751</v>
      </c>
      <c r="DX11" s="123" t="n">
        <f aca="false">MIN($V$5,DW11)</f>
        <v>0.660088601901751</v>
      </c>
      <c r="DZ11" s="112" t="n">
        <f aca="false">DZ10+DZ$7/100</f>
        <v>0.06</v>
      </c>
      <c r="EA11" s="112" t="n">
        <f aca="false">DZ11</f>
        <v>0.06</v>
      </c>
      <c r="EB11" s="112" t="n">
        <f aca="false">DZ11*TAN(RADIANS(ED$7))-(IF($B$4, 9.807, 32.174)*DZ11^2)/(2*EC$7^2*COS(RADIANS(ED$7))^2)+$D$7</f>
        <v>0.660088601901751</v>
      </c>
      <c r="EC11" s="123" t="n">
        <f aca="false">MIN($V$5,EB11)</f>
        <v>0.660088601901751</v>
      </c>
      <c r="EE11" s="112" t="n">
        <f aca="false">EE10+EE$7/100</f>
        <v>0.06</v>
      </c>
      <c r="EF11" s="122" t="n">
        <f aca="false">EE11-IF($I$3="Forward", $D$9, $G$9)</f>
        <v>0.06</v>
      </c>
      <c r="EG11" s="112" t="n">
        <f aca="false">EE11*TAN(RADIANS(EI$7))-(IF($B$4, 9.807, 32.174)*EE11^2)/(2*EH$7^2*COS(RADIANS(EI$7))^2)+$D$7</f>
        <v>0.660088601901751</v>
      </c>
      <c r="EH11" s="123" t="n">
        <f aca="false">MIN($V$5,EG11)</f>
        <v>0.660088601901751</v>
      </c>
      <c r="EJ11" s="112" t="n">
        <f aca="false">EJ10+EJ$7/100</f>
        <v>0.06</v>
      </c>
      <c r="EK11" s="122" t="n">
        <f aca="false">EJ11+IF($I$3="Forward", $D$9, $G$9)</f>
        <v>0.06</v>
      </c>
      <c r="EL11" s="112" t="n">
        <f aca="false">EJ11*TAN(RADIANS(EN$7))-(IF($B$4, 9.807, 32.174)*EJ11^2)/(2*EM$7^2*COS(RADIANS(EN$7))^2)+$D$7</f>
        <v>0.660088601901751</v>
      </c>
      <c r="EM11" s="123" t="n">
        <f aca="false">MIN($V$5,EL11)</f>
        <v>0.660088601901751</v>
      </c>
      <c r="EO11" s="112" t="n">
        <f aca="false">EO10+EO$7/100</f>
        <v>0.06</v>
      </c>
      <c r="EP11" s="112" t="n">
        <f aca="false">EO11</f>
        <v>0.06</v>
      </c>
      <c r="EQ11" s="112" t="n">
        <f aca="false">EO11*TAN(RADIANS(ES$7))-(IF($B$4, 9.807, 32.174)*EO11^2)/(2*ER$7^2*COS(RADIANS(ES$7))^2)+$D$7</f>
        <v>0.660088601901751</v>
      </c>
      <c r="ER11" s="123" t="n">
        <f aca="false">MIN($V$5,EQ11)</f>
        <v>0.660088601901751</v>
      </c>
      <c r="ET11" s="112" t="n">
        <f aca="false">ET10+ET$7/100</f>
        <v>0.06</v>
      </c>
      <c r="EU11" s="122" t="n">
        <f aca="false">ET11-IF($I$3="Forward", $D$9, $G$9)</f>
        <v>0.06</v>
      </c>
      <c r="EV11" s="112" t="n">
        <f aca="false">ET11*TAN(RADIANS(EX$7))-(IF($B$4, 9.807, 32.174)*ET11^2)/(2*EW$7^2*COS(RADIANS(EX$7))^2)+$D$7</f>
        <v>0.660088601901751</v>
      </c>
      <c r="EW11" s="123" t="n">
        <f aca="false">MIN($V$5,EV11)</f>
        <v>0.660088601901751</v>
      </c>
    </row>
    <row r="12" customFormat="false" ht="15" hidden="false" customHeight="false" outlineLevel="0" collapsed="false">
      <c r="C12" s="119" t="s">
        <v>126</v>
      </c>
      <c r="D12" s="128" t="n">
        <v>80</v>
      </c>
      <c r="F12" s="119" t="s">
        <v>127</v>
      </c>
      <c r="G12" s="128" t="n">
        <v>-80</v>
      </c>
      <c r="T12" s="112" t="n">
        <f aca="false">T11+T$7/100</f>
        <v>0.08</v>
      </c>
      <c r="U12" s="122" t="n">
        <f aca="false">T12+IF($I$3="Forward", $D$9, $G$9)</f>
        <v>0.08</v>
      </c>
      <c r="V12" s="112" t="n">
        <f aca="false">T12*TAN(RADIANS(X$7))-(IF($B$4, 9.807, 32.174)*T12^2)/(2*W$7^2*COS(RADIANS(X$7))^2)+$D$7</f>
        <v>0.80803444374664</v>
      </c>
      <c r="W12" s="123" t="n">
        <f aca="false">MIN($V$5,V12)</f>
        <v>0.80803444374664</v>
      </c>
      <c r="Y12" s="112" t="n">
        <f aca="false">Y11+Y$7/100</f>
        <v>0.08</v>
      </c>
      <c r="Z12" s="112" t="n">
        <f aca="false">Y12</f>
        <v>0.08</v>
      </c>
      <c r="AA12" s="112" t="n">
        <f aca="false">Y12*TAN(RADIANS(AC$7))-(IF($B$4, 9.807, 32.174)*Y12^2)/(2*AB$7^2*COS(RADIANS(AC$7))^2)+$D$7</f>
        <v>0.80803444374664</v>
      </c>
      <c r="AB12" s="123" t="n">
        <f aca="false">MIN($V$5,AA12)</f>
        <v>0.80803444374664</v>
      </c>
      <c r="AD12" s="112" t="n">
        <f aca="false">AD11+AD$7/100</f>
        <v>0.08</v>
      </c>
      <c r="AE12" s="122" t="n">
        <f aca="false">AD12-IF($I$3="Forward", $D$9, $G$9)</f>
        <v>0.08</v>
      </c>
      <c r="AF12" s="112" t="n">
        <f aca="false">AD12*TAN(RADIANS(AH$7))-(IF($B$4, 9.807, 32.174)*AD12^2)/(2*AG$7^2*COS(RADIANS(AH$7))^2)+$D$7</f>
        <v>0.80803444374664</v>
      </c>
      <c r="AG12" s="123" t="n">
        <f aca="false">MIN($V$5,AF12)</f>
        <v>0.80803444374664</v>
      </c>
      <c r="AI12" s="112" t="n">
        <f aca="false">AI11+AI$7/100</f>
        <v>0.08</v>
      </c>
      <c r="AJ12" s="122" t="n">
        <f aca="false">AI12+IF($I$3="Forward", $D$9, $G$9)</f>
        <v>0.08</v>
      </c>
      <c r="AK12" s="112" t="n">
        <f aca="false">AI12*TAN(RADIANS(AM$7))-(IF($B$4, 9.807, 32.174)*AI12^2)/(2*AL$7^2*COS(RADIANS(AM$7))^2)+$D$7</f>
        <v>0.80803444374664</v>
      </c>
      <c r="AL12" s="123" t="n">
        <f aca="false">MIN($V$5,AK12)</f>
        <v>0.80803444374664</v>
      </c>
      <c r="AN12" s="112" t="n">
        <f aca="false">AN11+AN$7/100</f>
        <v>0.08</v>
      </c>
      <c r="AO12" s="112" t="n">
        <f aca="false">AN12</f>
        <v>0.08</v>
      </c>
      <c r="AP12" s="112" t="n">
        <f aca="false">AN12*TAN(RADIANS(AR$7))-(IF($B$4, 9.807, 32.174)*AN12^2)/(2*AQ$7^2*COS(RADIANS(AR$7))^2)+$D$7</f>
        <v>0.80803444374664</v>
      </c>
      <c r="AQ12" s="123" t="n">
        <f aca="false">MIN($V$5,AP12)</f>
        <v>0.80803444374664</v>
      </c>
      <c r="AS12" s="112" t="n">
        <f aca="false">AS11+AS$7/100</f>
        <v>0.08</v>
      </c>
      <c r="AT12" s="122" t="n">
        <f aca="false">AS12-IF($I$3="Forward", $D$9, $G$9)</f>
        <v>0.08</v>
      </c>
      <c r="AU12" s="112" t="n">
        <f aca="false">AS12*TAN(RADIANS(AW$7))-(IF($B$4, 9.807, 32.174)*AS12^2)/(2*AV$7^2*COS(RADIANS(AW$7))^2)+$D$7</f>
        <v>0.80803444374664</v>
      </c>
      <c r="AV12" s="123" t="n">
        <f aca="false">MIN($V$5,AU12)</f>
        <v>0.80803444374664</v>
      </c>
      <c r="AX12" s="112" t="n">
        <f aca="false">AX11+AX$7/100</f>
        <v>0.08</v>
      </c>
      <c r="AY12" s="122" t="n">
        <f aca="false">AX12+IF($I$3="Forward", $D$9, $G$9)</f>
        <v>0.08</v>
      </c>
      <c r="AZ12" s="112" t="n">
        <f aca="false">AX12*TAN(RADIANS(BB$7))-(IF($B$4, 9.807, 32.174)*AX12^2)/(2*BA$7^2*COS(RADIANS(BB$7))^2)+$D$7</f>
        <v>0.80803444374664</v>
      </c>
      <c r="BA12" s="123" t="n">
        <f aca="false">MIN($V$5,AZ12)</f>
        <v>0.80803444374664</v>
      </c>
      <c r="BC12" s="112" t="n">
        <f aca="false">BC11+BC$7/100</f>
        <v>0.08</v>
      </c>
      <c r="BD12" s="112" t="n">
        <f aca="false">BC12</f>
        <v>0.08</v>
      </c>
      <c r="BE12" s="112" t="n">
        <f aca="false">BC12*TAN(RADIANS(BG$7))-(IF($B$4, 9.807, 32.174)*BC12^2)/(2*BF$7^2*COS(RADIANS(BG$7))^2)+$D$7</f>
        <v>0.80803444374664</v>
      </c>
      <c r="BF12" s="123" t="n">
        <f aca="false">MIN($V$5,BE12)</f>
        <v>0.80803444374664</v>
      </c>
      <c r="BH12" s="112" t="n">
        <f aca="false">BH11+BH$7/100</f>
        <v>0.08</v>
      </c>
      <c r="BI12" s="122" t="n">
        <f aca="false">BH12-IF($I$3="Forward", $D$9, $G$9)</f>
        <v>0.08</v>
      </c>
      <c r="BJ12" s="112" t="n">
        <f aca="false">BH12*TAN(RADIANS(BL$7))-(IF($B$4, 9.807, 32.174)*BH12^2)/(2*BK$7^2*COS(RADIANS(BL$7))^2)+$D$7</f>
        <v>0.80803444374664</v>
      </c>
      <c r="BK12" s="123" t="n">
        <f aca="false">MIN($V$5,BJ12)</f>
        <v>0.80803444374664</v>
      </c>
      <c r="BM12" s="112" t="n">
        <f aca="false">BM11+BM$7/100</f>
        <v>0.08</v>
      </c>
      <c r="BN12" s="122" t="n">
        <f aca="false">BM12+IF($I$3="Forward", $D$9, $G$9)</f>
        <v>0.08</v>
      </c>
      <c r="BO12" s="112" t="n">
        <f aca="false">BM12*TAN(RADIANS(BQ$7))-(IF($B$4, 9.807, 32.174)*BM12^2)/(2*BP$7^2*COS(RADIANS(BQ$7))^2)+$D$7</f>
        <v>0.80803444374664</v>
      </c>
      <c r="BP12" s="123" t="n">
        <f aca="false">MIN($V$5,BO12)</f>
        <v>0.80803444374664</v>
      </c>
      <c r="BR12" s="112" t="n">
        <f aca="false">BR11+BR$7/100</f>
        <v>0.08</v>
      </c>
      <c r="BS12" s="112" t="n">
        <f aca="false">BR12</f>
        <v>0.08</v>
      </c>
      <c r="BT12" s="112" t="n">
        <f aca="false">BR12*TAN(RADIANS(BV$7))-(IF($B$4, 9.807, 32.174)*BR12^2)/(2*BU$7^2*COS(RADIANS(BV$7))^2)+$D$7</f>
        <v>0.80803444374664</v>
      </c>
      <c r="BU12" s="123" t="n">
        <f aca="false">MIN($V$5,BT12)</f>
        <v>0.80803444374664</v>
      </c>
      <c r="BW12" s="112" t="n">
        <f aca="false">BW11+BW$7/100</f>
        <v>0.08</v>
      </c>
      <c r="BX12" s="122" t="n">
        <f aca="false">BW12-IF($I$3="Forward", $D$9, $G$9)</f>
        <v>0.08</v>
      </c>
      <c r="BY12" s="112" t="n">
        <f aca="false">BW12*TAN(RADIANS(CA$7))-(IF($B$4, 9.807, 32.174)*BW12^2)/(2*BZ$7^2*COS(RADIANS(CA$7))^2)+$D$7</f>
        <v>0.80803444374664</v>
      </c>
      <c r="BZ12" s="123" t="n">
        <f aca="false">MIN($V$5,BY12)</f>
        <v>0.80803444374664</v>
      </c>
      <c r="CB12" s="112" t="n">
        <f aca="false">CB11+CB$7/100</f>
        <v>0.08</v>
      </c>
      <c r="CC12" s="122" t="n">
        <f aca="false">CB12+IF($I$3="Forward", $D$9, $G$9)</f>
        <v>0.08</v>
      </c>
      <c r="CD12" s="112" t="n">
        <f aca="false">CB12*TAN(RADIANS(CF$7))-(IF($B$4, 9.807, 32.174)*CB12^2)/(2*CE$7^2*COS(RADIANS(CF$7))^2)+$D$7</f>
        <v>0.80803444374664</v>
      </c>
      <c r="CE12" s="123" t="n">
        <f aca="false">MIN($V$5,CD12)</f>
        <v>0.80803444374664</v>
      </c>
      <c r="CG12" s="124" t="n">
        <f aca="false">CG11+CG$7/100</f>
        <v>0.08</v>
      </c>
      <c r="CH12" s="124" t="n">
        <f aca="false">CG12</f>
        <v>0.08</v>
      </c>
      <c r="CI12" s="124" t="n">
        <f aca="false">CG12*TAN(RADIANS(CK$7))-(IF($B$4, 9.807, 32.174)*CG12^2)/(2*CJ$7^2*COS(RADIANS(CK$7))^2)+$D$7</f>
        <v>0.80803444374664</v>
      </c>
      <c r="CJ12" s="123" t="n">
        <f aca="false">MIN($V$5,CI12)</f>
        <v>0.80803444374664</v>
      </c>
      <c r="CK12" s="124"/>
      <c r="CL12" s="112" t="n">
        <f aca="false">CL11+CL$7/100</f>
        <v>0.08</v>
      </c>
      <c r="CM12" s="122" t="n">
        <f aca="false">CL12-IF($I$3="Forward", $D$9, $G$9)</f>
        <v>0.08</v>
      </c>
      <c r="CN12" s="112" t="n">
        <f aca="false">CL12*TAN(RADIANS(CP$7))-(IF($B$4, 9.807, 32.174)*CL12^2)/(2*CO$7^2*COS(RADIANS(CP$7))^2)+$D$7</f>
        <v>0.80803444374664</v>
      </c>
      <c r="CO12" s="123" t="n">
        <f aca="false">MIN($V$5,CN12)</f>
        <v>0.80803444374664</v>
      </c>
      <c r="CQ12" s="112" t="n">
        <f aca="false">CQ11+CQ$7/100</f>
        <v>0.08</v>
      </c>
      <c r="CR12" s="122" t="n">
        <f aca="false">CQ12+IF($I$3="Forward", $D$9, $G$9)</f>
        <v>0.08</v>
      </c>
      <c r="CS12" s="112" t="n">
        <f aca="false">CQ12*TAN(RADIANS(CU$7))-(IF($B$4, 9.807, 32.174)*CQ12^2)/(2*CT$7^2*COS(RADIANS(CU$7))^2)+$D$7</f>
        <v>0.80803444374664</v>
      </c>
      <c r="CT12" s="123" t="n">
        <f aca="false">MIN($V$5,CS12)</f>
        <v>0.80803444374664</v>
      </c>
      <c r="CV12" s="112" t="n">
        <f aca="false">CV11+CV$7/100</f>
        <v>0.08</v>
      </c>
      <c r="CW12" s="112" t="n">
        <f aca="false">CV12</f>
        <v>0.08</v>
      </c>
      <c r="CX12" s="112" t="n">
        <f aca="false">CV12*TAN(RADIANS(CZ$7))-(IF($B$4, 9.807, 32.174)*CV12^2)/(2*CY$7^2*COS(RADIANS(CZ$7))^2)+$D$7</f>
        <v>0.80803444374664</v>
      </c>
      <c r="CY12" s="123" t="n">
        <f aca="false">MIN($V$5,CX12)</f>
        <v>0.80803444374664</v>
      </c>
      <c r="DA12" s="112" t="n">
        <f aca="false">DA11+DA$7/100</f>
        <v>0.08</v>
      </c>
      <c r="DB12" s="122" t="n">
        <f aca="false">DA12-IF($I$3="Forward", $D$9, $G$9)</f>
        <v>0.08</v>
      </c>
      <c r="DC12" s="112" t="n">
        <f aca="false">DA12*TAN(RADIANS(DE$7))-(IF($B$4, 9.807, 32.174)*DA12^2)/(2*DD$7^2*COS(RADIANS(DE$7))^2)+$D$7</f>
        <v>0.80803444374664</v>
      </c>
      <c r="DD12" s="123" t="n">
        <f aca="false">MIN($V$5,DC12)</f>
        <v>0.80803444374664</v>
      </c>
      <c r="DF12" s="112" t="n">
        <f aca="false">DF11+DF$7/100</f>
        <v>0.08</v>
      </c>
      <c r="DG12" s="122" t="n">
        <f aca="false">DF12+IF($I$3="Forward", $D$9, $G$9)</f>
        <v>0.08</v>
      </c>
      <c r="DH12" s="112" t="n">
        <f aca="false">DF12*TAN(RADIANS(DJ$7))-(IF($B$4, 9.807, 32.174)*DF12^2)/(2*DI$7^2*COS(RADIANS(DJ$7))^2)+$D$7</f>
        <v>0.80803444374664</v>
      </c>
      <c r="DI12" s="123" t="n">
        <f aca="false">MIN($V$5,DH12)</f>
        <v>0.80803444374664</v>
      </c>
      <c r="DK12" s="112" t="n">
        <f aca="false">DK11+DK$7/100</f>
        <v>0.08</v>
      </c>
      <c r="DL12" s="112" t="n">
        <f aca="false">DK12</f>
        <v>0.08</v>
      </c>
      <c r="DM12" s="112" t="n">
        <f aca="false">DK12*TAN(RADIANS(DO$7))-(IF($B$4, 9.807, 32.174)*DK12^2)/(2*DN$7^2*COS(RADIANS(DO$7))^2)+$D$7</f>
        <v>0.80803444374664</v>
      </c>
      <c r="DN12" s="123" t="n">
        <f aca="false">MIN($V$5,DM12)</f>
        <v>0.80803444374664</v>
      </c>
      <c r="DP12" s="112" t="n">
        <f aca="false">DP11+DP$7/100</f>
        <v>0.08</v>
      </c>
      <c r="DQ12" s="122" t="n">
        <f aca="false">DP12-IF($I$3="Forward", $D$9, $G$9)</f>
        <v>0.08</v>
      </c>
      <c r="DR12" s="112" t="n">
        <f aca="false">DP12*TAN(RADIANS(DT$7))-(IF($B$4, 9.807, 32.174)*DP12^2)/(2*DS$7^2*COS(RADIANS(DT$7))^2)+$D$7</f>
        <v>0.80803444374664</v>
      </c>
      <c r="DS12" s="123" t="n">
        <f aca="false">MIN($V$5,DR12)</f>
        <v>0.80803444374664</v>
      </c>
      <c r="DU12" s="112" t="n">
        <f aca="false">DU11+DU$7/100</f>
        <v>0.08</v>
      </c>
      <c r="DV12" s="122" t="n">
        <f aca="false">DU12+IF($I$3="Forward", $D$9, $G$9)</f>
        <v>0.08</v>
      </c>
      <c r="DW12" s="112" t="n">
        <f aca="false">DU12*TAN(RADIANS(DY$7))-(IF($B$4, 9.807, 32.174)*DU12^2)/(2*DX$7^2*COS(RADIANS(DY$7))^2)+$D$7</f>
        <v>0.80803444374664</v>
      </c>
      <c r="DX12" s="123" t="n">
        <f aca="false">MIN($V$5,DW12)</f>
        <v>0.80803444374664</v>
      </c>
      <c r="DZ12" s="112" t="n">
        <f aca="false">DZ11+DZ$7/100</f>
        <v>0.08</v>
      </c>
      <c r="EA12" s="112" t="n">
        <f aca="false">DZ12</f>
        <v>0.08</v>
      </c>
      <c r="EB12" s="112" t="n">
        <f aca="false">DZ12*TAN(RADIANS(ED$7))-(IF($B$4, 9.807, 32.174)*DZ12^2)/(2*EC$7^2*COS(RADIANS(ED$7))^2)+$D$7</f>
        <v>0.80803444374664</v>
      </c>
      <c r="EC12" s="123" t="n">
        <f aca="false">MIN($V$5,EB12)</f>
        <v>0.80803444374664</v>
      </c>
      <c r="EE12" s="112" t="n">
        <f aca="false">EE11+EE$7/100</f>
        <v>0.08</v>
      </c>
      <c r="EF12" s="122" t="n">
        <f aca="false">EE12-IF($I$3="Forward", $D$9, $G$9)</f>
        <v>0.08</v>
      </c>
      <c r="EG12" s="112" t="n">
        <f aca="false">EE12*TAN(RADIANS(EI$7))-(IF($B$4, 9.807, 32.174)*EE12^2)/(2*EH$7^2*COS(RADIANS(EI$7))^2)+$D$7</f>
        <v>0.80803444374664</v>
      </c>
      <c r="EH12" s="123" t="n">
        <f aca="false">MIN($V$5,EG12)</f>
        <v>0.80803444374664</v>
      </c>
      <c r="EJ12" s="112" t="n">
        <f aca="false">EJ11+EJ$7/100</f>
        <v>0.08</v>
      </c>
      <c r="EK12" s="122" t="n">
        <f aca="false">EJ12+IF($I$3="Forward", $D$9, $G$9)</f>
        <v>0.08</v>
      </c>
      <c r="EL12" s="112" t="n">
        <f aca="false">EJ12*TAN(RADIANS(EN$7))-(IF($B$4, 9.807, 32.174)*EJ12^2)/(2*EM$7^2*COS(RADIANS(EN$7))^2)+$D$7</f>
        <v>0.80803444374664</v>
      </c>
      <c r="EM12" s="123" t="n">
        <f aca="false">MIN($V$5,EL12)</f>
        <v>0.80803444374664</v>
      </c>
      <c r="EO12" s="112" t="n">
        <f aca="false">EO11+EO$7/100</f>
        <v>0.08</v>
      </c>
      <c r="EP12" s="112" t="n">
        <f aca="false">EO12</f>
        <v>0.08</v>
      </c>
      <c r="EQ12" s="112" t="n">
        <f aca="false">EO12*TAN(RADIANS(ES$7))-(IF($B$4, 9.807, 32.174)*EO12^2)/(2*ER$7^2*COS(RADIANS(ES$7))^2)+$D$7</f>
        <v>0.80803444374664</v>
      </c>
      <c r="ER12" s="123" t="n">
        <f aca="false">MIN($V$5,EQ12)</f>
        <v>0.80803444374664</v>
      </c>
      <c r="ET12" s="112" t="n">
        <f aca="false">ET11+ET$7/100</f>
        <v>0.08</v>
      </c>
      <c r="EU12" s="122" t="n">
        <f aca="false">ET12-IF($I$3="Forward", $D$9, $G$9)</f>
        <v>0.08</v>
      </c>
      <c r="EV12" s="112" t="n">
        <f aca="false">ET12*TAN(RADIANS(EX$7))-(IF($B$4, 9.807, 32.174)*ET12^2)/(2*EW$7^2*COS(RADIANS(EX$7))^2)+$D$7</f>
        <v>0.80803444374664</v>
      </c>
      <c r="EW12" s="123" t="n">
        <f aca="false">MIN($V$5,EV12)</f>
        <v>0.80803444374664</v>
      </c>
    </row>
    <row r="13" customFormat="false" ht="15" hidden="false" customHeight="false" outlineLevel="0" collapsed="false">
      <c r="C13" s="119" t="s">
        <v>128</v>
      </c>
      <c r="D13" s="129" t="n">
        <v>0</v>
      </c>
      <c r="F13" s="119" t="s">
        <v>128</v>
      </c>
      <c r="G13" s="129" t="n">
        <v>0</v>
      </c>
      <c r="T13" s="112" t="n">
        <f aca="false">T12+T$7/100</f>
        <v>0.1</v>
      </c>
      <c r="U13" s="122" t="n">
        <f aca="false">T13+IF($I$3="Forward", $D$9, $G$9)</f>
        <v>0.1</v>
      </c>
      <c r="V13" s="112" t="n">
        <f aca="false">T13*TAN(RADIANS(X$7))-(IF($B$4, 9.807, 32.174)*T13^2)/(2*W$7^2*COS(RADIANS(X$7))^2)+$D$7</f>
        <v>0.953271772863683</v>
      </c>
      <c r="W13" s="123" t="n">
        <f aca="false">MIN($V$5,V13)</f>
        <v>0.953271772863683</v>
      </c>
      <c r="Y13" s="112" t="n">
        <f aca="false">Y12+Y$7/100</f>
        <v>0.1</v>
      </c>
      <c r="Z13" s="112" t="n">
        <f aca="false">Y13</f>
        <v>0.1</v>
      </c>
      <c r="AA13" s="112" t="n">
        <f aca="false">Y13*TAN(RADIANS(AC$7))-(IF($B$4, 9.807, 32.174)*Y13^2)/(2*AB$7^2*COS(RADIANS(AC$7))^2)+$D$7</f>
        <v>0.953271772863683</v>
      </c>
      <c r="AB13" s="123" t="n">
        <f aca="false">MIN($V$5,AA13)</f>
        <v>0.953271772863683</v>
      </c>
      <c r="AD13" s="112" t="n">
        <f aca="false">AD12+AD$7/100</f>
        <v>0.1</v>
      </c>
      <c r="AE13" s="122" t="n">
        <f aca="false">AD13-IF($I$3="Forward", $D$9, $G$9)</f>
        <v>0.1</v>
      </c>
      <c r="AF13" s="112" t="n">
        <f aca="false">AD13*TAN(RADIANS(AH$7))-(IF($B$4, 9.807, 32.174)*AD13^2)/(2*AG$7^2*COS(RADIANS(AH$7))^2)+$D$7</f>
        <v>0.953271772863683</v>
      </c>
      <c r="AG13" s="123" t="n">
        <f aca="false">MIN($V$5,AF13)</f>
        <v>0.953271772863683</v>
      </c>
      <c r="AI13" s="112" t="n">
        <f aca="false">AI12+AI$7/100</f>
        <v>0.1</v>
      </c>
      <c r="AJ13" s="122" t="n">
        <f aca="false">AI13+IF($I$3="Forward", $D$9, $G$9)</f>
        <v>0.1</v>
      </c>
      <c r="AK13" s="112" t="n">
        <f aca="false">AI13*TAN(RADIANS(AM$7))-(IF($B$4, 9.807, 32.174)*AI13^2)/(2*AL$7^2*COS(RADIANS(AM$7))^2)+$D$7</f>
        <v>0.953271772863683</v>
      </c>
      <c r="AL13" s="123" t="n">
        <f aca="false">MIN($V$5,AK13)</f>
        <v>0.953271772863683</v>
      </c>
      <c r="AN13" s="112" t="n">
        <f aca="false">AN12+AN$7/100</f>
        <v>0.1</v>
      </c>
      <c r="AO13" s="112" t="n">
        <f aca="false">AN13</f>
        <v>0.1</v>
      </c>
      <c r="AP13" s="112" t="n">
        <f aca="false">AN13*TAN(RADIANS(AR$7))-(IF($B$4, 9.807, 32.174)*AN13^2)/(2*AQ$7^2*COS(RADIANS(AR$7))^2)+$D$7</f>
        <v>0.953271772863683</v>
      </c>
      <c r="AQ13" s="123" t="n">
        <f aca="false">MIN($V$5,AP13)</f>
        <v>0.953271772863683</v>
      </c>
      <c r="AS13" s="112" t="n">
        <f aca="false">AS12+AS$7/100</f>
        <v>0.1</v>
      </c>
      <c r="AT13" s="122" t="n">
        <f aca="false">AS13-IF($I$3="Forward", $D$9, $G$9)</f>
        <v>0.1</v>
      </c>
      <c r="AU13" s="112" t="n">
        <f aca="false">AS13*TAN(RADIANS(AW$7))-(IF($B$4, 9.807, 32.174)*AS13^2)/(2*AV$7^2*COS(RADIANS(AW$7))^2)+$D$7</f>
        <v>0.953271772863683</v>
      </c>
      <c r="AV13" s="123" t="n">
        <f aca="false">MIN($V$5,AU13)</f>
        <v>0.953271772863683</v>
      </c>
      <c r="AX13" s="112" t="n">
        <f aca="false">AX12+AX$7/100</f>
        <v>0.1</v>
      </c>
      <c r="AY13" s="122" t="n">
        <f aca="false">AX13+IF($I$3="Forward", $D$9, $G$9)</f>
        <v>0.1</v>
      </c>
      <c r="AZ13" s="112" t="n">
        <f aca="false">AX13*TAN(RADIANS(BB$7))-(IF($B$4, 9.807, 32.174)*AX13^2)/(2*BA$7^2*COS(RADIANS(BB$7))^2)+$D$7</f>
        <v>0.953271772863683</v>
      </c>
      <c r="BA13" s="123" t="n">
        <f aca="false">MIN($V$5,AZ13)</f>
        <v>0.953271772863683</v>
      </c>
      <c r="BC13" s="112" t="n">
        <f aca="false">BC12+BC$7/100</f>
        <v>0.1</v>
      </c>
      <c r="BD13" s="112" t="n">
        <f aca="false">BC13</f>
        <v>0.1</v>
      </c>
      <c r="BE13" s="112" t="n">
        <f aca="false">BC13*TAN(RADIANS(BG$7))-(IF($B$4, 9.807, 32.174)*BC13^2)/(2*BF$7^2*COS(RADIANS(BG$7))^2)+$D$7</f>
        <v>0.953271772863683</v>
      </c>
      <c r="BF13" s="123" t="n">
        <f aca="false">MIN($V$5,BE13)</f>
        <v>0.953271772863683</v>
      </c>
      <c r="BH13" s="112" t="n">
        <f aca="false">BH12+BH$7/100</f>
        <v>0.1</v>
      </c>
      <c r="BI13" s="122" t="n">
        <f aca="false">BH13-IF($I$3="Forward", $D$9, $G$9)</f>
        <v>0.1</v>
      </c>
      <c r="BJ13" s="112" t="n">
        <f aca="false">BH13*TAN(RADIANS(BL$7))-(IF($B$4, 9.807, 32.174)*BH13^2)/(2*BK$7^2*COS(RADIANS(BL$7))^2)+$D$7</f>
        <v>0.953271772863683</v>
      </c>
      <c r="BK13" s="123" t="n">
        <f aca="false">MIN($V$5,BJ13)</f>
        <v>0.953271772863683</v>
      </c>
      <c r="BM13" s="112" t="n">
        <f aca="false">BM12+BM$7/100</f>
        <v>0.1</v>
      </c>
      <c r="BN13" s="122" t="n">
        <f aca="false">BM13+IF($I$3="Forward", $D$9, $G$9)</f>
        <v>0.1</v>
      </c>
      <c r="BO13" s="112" t="n">
        <f aca="false">BM13*TAN(RADIANS(BQ$7))-(IF($B$4, 9.807, 32.174)*BM13^2)/(2*BP$7^2*COS(RADIANS(BQ$7))^2)+$D$7</f>
        <v>0.953271772863683</v>
      </c>
      <c r="BP13" s="123" t="n">
        <f aca="false">MIN($V$5,BO13)</f>
        <v>0.953271772863683</v>
      </c>
      <c r="BR13" s="112" t="n">
        <f aca="false">BR12+BR$7/100</f>
        <v>0.1</v>
      </c>
      <c r="BS13" s="112" t="n">
        <f aca="false">BR13</f>
        <v>0.1</v>
      </c>
      <c r="BT13" s="112" t="n">
        <f aca="false">BR13*TAN(RADIANS(BV$7))-(IF($B$4, 9.807, 32.174)*BR13^2)/(2*BU$7^2*COS(RADIANS(BV$7))^2)+$D$7</f>
        <v>0.953271772863683</v>
      </c>
      <c r="BU13" s="123" t="n">
        <f aca="false">MIN($V$5,BT13)</f>
        <v>0.953271772863683</v>
      </c>
      <c r="BW13" s="112" t="n">
        <f aca="false">BW12+BW$7/100</f>
        <v>0.1</v>
      </c>
      <c r="BX13" s="122" t="n">
        <f aca="false">BW13-IF($I$3="Forward", $D$9, $G$9)</f>
        <v>0.1</v>
      </c>
      <c r="BY13" s="112" t="n">
        <f aca="false">BW13*TAN(RADIANS(CA$7))-(IF($B$4, 9.807, 32.174)*BW13^2)/(2*BZ$7^2*COS(RADIANS(CA$7))^2)+$D$7</f>
        <v>0.953271772863683</v>
      </c>
      <c r="BZ13" s="123" t="n">
        <f aca="false">MIN($V$5,BY13)</f>
        <v>0.953271772863683</v>
      </c>
      <c r="CB13" s="112" t="n">
        <f aca="false">CB12+CB$7/100</f>
        <v>0.1</v>
      </c>
      <c r="CC13" s="122" t="n">
        <f aca="false">CB13+IF($I$3="Forward", $D$9, $G$9)</f>
        <v>0.1</v>
      </c>
      <c r="CD13" s="112" t="n">
        <f aca="false">CB13*TAN(RADIANS(CF$7))-(IF($B$4, 9.807, 32.174)*CB13^2)/(2*CE$7^2*COS(RADIANS(CF$7))^2)+$D$7</f>
        <v>0.953271772863683</v>
      </c>
      <c r="CE13" s="123" t="n">
        <f aca="false">MIN($V$5,CD13)</f>
        <v>0.953271772863683</v>
      </c>
      <c r="CG13" s="124" t="n">
        <f aca="false">CG12+CG$7/100</f>
        <v>0.1</v>
      </c>
      <c r="CH13" s="124" t="n">
        <f aca="false">CG13</f>
        <v>0.1</v>
      </c>
      <c r="CI13" s="124" t="n">
        <f aca="false">CG13*TAN(RADIANS(CK$7))-(IF($B$4, 9.807, 32.174)*CG13^2)/(2*CJ$7^2*COS(RADIANS(CK$7))^2)+$D$7</f>
        <v>0.953271772863683</v>
      </c>
      <c r="CJ13" s="123" t="n">
        <f aca="false">MIN($V$5,CI13)</f>
        <v>0.953271772863683</v>
      </c>
      <c r="CK13" s="124"/>
      <c r="CL13" s="112" t="n">
        <f aca="false">CL12+CL$7/100</f>
        <v>0.1</v>
      </c>
      <c r="CM13" s="122" t="n">
        <f aca="false">CL13-IF($I$3="Forward", $D$9, $G$9)</f>
        <v>0.1</v>
      </c>
      <c r="CN13" s="112" t="n">
        <f aca="false">CL13*TAN(RADIANS(CP$7))-(IF($B$4, 9.807, 32.174)*CL13^2)/(2*CO$7^2*COS(RADIANS(CP$7))^2)+$D$7</f>
        <v>0.953271772863683</v>
      </c>
      <c r="CO13" s="123" t="n">
        <f aca="false">MIN($V$5,CN13)</f>
        <v>0.953271772863683</v>
      </c>
      <c r="CQ13" s="112" t="n">
        <f aca="false">CQ12+CQ$7/100</f>
        <v>0.1</v>
      </c>
      <c r="CR13" s="122" t="n">
        <f aca="false">CQ13+IF($I$3="Forward", $D$9, $G$9)</f>
        <v>0.1</v>
      </c>
      <c r="CS13" s="112" t="n">
        <f aca="false">CQ13*TAN(RADIANS(CU$7))-(IF($B$4, 9.807, 32.174)*CQ13^2)/(2*CT$7^2*COS(RADIANS(CU$7))^2)+$D$7</f>
        <v>0.953271772863683</v>
      </c>
      <c r="CT13" s="123" t="n">
        <f aca="false">MIN($V$5,CS13)</f>
        <v>0.953271772863683</v>
      </c>
      <c r="CV13" s="112" t="n">
        <f aca="false">CV12+CV$7/100</f>
        <v>0.1</v>
      </c>
      <c r="CW13" s="112" t="n">
        <f aca="false">CV13</f>
        <v>0.1</v>
      </c>
      <c r="CX13" s="112" t="n">
        <f aca="false">CV13*TAN(RADIANS(CZ$7))-(IF($B$4, 9.807, 32.174)*CV13^2)/(2*CY$7^2*COS(RADIANS(CZ$7))^2)+$D$7</f>
        <v>0.953271772863683</v>
      </c>
      <c r="CY13" s="123" t="n">
        <f aca="false">MIN($V$5,CX13)</f>
        <v>0.953271772863683</v>
      </c>
      <c r="DA13" s="112" t="n">
        <f aca="false">DA12+DA$7/100</f>
        <v>0.1</v>
      </c>
      <c r="DB13" s="122" t="n">
        <f aca="false">DA13-IF($I$3="Forward", $D$9, $G$9)</f>
        <v>0.1</v>
      </c>
      <c r="DC13" s="112" t="n">
        <f aca="false">DA13*TAN(RADIANS(DE$7))-(IF($B$4, 9.807, 32.174)*DA13^2)/(2*DD$7^2*COS(RADIANS(DE$7))^2)+$D$7</f>
        <v>0.953271772863683</v>
      </c>
      <c r="DD13" s="123" t="n">
        <f aca="false">MIN($V$5,DC13)</f>
        <v>0.953271772863683</v>
      </c>
      <c r="DF13" s="112" t="n">
        <f aca="false">DF12+DF$7/100</f>
        <v>0.1</v>
      </c>
      <c r="DG13" s="122" t="n">
        <f aca="false">DF13+IF($I$3="Forward", $D$9, $G$9)</f>
        <v>0.1</v>
      </c>
      <c r="DH13" s="112" t="n">
        <f aca="false">DF13*TAN(RADIANS(DJ$7))-(IF($B$4, 9.807, 32.174)*DF13^2)/(2*DI$7^2*COS(RADIANS(DJ$7))^2)+$D$7</f>
        <v>0.953271772863683</v>
      </c>
      <c r="DI13" s="123" t="n">
        <f aca="false">MIN($V$5,DH13)</f>
        <v>0.953271772863683</v>
      </c>
      <c r="DK13" s="112" t="n">
        <f aca="false">DK12+DK$7/100</f>
        <v>0.1</v>
      </c>
      <c r="DL13" s="112" t="n">
        <f aca="false">DK13</f>
        <v>0.1</v>
      </c>
      <c r="DM13" s="112" t="n">
        <f aca="false">DK13*TAN(RADIANS(DO$7))-(IF($B$4, 9.807, 32.174)*DK13^2)/(2*DN$7^2*COS(RADIANS(DO$7))^2)+$D$7</f>
        <v>0.953271772863683</v>
      </c>
      <c r="DN13" s="123" t="n">
        <f aca="false">MIN($V$5,DM13)</f>
        <v>0.953271772863683</v>
      </c>
      <c r="DP13" s="112" t="n">
        <f aca="false">DP12+DP$7/100</f>
        <v>0.1</v>
      </c>
      <c r="DQ13" s="122" t="n">
        <f aca="false">DP13-IF($I$3="Forward", $D$9, $G$9)</f>
        <v>0.1</v>
      </c>
      <c r="DR13" s="112" t="n">
        <f aca="false">DP13*TAN(RADIANS(DT$7))-(IF($B$4, 9.807, 32.174)*DP13^2)/(2*DS$7^2*COS(RADIANS(DT$7))^2)+$D$7</f>
        <v>0.953271772863683</v>
      </c>
      <c r="DS13" s="123" t="n">
        <f aca="false">MIN($V$5,DR13)</f>
        <v>0.953271772863683</v>
      </c>
      <c r="DU13" s="112" t="n">
        <f aca="false">DU12+DU$7/100</f>
        <v>0.1</v>
      </c>
      <c r="DV13" s="122" t="n">
        <f aca="false">DU13+IF($I$3="Forward", $D$9, $G$9)</f>
        <v>0.1</v>
      </c>
      <c r="DW13" s="112" t="n">
        <f aca="false">DU13*TAN(RADIANS(DY$7))-(IF($B$4, 9.807, 32.174)*DU13^2)/(2*DX$7^2*COS(RADIANS(DY$7))^2)+$D$7</f>
        <v>0.953271772863683</v>
      </c>
      <c r="DX13" s="123" t="n">
        <f aca="false">MIN($V$5,DW13)</f>
        <v>0.953271772863683</v>
      </c>
      <c r="DZ13" s="112" t="n">
        <f aca="false">DZ12+DZ$7/100</f>
        <v>0.1</v>
      </c>
      <c r="EA13" s="112" t="n">
        <f aca="false">DZ13</f>
        <v>0.1</v>
      </c>
      <c r="EB13" s="112" t="n">
        <f aca="false">DZ13*TAN(RADIANS(ED$7))-(IF($B$4, 9.807, 32.174)*DZ13^2)/(2*EC$7^2*COS(RADIANS(ED$7))^2)+$D$7</f>
        <v>0.953271772863683</v>
      </c>
      <c r="EC13" s="123" t="n">
        <f aca="false">MIN($V$5,EB13)</f>
        <v>0.953271772863683</v>
      </c>
      <c r="EE13" s="112" t="n">
        <f aca="false">EE12+EE$7/100</f>
        <v>0.1</v>
      </c>
      <c r="EF13" s="122" t="n">
        <f aca="false">EE13-IF($I$3="Forward", $D$9, $G$9)</f>
        <v>0.1</v>
      </c>
      <c r="EG13" s="112" t="n">
        <f aca="false">EE13*TAN(RADIANS(EI$7))-(IF($B$4, 9.807, 32.174)*EE13^2)/(2*EH$7^2*COS(RADIANS(EI$7))^2)+$D$7</f>
        <v>0.953271772863683</v>
      </c>
      <c r="EH13" s="123" t="n">
        <f aca="false">MIN($V$5,EG13)</f>
        <v>0.953271772863683</v>
      </c>
      <c r="EJ13" s="112" t="n">
        <f aca="false">EJ12+EJ$7/100</f>
        <v>0.1</v>
      </c>
      <c r="EK13" s="122" t="n">
        <f aca="false">EJ13+IF($I$3="Forward", $D$9, $G$9)</f>
        <v>0.1</v>
      </c>
      <c r="EL13" s="112" t="n">
        <f aca="false">EJ13*TAN(RADIANS(EN$7))-(IF($B$4, 9.807, 32.174)*EJ13^2)/(2*EM$7^2*COS(RADIANS(EN$7))^2)+$D$7</f>
        <v>0.953271772863683</v>
      </c>
      <c r="EM13" s="123" t="n">
        <f aca="false">MIN($V$5,EL13)</f>
        <v>0.953271772863683</v>
      </c>
      <c r="EO13" s="112" t="n">
        <f aca="false">EO12+EO$7/100</f>
        <v>0.1</v>
      </c>
      <c r="EP13" s="112" t="n">
        <f aca="false">EO13</f>
        <v>0.1</v>
      </c>
      <c r="EQ13" s="112" t="n">
        <f aca="false">EO13*TAN(RADIANS(ES$7))-(IF($B$4, 9.807, 32.174)*EO13^2)/(2*ER$7^2*COS(RADIANS(ES$7))^2)+$D$7</f>
        <v>0.953271772863683</v>
      </c>
      <c r="ER13" s="123" t="n">
        <f aca="false">MIN($V$5,EQ13)</f>
        <v>0.953271772863683</v>
      </c>
      <c r="ET13" s="112" t="n">
        <f aca="false">ET12+ET$7/100</f>
        <v>0.1</v>
      </c>
      <c r="EU13" s="122" t="n">
        <f aca="false">ET13-IF($I$3="Forward", $D$9, $G$9)</f>
        <v>0.1</v>
      </c>
      <c r="EV13" s="112" t="n">
        <f aca="false">ET13*TAN(RADIANS(EX$7))-(IF($B$4, 9.807, 32.174)*ET13^2)/(2*EW$7^2*COS(RADIANS(EX$7))^2)+$D$7</f>
        <v>0.953271772863683</v>
      </c>
      <c r="EW13" s="123" t="n">
        <f aca="false">MIN($V$5,EV13)</f>
        <v>0.953271772863683</v>
      </c>
    </row>
    <row r="14" customFormat="false" ht="15" hidden="false" customHeight="false" outlineLevel="0" collapsed="false">
      <c r="D14" s="130"/>
      <c r="N14" s="130" t="n">
        <f aca="false">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4.77496850251775</v>
      </c>
      <c r="P14" s="111" t="n">
        <v>0</v>
      </c>
      <c r="Q14" s="111" t="n">
        <f aca="false">IF($I$3="Forward", IF(OR(ISBLANK(D15), ISBLANK(D16), D15=0, D16=0), 0, D15), IF(OR(ISBLANK(G15), ISBLANK(G16), G15=0, G16=0), 0, G15))</f>
        <v>1</v>
      </c>
      <c r="T14" s="112" t="n">
        <f aca="false">T13+T$7/100</f>
        <v>0.12</v>
      </c>
      <c r="U14" s="122" t="n">
        <f aca="false">T14+IF($I$3="Forward", $D$9, $G$9)</f>
        <v>0.12</v>
      </c>
      <c r="V14" s="112" t="n">
        <f aca="false">T14*TAN(RADIANS(X$7))-(IF($B$4, 9.807, 32.174)*T14^2)/(2*W$7^2*COS(RADIANS(X$7))^2)+$D$7</f>
        <v>1.09580058925288</v>
      </c>
      <c r="W14" s="123" t="n">
        <f aca="false">MIN($V$5,V14)</f>
        <v>1.09580058925288</v>
      </c>
      <c r="Y14" s="112" t="n">
        <f aca="false">Y13+Y$7/100</f>
        <v>0.12</v>
      </c>
      <c r="Z14" s="112" t="n">
        <f aca="false">Y14</f>
        <v>0.12</v>
      </c>
      <c r="AA14" s="112" t="n">
        <f aca="false">Y14*TAN(RADIANS(AC$7))-(IF($B$4, 9.807, 32.174)*Y14^2)/(2*AB$7^2*COS(RADIANS(AC$7))^2)+$D$7</f>
        <v>1.09580058925288</v>
      </c>
      <c r="AB14" s="123" t="n">
        <f aca="false">MIN($V$5,AA14)</f>
        <v>1.09580058925288</v>
      </c>
      <c r="AD14" s="112" t="n">
        <f aca="false">AD13+AD$7/100</f>
        <v>0.12</v>
      </c>
      <c r="AE14" s="122" t="n">
        <f aca="false">AD14-IF($I$3="Forward", $D$9, $G$9)</f>
        <v>0.12</v>
      </c>
      <c r="AF14" s="112" t="n">
        <f aca="false">AD14*TAN(RADIANS(AH$7))-(IF($B$4, 9.807, 32.174)*AD14^2)/(2*AG$7^2*COS(RADIANS(AH$7))^2)+$D$7</f>
        <v>1.09580058925288</v>
      </c>
      <c r="AG14" s="123" t="n">
        <f aca="false">MIN($V$5,AF14)</f>
        <v>1.09580058925288</v>
      </c>
      <c r="AI14" s="112" t="n">
        <f aca="false">AI13+AI$7/100</f>
        <v>0.12</v>
      </c>
      <c r="AJ14" s="122" t="n">
        <f aca="false">AI14+IF($I$3="Forward", $D$9, $G$9)</f>
        <v>0.12</v>
      </c>
      <c r="AK14" s="112" t="n">
        <f aca="false">AI14*TAN(RADIANS(AM$7))-(IF($B$4, 9.807, 32.174)*AI14^2)/(2*AL$7^2*COS(RADIANS(AM$7))^2)+$D$7</f>
        <v>1.09580058925288</v>
      </c>
      <c r="AL14" s="123" t="n">
        <f aca="false">MIN($V$5,AK14)</f>
        <v>1.09580058925288</v>
      </c>
      <c r="AN14" s="112" t="n">
        <f aca="false">AN13+AN$7/100</f>
        <v>0.12</v>
      </c>
      <c r="AO14" s="112" t="n">
        <f aca="false">AN14</f>
        <v>0.12</v>
      </c>
      <c r="AP14" s="112" t="n">
        <f aca="false">AN14*TAN(RADIANS(AR$7))-(IF($B$4, 9.807, 32.174)*AN14^2)/(2*AQ$7^2*COS(RADIANS(AR$7))^2)+$D$7</f>
        <v>1.09580058925288</v>
      </c>
      <c r="AQ14" s="123" t="n">
        <f aca="false">MIN($V$5,AP14)</f>
        <v>1.09580058925288</v>
      </c>
      <c r="AS14" s="112" t="n">
        <f aca="false">AS13+AS$7/100</f>
        <v>0.12</v>
      </c>
      <c r="AT14" s="122" t="n">
        <f aca="false">AS14-IF($I$3="Forward", $D$9, $G$9)</f>
        <v>0.12</v>
      </c>
      <c r="AU14" s="112" t="n">
        <f aca="false">AS14*TAN(RADIANS(AW$7))-(IF($B$4, 9.807, 32.174)*AS14^2)/(2*AV$7^2*COS(RADIANS(AW$7))^2)+$D$7</f>
        <v>1.09580058925288</v>
      </c>
      <c r="AV14" s="123" t="n">
        <f aca="false">MIN($V$5,AU14)</f>
        <v>1.09580058925288</v>
      </c>
      <c r="AX14" s="112" t="n">
        <f aca="false">AX13+AX$7/100</f>
        <v>0.12</v>
      </c>
      <c r="AY14" s="122" t="n">
        <f aca="false">AX14+IF($I$3="Forward", $D$9, $G$9)</f>
        <v>0.12</v>
      </c>
      <c r="AZ14" s="112" t="n">
        <f aca="false">AX14*TAN(RADIANS(BB$7))-(IF($B$4, 9.807, 32.174)*AX14^2)/(2*BA$7^2*COS(RADIANS(BB$7))^2)+$D$7</f>
        <v>1.09580058925288</v>
      </c>
      <c r="BA14" s="123" t="n">
        <f aca="false">MIN($V$5,AZ14)</f>
        <v>1.09580058925288</v>
      </c>
      <c r="BC14" s="112" t="n">
        <f aca="false">BC13+BC$7/100</f>
        <v>0.12</v>
      </c>
      <c r="BD14" s="112" t="n">
        <f aca="false">BC14</f>
        <v>0.12</v>
      </c>
      <c r="BE14" s="112" t="n">
        <f aca="false">BC14*TAN(RADIANS(BG$7))-(IF($B$4, 9.807, 32.174)*BC14^2)/(2*BF$7^2*COS(RADIANS(BG$7))^2)+$D$7</f>
        <v>1.09580058925288</v>
      </c>
      <c r="BF14" s="123" t="n">
        <f aca="false">MIN($V$5,BE14)</f>
        <v>1.09580058925288</v>
      </c>
      <c r="BH14" s="112" t="n">
        <f aca="false">BH13+BH$7/100</f>
        <v>0.12</v>
      </c>
      <c r="BI14" s="122" t="n">
        <f aca="false">BH14-IF($I$3="Forward", $D$9, $G$9)</f>
        <v>0.12</v>
      </c>
      <c r="BJ14" s="112" t="n">
        <f aca="false">BH14*TAN(RADIANS(BL$7))-(IF($B$4, 9.807, 32.174)*BH14^2)/(2*BK$7^2*COS(RADIANS(BL$7))^2)+$D$7</f>
        <v>1.09580058925288</v>
      </c>
      <c r="BK14" s="123" t="n">
        <f aca="false">MIN($V$5,BJ14)</f>
        <v>1.09580058925288</v>
      </c>
      <c r="BM14" s="112" t="n">
        <f aca="false">BM13+BM$7/100</f>
        <v>0.12</v>
      </c>
      <c r="BN14" s="122" t="n">
        <f aca="false">BM14+IF($I$3="Forward", $D$9, $G$9)</f>
        <v>0.12</v>
      </c>
      <c r="BO14" s="112" t="n">
        <f aca="false">BM14*TAN(RADIANS(BQ$7))-(IF($B$4, 9.807, 32.174)*BM14^2)/(2*BP$7^2*COS(RADIANS(BQ$7))^2)+$D$7</f>
        <v>1.09580058925288</v>
      </c>
      <c r="BP14" s="123" t="n">
        <f aca="false">MIN($V$5,BO14)</f>
        <v>1.09580058925288</v>
      </c>
      <c r="BR14" s="112" t="n">
        <f aca="false">BR13+BR$7/100</f>
        <v>0.12</v>
      </c>
      <c r="BS14" s="112" t="n">
        <f aca="false">BR14</f>
        <v>0.12</v>
      </c>
      <c r="BT14" s="112" t="n">
        <f aca="false">BR14*TAN(RADIANS(BV$7))-(IF($B$4, 9.807, 32.174)*BR14^2)/(2*BU$7^2*COS(RADIANS(BV$7))^2)+$D$7</f>
        <v>1.09580058925288</v>
      </c>
      <c r="BU14" s="123" t="n">
        <f aca="false">MIN($V$5,BT14)</f>
        <v>1.09580058925288</v>
      </c>
      <c r="BW14" s="112" t="n">
        <f aca="false">BW13+BW$7/100</f>
        <v>0.12</v>
      </c>
      <c r="BX14" s="122" t="n">
        <f aca="false">BW14-IF($I$3="Forward", $D$9, $G$9)</f>
        <v>0.12</v>
      </c>
      <c r="BY14" s="112" t="n">
        <f aca="false">BW14*TAN(RADIANS(CA$7))-(IF($B$4, 9.807, 32.174)*BW14^2)/(2*BZ$7^2*COS(RADIANS(CA$7))^2)+$D$7</f>
        <v>1.09580058925288</v>
      </c>
      <c r="BZ14" s="123" t="n">
        <f aca="false">MIN($V$5,BY14)</f>
        <v>1.09580058925288</v>
      </c>
      <c r="CB14" s="112" t="n">
        <f aca="false">CB13+CB$7/100</f>
        <v>0.12</v>
      </c>
      <c r="CC14" s="122" t="n">
        <f aca="false">CB14+IF($I$3="Forward", $D$9, $G$9)</f>
        <v>0.12</v>
      </c>
      <c r="CD14" s="112" t="n">
        <f aca="false">CB14*TAN(RADIANS(CF$7))-(IF($B$4, 9.807, 32.174)*CB14^2)/(2*CE$7^2*COS(RADIANS(CF$7))^2)+$D$7</f>
        <v>1.09580058925288</v>
      </c>
      <c r="CE14" s="123" t="n">
        <f aca="false">MIN($V$5,CD14)</f>
        <v>1.09580058925288</v>
      </c>
      <c r="CG14" s="124" t="n">
        <f aca="false">CG13+CG$7/100</f>
        <v>0.12</v>
      </c>
      <c r="CH14" s="124" t="n">
        <f aca="false">CG14</f>
        <v>0.12</v>
      </c>
      <c r="CI14" s="124" t="n">
        <f aca="false">CG14*TAN(RADIANS(CK$7))-(IF($B$4, 9.807, 32.174)*CG14^2)/(2*CJ$7^2*COS(RADIANS(CK$7))^2)+$D$7</f>
        <v>1.09580058925288</v>
      </c>
      <c r="CJ14" s="123" t="n">
        <f aca="false">MIN($V$5,CI14)</f>
        <v>1.09580058925288</v>
      </c>
      <c r="CK14" s="124"/>
      <c r="CL14" s="112" t="n">
        <f aca="false">CL13+CL$7/100</f>
        <v>0.12</v>
      </c>
      <c r="CM14" s="122" t="n">
        <f aca="false">CL14-IF($I$3="Forward", $D$9, $G$9)</f>
        <v>0.12</v>
      </c>
      <c r="CN14" s="112" t="n">
        <f aca="false">CL14*TAN(RADIANS(CP$7))-(IF($B$4, 9.807, 32.174)*CL14^2)/(2*CO$7^2*COS(RADIANS(CP$7))^2)+$D$7</f>
        <v>1.09580058925288</v>
      </c>
      <c r="CO14" s="123" t="n">
        <f aca="false">MIN($V$5,CN14)</f>
        <v>1.09580058925288</v>
      </c>
      <c r="CQ14" s="112" t="n">
        <f aca="false">CQ13+CQ$7/100</f>
        <v>0.12</v>
      </c>
      <c r="CR14" s="122" t="n">
        <f aca="false">CQ14+IF($I$3="Forward", $D$9, $G$9)</f>
        <v>0.12</v>
      </c>
      <c r="CS14" s="112" t="n">
        <f aca="false">CQ14*TAN(RADIANS(CU$7))-(IF($B$4, 9.807, 32.174)*CQ14^2)/(2*CT$7^2*COS(RADIANS(CU$7))^2)+$D$7</f>
        <v>1.09580058925288</v>
      </c>
      <c r="CT14" s="123" t="n">
        <f aca="false">MIN($V$5,CS14)</f>
        <v>1.09580058925288</v>
      </c>
      <c r="CV14" s="112" t="n">
        <f aca="false">CV13+CV$7/100</f>
        <v>0.12</v>
      </c>
      <c r="CW14" s="112" t="n">
        <f aca="false">CV14</f>
        <v>0.12</v>
      </c>
      <c r="CX14" s="112" t="n">
        <f aca="false">CV14*TAN(RADIANS(CZ$7))-(IF($B$4, 9.807, 32.174)*CV14^2)/(2*CY$7^2*COS(RADIANS(CZ$7))^2)+$D$7</f>
        <v>1.09580058925288</v>
      </c>
      <c r="CY14" s="123" t="n">
        <f aca="false">MIN($V$5,CX14)</f>
        <v>1.09580058925288</v>
      </c>
      <c r="DA14" s="112" t="n">
        <f aca="false">DA13+DA$7/100</f>
        <v>0.12</v>
      </c>
      <c r="DB14" s="122" t="n">
        <f aca="false">DA14-IF($I$3="Forward", $D$9, $G$9)</f>
        <v>0.12</v>
      </c>
      <c r="DC14" s="112" t="n">
        <f aca="false">DA14*TAN(RADIANS(DE$7))-(IF($B$4, 9.807, 32.174)*DA14^2)/(2*DD$7^2*COS(RADIANS(DE$7))^2)+$D$7</f>
        <v>1.09580058925288</v>
      </c>
      <c r="DD14" s="123" t="n">
        <f aca="false">MIN($V$5,DC14)</f>
        <v>1.09580058925288</v>
      </c>
      <c r="DF14" s="112" t="n">
        <f aca="false">DF13+DF$7/100</f>
        <v>0.12</v>
      </c>
      <c r="DG14" s="122" t="n">
        <f aca="false">DF14+IF($I$3="Forward", $D$9, $G$9)</f>
        <v>0.12</v>
      </c>
      <c r="DH14" s="112" t="n">
        <f aca="false">DF14*TAN(RADIANS(DJ$7))-(IF($B$4, 9.807, 32.174)*DF14^2)/(2*DI$7^2*COS(RADIANS(DJ$7))^2)+$D$7</f>
        <v>1.09580058925288</v>
      </c>
      <c r="DI14" s="123" t="n">
        <f aca="false">MIN($V$5,DH14)</f>
        <v>1.09580058925288</v>
      </c>
      <c r="DK14" s="112" t="n">
        <f aca="false">DK13+DK$7/100</f>
        <v>0.12</v>
      </c>
      <c r="DL14" s="112" t="n">
        <f aca="false">DK14</f>
        <v>0.12</v>
      </c>
      <c r="DM14" s="112" t="n">
        <f aca="false">DK14*TAN(RADIANS(DO$7))-(IF($B$4, 9.807, 32.174)*DK14^2)/(2*DN$7^2*COS(RADIANS(DO$7))^2)+$D$7</f>
        <v>1.09580058925288</v>
      </c>
      <c r="DN14" s="123" t="n">
        <f aca="false">MIN($V$5,DM14)</f>
        <v>1.09580058925288</v>
      </c>
      <c r="DP14" s="112" t="n">
        <f aca="false">DP13+DP$7/100</f>
        <v>0.12</v>
      </c>
      <c r="DQ14" s="122" t="n">
        <f aca="false">DP14-IF($I$3="Forward", $D$9, $G$9)</f>
        <v>0.12</v>
      </c>
      <c r="DR14" s="112" t="n">
        <f aca="false">DP14*TAN(RADIANS(DT$7))-(IF($B$4, 9.807, 32.174)*DP14^2)/(2*DS$7^2*COS(RADIANS(DT$7))^2)+$D$7</f>
        <v>1.09580058925288</v>
      </c>
      <c r="DS14" s="123" t="n">
        <f aca="false">MIN($V$5,DR14)</f>
        <v>1.09580058925288</v>
      </c>
      <c r="DU14" s="112" t="n">
        <f aca="false">DU13+DU$7/100</f>
        <v>0.12</v>
      </c>
      <c r="DV14" s="122" t="n">
        <f aca="false">DU14+IF($I$3="Forward", $D$9, $G$9)</f>
        <v>0.12</v>
      </c>
      <c r="DW14" s="112" t="n">
        <f aca="false">DU14*TAN(RADIANS(DY$7))-(IF($B$4, 9.807, 32.174)*DU14^2)/(2*DX$7^2*COS(RADIANS(DY$7))^2)+$D$7</f>
        <v>1.09580058925288</v>
      </c>
      <c r="DX14" s="123" t="n">
        <f aca="false">MIN($V$5,DW14)</f>
        <v>1.09580058925288</v>
      </c>
      <c r="DZ14" s="112" t="n">
        <f aca="false">DZ13+DZ$7/100</f>
        <v>0.12</v>
      </c>
      <c r="EA14" s="112" t="n">
        <f aca="false">DZ14</f>
        <v>0.12</v>
      </c>
      <c r="EB14" s="112" t="n">
        <f aca="false">DZ14*TAN(RADIANS(ED$7))-(IF($B$4, 9.807, 32.174)*DZ14^2)/(2*EC$7^2*COS(RADIANS(ED$7))^2)+$D$7</f>
        <v>1.09580058925288</v>
      </c>
      <c r="EC14" s="123" t="n">
        <f aca="false">MIN($V$5,EB14)</f>
        <v>1.09580058925288</v>
      </c>
      <c r="EE14" s="112" t="n">
        <f aca="false">EE13+EE$7/100</f>
        <v>0.12</v>
      </c>
      <c r="EF14" s="122" t="n">
        <f aca="false">EE14-IF($I$3="Forward", $D$9, $G$9)</f>
        <v>0.12</v>
      </c>
      <c r="EG14" s="112" t="n">
        <f aca="false">EE14*TAN(RADIANS(EI$7))-(IF($B$4, 9.807, 32.174)*EE14^2)/(2*EH$7^2*COS(RADIANS(EI$7))^2)+$D$7</f>
        <v>1.09580058925288</v>
      </c>
      <c r="EH14" s="123" t="n">
        <f aca="false">MIN($V$5,EG14)</f>
        <v>1.09580058925288</v>
      </c>
      <c r="EJ14" s="112" t="n">
        <f aca="false">EJ13+EJ$7/100</f>
        <v>0.12</v>
      </c>
      <c r="EK14" s="122" t="n">
        <f aca="false">EJ14+IF($I$3="Forward", $D$9, $G$9)</f>
        <v>0.12</v>
      </c>
      <c r="EL14" s="112" t="n">
        <f aca="false">EJ14*TAN(RADIANS(EN$7))-(IF($B$4, 9.807, 32.174)*EJ14^2)/(2*EM$7^2*COS(RADIANS(EN$7))^2)+$D$7</f>
        <v>1.09580058925288</v>
      </c>
      <c r="EM14" s="123" t="n">
        <f aca="false">MIN($V$5,EL14)</f>
        <v>1.09580058925288</v>
      </c>
      <c r="EO14" s="112" t="n">
        <f aca="false">EO13+EO$7/100</f>
        <v>0.12</v>
      </c>
      <c r="EP14" s="112" t="n">
        <f aca="false">EO14</f>
        <v>0.12</v>
      </c>
      <c r="EQ14" s="112" t="n">
        <f aca="false">EO14*TAN(RADIANS(ES$7))-(IF($B$4, 9.807, 32.174)*EO14^2)/(2*ER$7^2*COS(RADIANS(ES$7))^2)+$D$7</f>
        <v>1.09580058925288</v>
      </c>
      <c r="ER14" s="123" t="n">
        <f aca="false">MIN($V$5,EQ14)</f>
        <v>1.09580058925288</v>
      </c>
      <c r="ET14" s="112" t="n">
        <f aca="false">ET13+ET$7/100</f>
        <v>0.12</v>
      </c>
      <c r="EU14" s="122" t="n">
        <f aca="false">ET14-IF($I$3="Forward", $D$9, $G$9)</f>
        <v>0.12</v>
      </c>
      <c r="EV14" s="112" t="n">
        <f aca="false">ET14*TAN(RADIANS(EX$7))-(IF($B$4, 9.807, 32.174)*ET14^2)/(2*EW$7^2*COS(RADIANS(EX$7))^2)+$D$7</f>
        <v>1.09580058925288</v>
      </c>
      <c r="EW14" s="123" t="n">
        <f aca="false">MIN($V$5,EV14)</f>
        <v>1.09580058925288</v>
      </c>
    </row>
    <row r="15" customFormat="false" ht="14.45" hidden="false" customHeight="true" outlineLevel="0" collapsed="false">
      <c r="C15" s="119" t="str">
        <f aca="false">"Obstacle Distance (" &amp; IF($B$4, "m", "ft") &amp; ")"</f>
        <v>Obstacle Distance (m)</v>
      </c>
      <c r="D15" s="96" t="n">
        <v>0</v>
      </c>
      <c r="F15" s="119" t="str">
        <f aca="false">"Obstacle Distance (" &amp; IF($B$4, "m", "ft") &amp; ")"</f>
        <v>Obstacle Distance (m)</v>
      </c>
      <c r="G15" s="96" t="n">
        <v>1</v>
      </c>
      <c r="N15" s="130" t="n">
        <f aca="false">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P15" s="111" t="n">
        <f aca="false">IF($I$3="Forward", IF(OR(ISBLANK(D15), ISBLANK(D16), D15=0, D16=0), 0, D16), IF(OR(ISBLANK(G15), ISBLANK(G16), G15=0, G16=0), 0, G16))</f>
        <v>2</v>
      </c>
      <c r="Q15" s="111" t="n">
        <f aca="false">IF($I$3="Forward", IF(OR(ISBLANK(D15), ISBLANK(D16), D15=0, D16=0), 0, D15), IF(OR(ISBLANK(G15), ISBLANK(G16), G15=0, G16=0), 0, G15))</f>
        <v>1</v>
      </c>
      <c r="T15" s="112" t="n">
        <f aca="false">T14+T$7/100</f>
        <v>0.14</v>
      </c>
      <c r="U15" s="122" t="n">
        <f aca="false">T15+IF($I$3="Forward", $D$9, $G$9)</f>
        <v>0.14</v>
      </c>
      <c r="V15" s="112" t="n">
        <f aca="false">T15*TAN(RADIANS(X$7))-(IF($B$4, 9.807, 32.174)*T15^2)/(2*W$7^2*COS(RADIANS(X$7))^2)+$D$7</f>
        <v>1.23562089291423</v>
      </c>
      <c r="W15" s="123" t="n">
        <f aca="false">MIN($V$5,V15)</f>
        <v>1.23562089291423</v>
      </c>
      <c r="Y15" s="112" t="n">
        <f aca="false">Y14+Y$7/100</f>
        <v>0.14</v>
      </c>
      <c r="Z15" s="112" t="n">
        <f aca="false">Y15</f>
        <v>0.14</v>
      </c>
      <c r="AA15" s="112" t="n">
        <f aca="false">Y15*TAN(RADIANS(AC$7))-(IF($B$4, 9.807, 32.174)*Y15^2)/(2*AB$7^2*COS(RADIANS(AC$7))^2)+$D$7</f>
        <v>1.23562089291423</v>
      </c>
      <c r="AB15" s="123" t="n">
        <f aca="false">MIN($V$5,AA15)</f>
        <v>1.23562089291423</v>
      </c>
      <c r="AD15" s="112" t="n">
        <f aca="false">AD14+AD$7/100</f>
        <v>0.14</v>
      </c>
      <c r="AE15" s="122" t="n">
        <f aca="false">AD15-IF($I$3="Forward", $D$9, $G$9)</f>
        <v>0.14</v>
      </c>
      <c r="AF15" s="112" t="n">
        <f aca="false">AD15*TAN(RADIANS(AH$7))-(IF($B$4, 9.807, 32.174)*AD15^2)/(2*AG$7^2*COS(RADIANS(AH$7))^2)+$D$7</f>
        <v>1.23562089291423</v>
      </c>
      <c r="AG15" s="123" t="n">
        <f aca="false">MIN($V$5,AF15)</f>
        <v>1.23562089291423</v>
      </c>
      <c r="AI15" s="112" t="n">
        <f aca="false">AI14+AI$7/100</f>
        <v>0.14</v>
      </c>
      <c r="AJ15" s="122" t="n">
        <f aca="false">AI15+IF($I$3="Forward", $D$9, $G$9)</f>
        <v>0.14</v>
      </c>
      <c r="AK15" s="112" t="n">
        <f aca="false">AI15*TAN(RADIANS(AM$7))-(IF($B$4, 9.807, 32.174)*AI15^2)/(2*AL$7^2*COS(RADIANS(AM$7))^2)+$D$7</f>
        <v>1.23562089291423</v>
      </c>
      <c r="AL15" s="123" t="n">
        <f aca="false">MIN($V$5,AK15)</f>
        <v>1.23562089291423</v>
      </c>
      <c r="AN15" s="112" t="n">
        <f aca="false">AN14+AN$7/100</f>
        <v>0.14</v>
      </c>
      <c r="AO15" s="112" t="n">
        <f aca="false">AN15</f>
        <v>0.14</v>
      </c>
      <c r="AP15" s="112" t="n">
        <f aca="false">AN15*TAN(RADIANS(AR$7))-(IF($B$4, 9.807, 32.174)*AN15^2)/(2*AQ$7^2*COS(RADIANS(AR$7))^2)+$D$7</f>
        <v>1.23562089291423</v>
      </c>
      <c r="AQ15" s="123" t="n">
        <f aca="false">MIN($V$5,AP15)</f>
        <v>1.23562089291423</v>
      </c>
      <c r="AS15" s="112" t="n">
        <f aca="false">AS14+AS$7/100</f>
        <v>0.14</v>
      </c>
      <c r="AT15" s="122" t="n">
        <f aca="false">AS15-IF($I$3="Forward", $D$9, $G$9)</f>
        <v>0.14</v>
      </c>
      <c r="AU15" s="112" t="n">
        <f aca="false">AS15*TAN(RADIANS(AW$7))-(IF($B$4, 9.807, 32.174)*AS15^2)/(2*AV$7^2*COS(RADIANS(AW$7))^2)+$D$7</f>
        <v>1.23562089291423</v>
      </c>
      <c r="AV15" s="123" t="n">
        <f aca="false">MIN($V$5,AU15)</f>
        <v>1.23562089291423</v>
      </c>
      <c r="AX15" s="112" t="n">
        <f aca="false">AX14+AX$7/100</f>
        <v>0.14</v>
      </c>
      <c r="AY15" s="122" t="n">
        <f aca="false">AX15+IF($I$3="Forward", $D$9, $G$9)</f>
        <v>0.14</v>
      </c>
      <c r="AZ15" s="112" t="n">
        <f aca="false">AX15*TAN(RADIANS(BB$7))-(IF($B$4, 9.807, 32.174)*AX15^2)/(2*BA$7^2*COS(RADIANS(BB$7))^2)+$D$7</f>
        <v>1.23562089291423</v>
      </c>
      <c r="BA15" s="123" t="n">
        <f aca="false">MIN($V$5,AZ15)</f>
        <v>1.23562089291423</v>
      </c>
      <c r="BC15" s="112" t="n">
        <f aca="false">BC14+BC$7/100</f>
        <v>0.14</v>
      </c>
      <c r="BD15" s="112" t="n">
        <f aca="false">BC15</f>
        <v>0.14</v>
      </c>
      <c r="BE15" s="112" t="n">
        <f aca="false">BC15*TAN(RADIANS(BG$7))-(IF($B$4, 9.807, 32.174)*BC15^2)/(2*BF$7^2*COS(RADIANS(BG$7))^2)+$D$7</f>
        <v>1.23562089291423</v>
      </c>
      <c r="BF15" s="123" t="n">
        <f aca="false">MIN($V$5,BE15)</f>
        <v>1.23562089291423</v>
      </c>
      <c r="BH15" s="112" t="n">
        <f aca="false">BH14+BH$7/100</f>
        <v>0.14</v>
      </c>
      <c r="BI15" s="122" t="n">
        <f aca="false">BH15-IF($I$3="Forward", $D$9, $G$9)</f>
        <v>0.14</v>
      </c>
      <c r="BJ15" s="112" t="n">
        <f aca="false">BH15*TAN(RADIANS(BL$7))-(IF($B$4, 9.807, 32.174)*BH15^2)/(2*BK$7^2*COS(RADIANS(BL$7))^2)+$D$7</f>
        <v>1.23562089291423</v>
      </c>
      <c r="BK15" s="123" t="n">
        <f aca="false">MIN($V$5,BJ15)</f>
        <v>1.23562089291423</v>
      </c>
      <c r="BM15" s="112" t="n">
        <f aca="false">BM14+BM$7/100</f>
        <v>0.14</v>
      </c>
      <c r="BN15" s="122" t="n">
        <f aca="false">BM15+IF($I$3="Forward", $D$9, $G$9)</f>
        <v>0.14</v>
      </c>
      <c r="BO15" s="112" t="n">
        <f aca="false">BM15*TAN(RADIANS(BQ$7))-(IF($B$4, 9.807, 32.174)*BM15^2)/(2*BP$7^2*COS(RADIANS(BQ$7))^2)+$D$7</f>
        <v>1.23562089291423</v>
      </c>
      <c r="BP15" s="123" t="n">
        <f aca="false">MIN($V$5,BO15)</f>
        <v>1.23562089291423</v>
      </c>
      <c r="BR15" s="112" t="n">
        <f aca="false">BR14+BR$7/100</f>
        <v>0.14</v>
      </c>
      <c r="BS15" s="112" t="n">
        <f aca="false">BR15</f>
        <v>0.14</v>
      </c>
      <c r="BT15" s="112" t="n">
        <f aca="false">BR15*TAN(RADIANS(BV$7))-(IF($B$4, 9.807, 32.174)*BR15^2)/(2*BU$7^2*COS(RADIANS(BV$7))^2)+$D$7</f>
        <v>1.23562089291423</v>
      </c>
      <c r="BU15" s="123" t="n">
        <f aca="false">MIN($V$5,BT15)</f>
        <v>1.23562089291423</v>
      </c>
      <c r="BW15" s="112" t="n">
        <f aca="false">BW14+BW$7/100</f>
        <v>0.14</v>
      </c>
      <c r="BX15" s="122" t="n">
        <f aca="false">BW15-IF($I$3="Forward", $D$9, $G$9)</f>
        <v>0.14</v>
      </c>
      <c r="BY15" s="112" t="n">
        <f aca="false">BW15*TAN(RADIANS(CA$7))-(IF($B$4, 9.807, 32.174)*BW15^2)/(2*BZ$7^2*COS(RADIANS(CA$7))^2)+$D$7</f>
        <v>1.23562089291423</v>
      </c>
      <c r="BZ15" s="123" t="n">
        <f aca="false">MIN($V$5,BY15)</f>
        <v>1.23562089291423</v>
      </c>
      <c r="CB15" s="112" t="n">
        <f aca="false">CB14+CB$7/100</f>
        <v>0.14</v>
      </c>
      <c r="CC15" s="122" t="n">
        <f aca="false">CB15+IF($I$3="Forward", $D$9, $G$9)</f>
        <v>0.14</v>
      </c>
      <c r="CD15" s="112" t="n">
        <f aca="false">CB15*TAN(RADIANS(CF$7))-(IF($B$4, 9.807, 32.174)*CB15^2)/(2*CE$7^2*COS(RADIANS(CF$7))^2)+$D$7</f>
        <v>1.23562089291423</v>
      </c>
      <c r="CE15" s="123" t="n">
        <f aca="false">MIN($V$5,CD15)</f>
        <v>1.23562089291423</v>
      </c>
      <c r="CG15" s="124" t="n">
        <f aca="false">CG14+CG$7/100</f>
        <v>0.14</v>
      </c>
      <c r="CH15" s="124" t="n">
        <f aca="false">CG15</f>
        <v>0.14</v>
      </c>
      <c r="CI15" s="124" t="n">
        <f aca="false">CG15*TAN(RADIANS(CK$7))-(IF($B$4, 9.807, 32.174)*CG15^2)/(2*CJ$7^2*COS(RADIANS(CK$7))^2)+$D$7</f>
        <v>1.23562089291423</v>
      </c>
      <c r="CJ15" s="123" t="n">
        <f aca="false">MIN($V$5,CI15)</f>
        <v>1.23562089291423</v>
      </c>
      <c r="CK15" s="124"/>
      <c r="CL15" s="112" t="n">
        <f aca="false">CL14+CL$7/100</f>
        <v>0.14</v>
      </c>
      <c r="CM15" s="122" t="n">
        <f aca="false">CL15-IF($I$3="Forward", $D$9, $G$9)</f>
        <v>0.14</v>
      </c>
      <c r="CN15" s="112" t="n">
        <f aca="false">CL15*TAN(RADIANS(CP$7))-(IF($B$4, 9.807, 32.174)*CL15^2)/(2*CO$7^2*COS(RADIANS(CP$7))^2)+$D$7</f>
        <v>1.23562089291423</v>
      </c>
      <c r="CO15" s="123" t="n">
        <f aca="false">MIN($V$5,CN15)</f>
        <v>1.23562089291423</v>
      </c>
      <c r="CQ15" s="112" t="n">
        <f aca="false">CQ14+CQ$7/100</f>
        <v>0.14</v>
      </c>
      <c r="CR15" s="122" t="n">
        <f aca="false">CQ15+IF($I$3="Forward", $D$9, $G$9)</f>
        <v>0.14</v>
      </c>
      <c r="CS15" s="112" t="n">
        <f aca="false">CQ15*TAN(RADIANS(CU$7))-(IF($B$4, 9.807, 32.174)*CQ15^2)/(2*CT$7^2*COS(RADIANS(CU$7))^2)+$D$7</f>
        <v>1.23562089291423</v>
      </c>
      <c r="CT15" s="123" t="n">
        <f aca="false">MIN($V$5,CS15)</f>
        <v>1.23562089291423</v>
      </c>
      <c r="CV15" s="112" t="n">
        <f aca="false">CV14+CV$7/100</f>
        <v>0.14</v>
      </c>
      <c r="CW15" s="112" t="n">
        <f aca="false">CV15</f>
        <v>0.14</v>
      </c>
      <c r="CX15" s="112" t="n">
        <f aca="false">CV15*TAN(RADIANS(CZ$7))-(IF($B$4, 9.807, 32.174)*CV15^2)/(2*CY$7^2*COS(RADIANS(CZ$7))^2)+$D$7</f>
        <v>1.23562089291423</v>
      </c>
      <c r="CY15" s="123" t="n">
        <f aca="false">MIN($V$5,CX15)</f>
        <v>1.23562089291423</v>
      </c>
      <c r="DA15" s="112" t="n">
        <f aca="false">DA14+DA$7/100</f>
        <v>0.14</v>
      </c>
      <c r="DB15" s="122" t="n">
        <f aca="false">DA15-IF($I$3="Forward", $D$9, $G$9)</f>
        <v>0.14</v>
      </c>
      <c r="DC15" s="112" t="n">
        <f aca="false">DA15*TAN(RADIANS(DE$7))-(IF($B$4, 9.807, 32.174)*DA15^2)/(2*DD$7^2*COS(RADIANS(DE$7))^2)+$D$7</f>
        <v>1.23562089291423</v>
      </c>
      <c r="DD15" s="123" t="n">
        <f aca="false">MIN($V$5,DC15)</f>
        <v>1.23562089291423</v>
      </c>
      <c r="DF15" s="112" t="n">
        <f aca="false">DF14+DF$7/100</f>
        <v>0.14</v>
      </c>
      <c r="DG15" s="122" t="n">
        <f aca="false">DF15+IF($I$3="Forward", $D$9, $G$9)</f>
        <v>0.14</v>
      </c>
      <c r="DH15" s="112" t="n">
        <f aca="false">DF15*TAN(RADIANS(DJ$7))-(IF($B$4, 9.807, 32.174)*DF15^2)/(2*DI$7^2*COS(RADIANS(DJ$7))^2)+$D$7</f>
        <v>1.23562089291423</v>
      </c>
      <c r="DI15" s="123" t="n">
        <f aca="false">MIN($V$5,DH15)</f>
        <v>1.23562089291423</v>
      </c>
      <c r="DK15" s="112" t="n">
        <f aca="false">DK14+DK$7/100</f>
        <v>0.14</v>
      </c>
      <c r="DL15" s="112" t="n">
        <f aca="false">DK15</f>
        <v>0.14</v>
      </c>
      <c r="DM15" s="112" t="n">
        <f aca="false">DK15*TAN(RADIANS(DO$7))-(IF($B$4, 9.807, 32.174)*DK15^2)/(2*DN$7^2*COS(RADIANS(DO$7))^2)+$D$7</f>
        <v>1.23562089291423</v>
      </c>
      <c r="DN15" s="123" t="n">
        <f aca="false">MIN($V$5,DM15)</f>
        <v>1.23562089291423</v>
      </c>
      <c r="DP15" s="112" t="n">
        <f aca="false">DP14+DP$7/100</f>
        <v>0.14</v>
      </c>
      <c r="DQ15" s="122" t="n">
        <f aca="false">DP15-IF($I$3="Forward", $D$9, $G$9)</f>
        <v>0.14</v>
      </c>
      <c r="DR15" s="112" t="n">
        <f aca="false">DP15*TAN(RADIANS(DT$7))-(IF($B$4, 9.807, 32.174)*DP15^2)/(2*DS$7^2*COS(RADIANS(DT$7))^2)+$D$7</f>
        <v>1.23562089291423</v>
      </c>
      <c r="DS15" s="123" t="n">
        <f aca="false">MIN($V$5,DR15)</f>
        <v>1.23562089291423</v>
      </c>
      <c r="DU15" s="112" t="n">
        <f aca="false">DU14+DU$7/100</f>
        <v>0.14</v>
      </c>
      <c r="DV15" s="122" t="n">
        <f aca="false">DU15+IF($I$3="Forward", $D$9, $G$9)</f>
        <v>0.14</v>
      </c>
      <c r="DW15" s="112" t="n">
        <f aca="false">DU15*TAN(RADIANS(DY$7))-(IF($B$4, 9.807, 32.174)*DU15^2)/(2*DX$7^2*COS(RADIANS(DY$7))^2)+$D$7</f>
        <v>1.23562089291423</v>
      </c>
      <c r="DX15" s="123" t="n">
        <f aca="false">MIN($V$5,DW15)</f>
        <v>1.23562089291423</v>
      </c>
      <c r="DZ15" s="112" t="n">
        <f aca="false">DZ14+DZ$7/100</f>
        <v>0.14</v>
      </c>
      <c r="EA15" s="112" t="n">
        <f aca="false">DZ15</f>
        <v>0.14</v>
      </c>
      <c r="EB15" s="112" t="n">
        <f aca="false">DZ15*TAN(RADIANS(ED$7))-(IF($B$4, 9.807, 32.174)*DZ15^2)/(2*EC$7^2*COS(RADIANS(ED$7))^2)+$D$7</f>
        <v>1.23562089291423</v>
      </c>
      <c r="EC15" s="123" t="n">
        <f aca="false">MIN($V$5,EB15)</f>
        <v>1.23562089291423</v>
      </c>
      <c r="EE15" s="112" t="n">
        <f aca="false">EE14+EE$7/100</f>
        <v>0.14</v>
      </c>
      <c r="EF15" s="122" t="n">
        <f aca="false">EE15-IF($I$3="Forward", $D$9, $G$9)</f>
        <v>0.14</v>
      </c>
      <c r="EG15" s="112" t="n">
        <f aca="false">EE15*TAN(RADIANS(EI$7))-(IF($B$4, 9.807, 32.174)*EE15^2)/(2*EH$7^2*COS(RADIANS(EI$7))^2)+$D$7</f>
        <v>1.23562089291423</v>
      </c>
      <c r="EH15" s="123" t="n">
        <f aca="false">MIN($V$5,EG15)</f>
        <v>1.23562089291423</v>
      </c>
      <c r="EJ15" s="112" t="n">
        <f aca="false">EJ14+EJ$7/100</f>
        <v>0.14</v>
      </c>
      <c r="EK15" s="122" t="n">
        <f aca="false">EJ15+IF($I$3="Forward", $D$9, $G$9)</f>
        <v>0.14</v>
      </c>
      <c r="EL15" s="112" t="n">
        <f aca="false">EJ15*TAN(RADIANS(EN$7))-(IF($B$4, 9.807, 32.174)*EJ15^2)/(2*EM$7^2*COS(RADIANS(EN$7))^2)+$D$7</f>
        <v>1.23562089291423</v>
      </c>
      <c r="EM15" s="123" t="n">
        <f aca="false">MIN($V$5,EL15)</f>
        <v>1.23562089291423</v>
      </c>
      <c r="EO15" s="112" t="n">
        <f aca="false">EO14+EO$7/100</f>
        <v>0.14</v>
      </c>
      <c r="EP15" s="112" t="n">
        <f aca="false">EO15</f>
        <v>0.14</v>
      </c>
      <c r="EQ15" s="112" t="n">
        <f aca="false">EO15*TAN(RADIANS(ES$7))-(IF($B$4, 9.807, 32.174)*EO15^2)/(2*ER$7^2*COS(RADIANS(ES$7))^2)+$D$7</f>
        <v>1.23562089291423</v>
      </c>
      <c r="ER15" s="123" t="n">
        <f aca="false">MIN($V$5,EQ15)</f>
        <v>1.23562089291423</v>
      </c>
      <c r="ET15" s="112" t="n">
        <f aca="false">ET14+ET$7/100</f>
        <v>0.14</v>
      </c>
      <c r="EU15" s="122" t="n">
        <f aca="false">ET15-IF($I$3="Forward", $D$9, $G$9)</f>
        <v>0.14</v>
      </c>
      <c r="EV15" s="112" t="n">
        <f aca="false">ET15*TAN(RADIANS(EX$7))-(IF($B$4, 9.807, 32.174)*ET15^2)/(2*EW$7^2*COS(RADIANS(EX$7))^2)+$D$7</f>
        <v>1.23562089291423</v>
      </c>
      <c r="EW15" s="123" t="n">
        <f aca="false">MIN($V$5,EV15)</f>
        <v>1.23562089291423</v>
      </c>
    </row>
    <row r="16" customFormat="false" ht="15" hidden="false" customHeight="false" outlineLevel="0" collapsed="false">
      <c r="C16" s="119" t="str">
        <f aca="false">"Obstacle Height (" &amp; IF($B$4, "m", "ft") &amp; ")"</f>
        <v>Obstacle Height (m)</v>
      </c>
      <c r="D16" s="96" t="n">
        <v>0</v>
      </c>
      <c r="F16" s="119" t="str">
        <f aca="false">"Obstacle Height (" &amp; IF($B$4, "m", "ft") &amp; ")"</f>
        <v>Obstacle Height (m)</v>
      </c>
      <c r="G16" s="96" t="n">
        <v>2</v>
      </c>
      <c r="T16" s="112" t="n">
        <f aca="false">T15+T$7/100</f>
        <v>0.16</v>
      </c>
      <c r="U16" s="122" t="n">
        <f aca="false">T16+IF($I$3="Forward", $D$9, $G$9)</f>
        <v>0.16</v>
      </c>
      <c r="V16" s="112" t="n">
        <f aca="false">T16*TAN(RADIANS(X$7))-(IF($B$4, 9.807, 32.174)*T16^2)/(2*W$7^2*COS(RADIANS(X$7))^2)+$D$7</f>
        <v>1.37273268384773</v>
      </c>
      <c r="W16" s="123" t="n">
        <f aca="false">MIN($V$5,V16)</f>
        <v>1.37273268384773</v>
      </c>
      <c r="Y16" s="112" t="n">
        <f aca="false">Y15+Y$7/100</f>
        <v>0.16</v>
      </c>
      <c r="Z16" s="112" t="n">
        <f aca="false">Y16</f>
        <v>0.16</v>
      </c>
      <c r="AA16" s="112" t="n">
        <f aca="false">Y16*TAN(RADIANS(AC$7))-(IF($B$4, 9.807, 32.174)*Y16^2)/(2*AB$7^2*COS(RADIANS(AC$7))^2)+$D$7</f>
        <v>1.37273268384773</v>
      </c>
      <c r="AB16" s="123" t="n">
        <f aca="false">MIN($V$5,AA16)</f>
        <v>1.37273268384773</v>
      </c>
      <c r="AD16" s="112" t="n">
        <f aca="false">AD15+AD$7/100</f>
        <v>0.16</v>
      </c>
      <c r="AE16" s="122" t="n">
        <f aca="false">AD16-IF($I$3="Forward", $D$9, $G$9)</f>
        <v>0.16</v>
      </c>
      <c r="AF16" s="112" t="n">
        <f aca="false">AD16*TAN(RADIANS(AH$7))-(IF($B$4, 9.807, 32.174)*AD16^2)/(2*AG$7^2*COS(RADIANS(AH$7))^2)+$D$7</f>
        <v>1.37273268384773</v>
      </c>
      <c r="AG16" s="123" t="n">
        <f aca="false">MIN($V$5,AF16)</f>
        <v>1.37273268384773</v>
      </c>
      <c r="AI16" s="112" t="n">
        <f aca="false">AI15+AI$7/100</f>
        <v>0.16</v>
      </c>
      <c r="AJ16" s="122" t="n">
        <f aca="false">AI16+IF($I$3="Forward", $D$9, $G$9)</f>
        <v>0.16</v>
      </c>
      <c r="AK16" s="112" t="n">
        <f aca="false">AI16*TAN(RADIANS(AM$7))-(IF($B$4, 9.807, 32.174)*AI16^2)/(2*AL$7^2*COS(RADIANS(AM$7))^2)+$D$7</f>
        <v>1.37273268384773</v>
      </c>
      <c r="AL16" s="123" t="n">
        <f aca="false">MIN($V$5,AK16)</f>
        <v>1.37273268384773</v>
      </c>
      <c r="AN16" s="112" t="n">
        <f aca="false">AN15+AN$7/100</f>
        <v>0.16</v>
      </c>
      <c r="AO16" s="112" t="n">
        <f aca="false">AN16</f>
        <v>0.16</v>
      </c>
      <c r="AP16" s="112" t="n">
        <f aca="false">AN16*TAN(RADIANS(AR$7))-(IF($B$4, 9.807, 32.174)*AN16^2)/(2*AQ$7^2*COS(RADIANS(AR$7))^2)+$D$7</f>
        <v>1.37273268384773</v>
      </c>
      <c r="AQ16" s="123" t="n">
        <f aca="false">MIN($V$5,AP16)</f>
        <v>1.37273268384773</v>
      </c>
      <c r="AS16" s="112" t="n">
        <f aca="false">AS15+AS$7/100</f>
        <v>0.16</v>
      </c>
      <c r="AT16" s="122" t="n">
        <f aca="false">AS16-IF($I$3="Forward", $D$9, $G$9)</f>
        <v>0.16</v>
      </c>
      <c r="AU16" s="112" t="n">
        <f aca="false">AS16*TAN(RADIANS(AW$7))-(IF($B$4, 9.807, 32.174)*AS16^2)/(2*AV$7^2*COS(RADIANS(AW$7))^2)+$D$7</f>
        <v>1.37273268384773</v>
      </c>
      <c r="AV16" s="123" t="n">
        <f aca="false">MIN($V$5,AU16)</f>
        <v>1.37273268384773</v>
      </c>
      <c r="AX16" s="112" t="n">
        <f aca="false">AX15+AX$7/100</f>
        <v>0.16</v>
      </c>
      <c r="AY16" s="122" t="n">
        <f aca="false">AX16+IF($I$3="Forward", $D$9, $G$9)</f>
        <v>0.16</v>
      </c>
      <c r="AZ16" s="112" t="n">
        <f aca="false">AX16*TAN(RADIANS(BB$7))-(IF($B$4, 9.807, 32.174)*AX16^2)/(2*BA$7^2*COS(RADIANS(BB$7))^2)+$D$7</f>
        <v>1.37273268384773</v>
      </c>
      <c r="BA16" s="123" t="n">
        <f aca="false">MIN($V$5,AZ16)</f>
        <v>1.37273268384773</v>
      </c>
      <c r="BC16" s="112" t="n">
        <f aca="false">BC15+BC$7/100</f>
        <v>0.16</v>
      </c>
      <c r="BD16" s="112" t="n">
        <f aca="false">BC16</f>
        <v>0.16</v>
      </c>
      <c r="BE16" s="112" t="n">
        <f aca="false">BC16*TAN(RADIANS(BG$7))-(IF($B$4, 9.807, 32.174)*BC16^2)/(2*BF$7^2*COS(RADIANS(BG$7))^2)+$D$7</f>
        <v>1.37273268384773</v>
      </c>
      <c r="BF16" s="123" t="n">
        <f aca="false">MIN($V$5,BE16)</f>
        <v>1.37273268384773</v>
      </c>
      <c r="BH16" s="112" t="n">
        <f aca="false">BH15+BH$7/100</f>
        <v>0.16</v>
      </c>
      <c r="BI16" s="122" t="n">
        <f aca="false">BH16-IF($I$3="Forward", $D$9, $G$9)</f>
        <v>0.16</v>
      </c>
      <c r="BJ16" s="112" t="n">
        <f aca="false">BH16*TAN(RADIANS(BL$7))-(IF($B$4, 9.807, 32.174)*BH16^2)/(2*BK$7^2*COS(RADIANS(BL$7))^2)+$D$7</f>
        <v>1.37273268384773</v>
      </c>
      <c r="BK16" s="123" t="n">
        <f aca="false">MIN($V$5,BJ16)</f>
        <v>1.37273268384773</v>
      </c>
      <c r="BM16" s="112" t="n">
        <f aca="false">BM15+BM$7/100</f>
        <v>0.16</v>
      </c>
      <c r="BN16" s="122" t="n">
        <f aca="false">BM16+IF($I$3="Forward", $D$9, $G$9)</f>
        <v>0.16</v>
      </c>
      <c r="BO16" s="112" t="n">
        <f aca="false">BM16*TAN(RADIANS(BQ$7))-(IF($B$4, 9.807, 32.174)*BM16^2)/(2*BP$7^2*COS(RADIANS(BQ$7))^2)+$D$7</f>
        <v>1.37273268384773</v>
      </c>
      <c r="BP16" s="123" t="n">
        <f aca="false">MIN($V$5,BO16)</f>
        <v>1.37273268384773</v>
      </c>
      <c r="BR16" s="112" t="n">
        <f aca="false">BR15+BR$7/100</f>
        <v>0.16</v>
      </c>
      <c r="BS16" s="112" t="n">
        <f aca="false">BR16</f>
        <v>0.16</v>
      </c>
      <c r="BT16" s="112" t="n">
        <f aca="false">BR16*TAN(RADIANS(BV$7))-(IF($B$4, 9.807, 32.174)*BR16^2)/(2*BU$7^2*COS(RADIANS(BV$7))^2)+$D$7</f>
        <v>1.37273268384773</v>
      </c>
      <c r="BU16" s="123" t="n">
        <f aca="false">MIN($V$5,BT16)</f>
        <v>1.37273268384773</v>
      </c>
      <c r="BW16" s="112" t="n">
        <f aca="false">BW15+BW$7/100</f>
        <v>0.16</v>
      </c>
      <c r="BX16" s="122" t="n">
        <f aca="false">BW16-IF($I$3="Forward", $D$9, $G$9)</f>
        <v>0.16</v>
      </c>
      <c r="BY16" s="112" t="n">
        <f aca="false">BW16*TAN(RADIANS(CA$7))-(IF($B$4, 9.807, 32.174)*BW16^2)/(2*BZ$7^2*COS(RADIANS(CA$7))^2)+$D$7</f>
        <v>1.37273268384773</v>
      </c>
      <c r="BZ16" s="123" t="n">
        <f aca="false">MIN($V$5,BY16)</f>
        <v>1.37273268384773</v>
      </c>
      <c r="CB16" s="112" t="n">
        <f aca="false">CB15+CB$7/100</f>
        <v>0.16</v>
      </c>
      <c r="CC16" s="122" t="n">
        <f aca="false">CB16+IF($I$3="Forward", $D$9, $G$9)</f>
        <v>0.16</v>
      </c>
      <c r="CD16" s="112" t="n">
        <f aca="false">CB16*TAN(RADIANS(CF$7))-(IF($B$4, 9.807, 32.174)*CB16^2)/(2*CE$7^2*COS(RADIANS(CF$7))^2)+$D$7</f>
        <v>1.37273268384773</v>
      </c>
      <c r="CE16" s="123" t="n">
        <f aca="false">MIN($V$5,CD16)</f>
        <v>1.37273268384773</v>
      </c>
      <c r="CG16" s="124" t="n">
        <f aca="false">CG15+CG$7/100</f>
        <v>0.16</v>
      </c>
      <c r="CH16" s="124" t="n">
        <f aca="false">CG16</f>
        <v>0.16</v>
      </c>
      <c r="CI16" s="124" t="n">
        <f aca="false">CG16*TAN(RADIANS(CK$7))-(IF($B$4, 9.807, 32.174)*CG16^2)/(2*CJ$7^2*COS(RADIANS(CK$7))^2)+$D$7</f>
        <v>1.37273268384773</v>
      </c>
      <c r="CJ16" s="123" t="n">
        <f aca="false">MIN($V$5,CI16)</f>
        <v>1.37273268384773</v>
      </c>
      <c r="CK16" s="124"/>
      <c r="CL16" s="112" t="n">
        <f aca="false">CL15+CL$7/100</f>
        <v>0.16</v>
      </c>
      <c r="CM16" s="122" t="n">
        <f aca="false">CL16-IF($I$3="Forward", $D$9, $G$9)</f>
        <v>0.16</v>
      </c>
      <c r="CN16" s="112" t="n">
        <f aca="false">CL16*TAN(RADIANS(CP$7))-(IF($B$4, 9.807, 32.174)*CL16^2)/(2*CO$7^2*COS(RADIANS(CP$7))^2)+$D$7</f>
        <v>1.37273268384773</v>
      </c>
      <c r="CO16" s="123" t="n">
        <f aca="false">MIN($V$5,CN16)</f>
        <v>1.37273268384773</v>
      </c>
      <c r="CQ16" s="112" t="n">
        <f aca="false">CQ15+CQ$7/100</f>
        <v>0.16</v>
      </c>
      <c r="CR16" s="122" t="n">
        <f aca="false">CQ16+IF($I$3="Forward", $D$9, $G$9)</f>
        <v>0.16</v>
      </c>
      <c r="CS16" s="112" t="n">
        <f aca="false">CQ16*TAN(RADIANS(CU$7))-(IF($B$4, 9.807, 32.174)*CQ16^2)/(2*CT$7^2*COS(RADIANS(CU$7))^2)+$D$7</f>
        <v>1.37273268384773</v>
      </c>
      <c r="CT16" s="123" t="n">
        <f aca="false">MIN($V$5,CS16)</f>
        <v>1.37273268384773</v>
      </c>
      <c r="CV16" s="112" t="n">
        <f aca="false">CV15+CV$7/100</f>
        <v>0.16</v>
      </c>
      <c r="CW16" s="112" t="n">
        <f aca="false">CV16</f>
        <v>0.16</v>
      </c>
      <c r="CX16" s="112" t="n">
        <f aca="false">CV16*TAN(RADIANS(CZ$7))-(IF($B$4, 9.807, 32.174)*CV16^2)/(2*CY$7^2*COS(RADIANS(CZ$7))^2)+$D$7</f>
        <v>1.37273268384773</v>
      </c>
      <c r="CY16" s="123" t="n">
        <f aca="false">MIN($V$5,CX16)</f>
        <v>1.37273268384773</v>
      </c>
      <c r="DA16" s="112" t="n">
        <f aca="false">DA15+DA$7/100</f>
        <v>0.16</v>
      </c>
      <c r="DB16" s="122" t="n">
        <f aca="false">DA16-IF($I$3="Forward", $D$9, $G$9)</f>
        <v>0.16</v>
      </c>
      <c r="DC16" s="112" t="n">
        <f aca="false">DA16*TAN(RADIANS(DE$7))-(IF($B$4, 9.807, 32.174)*DA16^2)/(2*DD$7^2*COS(RADIANS(DE$7))^2)+$D$7</f>
        <v>1.37273268384773</v>
      </c>
      <c r="DD16" s="123" t="n">
        <f aca="false">MIN($V$5,DC16)</f>
        <v>1.37273268384773</v>
      </c>
      <c r="DF16" s="112" t="n">
        <f aca="false">DF15+DF$7/100</f>
        <v>0.16</v>
      </c>
      <c r="DG16" s="122" t="n">
        <f aca="false">DF16+IF($I$3="Forward", $D$9, $G$9)</f>
        <v>0.16</v>
      </c>
      <c r="DH16" s="112" t="n">
        <f aca="false">DF16*TAN(RADIANS(DJ$7))-(IF($B$4, 9.807, 32.174)*DF16^2)/(2*DI$7^2*COS(RADIANS(DJ$7))^2)+$D$7</f>
        <v>1.37273268384773</v>
      </c>
      <c r="DI16" s="123" t="n">
        <f aca="false">MIN($V$5,DH16)</f>
        <v>1.37273268384773</v>
      </c>
      <c r="DK16" s="112" t="n">
        <f aca="false">DK15+DK$7/100</f>
        <v>0.16</v>
      </c>
      <c r="DL16" s="112" t="n">
        <f aca="false">DK16</f>
        <v>0.16</v>
      </c>
      <c r="DM16" s="112" t="n">
        <f aca="false">DK16*TAN(RADIANS(DO$7))-(IF($B$4, 9.807, 32.174)*DK16^2)/(2*DN$7^2*COS(RADIANS(DO$7))^2)+$D$7</f>
        <v>1.37273268384773</v>
      </c>
      <c r="DN16" s="123" t="n">
        <f aca="false">MIN($V$5,DM16)</f>
        <v>1.37273268384773</v>
      </c>
      <c r="DP16" s="112" t="n">
        <f aca="false">DP15+DP$7/100</f>
        <v>0.16</v>
      </c>
      <c r="DQ16" s="122" t="n">
        <f aca="false">DP16-IF($I$3="Forward", $D$9, $G$9)</f>
        <v>0.16</v>
      </c>
      <c r="DR16" s="112" t="n">
        <f aca="false">DP16*TAN(RADIANS(DT$7))-(IF($B$4, 9.807, 32.174)*DP16^2)/(2*DS$7^2*COS(RADIANS(DT$7))^2)+$D$7</f>
        <v>1.37273268384773</v>
      </c>
      <c r="DS16" s="123" t="n">
        <f aca="false">MIN($V$5,DR16)</f>
        <v>1.37273268384773</v>
      </c>
      <c r="DU16" s="112" t="n">
        <f aca="false">DU15+DU$7/100</f>
        <v>0.16</v>
      </c>
      <c r="DV16" s="122" t="n">
        <f aca="false">DU16+IF($I$3="Forward", $D$9, $G$9)</f>
        <v>0.16</v>
      </c>
      <c r="DW16" s="112" t="n">
        <f aca="false">DU16*TAN(RADIANS(DY$7))-(IF($B$4, 9.807, 32.174)*DU16^2)/(2*DX$7^2*COS(RADIANS(DY$7))^2)+$D$7</f>
        <v>1.37273268384773</v>
      </c>
      <c r="DX16" s="123" t="n">
        <f aca="false">MIN($V$5,DW16)</f>
        <v>1.37273268384773</v>
      </c>
      <c r="DZ16" s="112" t="n">
        <f aca="false">DZ15+DZ$7/100</f>
        <v>0.16</v>
      </c>
      <c r="EA16" s="112" t="n">
        <f aca="false">DZ16</f>
        <v>0.16</v>
      </c>
      <c r="EB16" s="112" t="n">
        <f aca="false">DZ16*TAN(RADIANS(ED$7))-(IF($B$4, 9.807, 32.174)*DZ16^2)/(2*EC$7^2*COS(RADIANS(ED$7))^2)+$D$7</f>
        <v>1.37273268384773</v>
      </c>
      <c r="EC16" s="123" t="n">
        <f aca="false">MIN($V$5,EB16)</f>
        <v>1.37273268384773</v>
      </c>
      <c r="EE16" s="112" t="n">
        <f aca="false">EE15+EE$7/100</f>
        <v>0.16</v>
      </c>
      <c r="EF16" s="122" t="n">
        <f aca="false">EE16-IF($I$3="Forward", $D$9, $G$9)</f>
        <v>0.16</v>
      </c>
      <c r="EG16" s="112" t="n">
        <f aca="false">EE16*TAN(RADIANS(EI$7))-(IF($B$4, 9.807, 32.174)*EE16^2)/(2*EH$7^2*COS(RADIANS(EI$7))^2)+$D$7</f>
        <v>1.37273268384773</v>
      </c>
      <c r="EH16" s="123" t="n">
        <f aca="false">MIN($V$5,EG16)</f>
        <v>1.37273268384773</v>
      </c>
      <c r="EJ16" s="112" t="n">
        <f aca="false">EJ15+EJ$7/100</f>
        <v>0.16</v>
      </c>
      <c r="EK16" s="122" t="n">
        <f aca="false">EJ16+IF($I$3="Forward", $D$9, $G$9)</f>
        <v>0.16</v>
      </c>
      <c r="EL16" s="112" t="n">
        <f aca="false">EJ16*TAN(RADIANS(EN$7))-(IF($B$4, 9.807, 32.174)*EJ16^2)/(2*EM$7^2*COS(RADIANS(EN$7))^2)+$D$7</f>
        <v>1.37273268384773</v>
      </c>
      <c r="EM16" s="123" t="n">
        <f aca="false">MIN($V$5,EL16)</f>
        <v>1.37273268384773</v>
      </c>
      <c r="EO16" s="112" t="n">
        <f aca="false">EO15+EO$7/100</f>
        <v>0.16</v>
      </c>
      <c r="EP16" s="112" t="n">
        <f aca="false">EO16</f>
        <v>0.16</v>
      </c>
      <c r="EQ16" s="112" t="n">
        <f aca="false">EO16*TAN(RADIANS(ES$7))-(IF($B$4, 9.807, 32.174)*EO16^2)/(2*ER$7^2*COS(RADIANS(ES$7))^2)+$D$7</f>
        <v>1.37273268384773</v>
      </c>
      <c r="ER16" s="123" t="n">
        <f aca="false">MIN($V$5,EQ16)</f>
        <v>1.37273268384773</v>
      </c>
      <c r="ET16" s="112" t="n">
        <f aca="false">ET15+ET$7/100</f>
        <v>0.16</v>
      </c>
      <c r="EU16" s="122" t="n">
        <f aca="false">ET16-IF($I$3="Forward", $D$9, $G$9)</f>
        <v>0.16</v>
      </c>
      <c r="EV16" s="112" t="n">
        <f aca="false">ET16*TAN(RADIANS(EX$7))-(IF($B$4, 9.807, 32.174)*ET16^2)/(2*EW$7^2*COS(RADIANS(EX$7))^2)+$D$7</f>
        <v>1.37273268384773</v>
      </c>
      <c r="EW16" s="123" t="n">
        <f aca="false">MIN($V$5,EV16)</f>
        <v>1.37273268384773</v>
      </c>
    </row>
    <row r="17" s="131" customFormat="true" ht="15" hidden="false" customHeight="false" outlineLevel="0" collapsed="false">
      <c r="H17" s="111"/>
      <c r="I17" s="111"/>
      <c r="J17" s="111"/>
      <c r="K17" s="111"/>
      <c r="L17" s="111"/>
      <c r="M17" s="111"/>
      <c r="N17" s="111"/>
      <c r="O17" s="111"/>
      <c r="P17" s="111"/>
      <c r="Q17" s="111"/>
      <c r="R17" s="111"/>
      <c r="S17" s="111"/>
      <c r="T17" s="112" t="n">
        <f aca="false">T16+T$7/100</f>
        <v>0.18</v>
      </c>
      <c r="U17" s="122" t="n">
        <f aca="false">T17+IF($I$3="Forward", $D$9, $G$9)</f>
        <v>0.18</v>
      </c>
      <c r="V17" s="112" t="n">
        <f aca="false">T17*TAN(RADIANS(X$7))-(IF($B$4, 9.807, 32.174)*T17^2)/(2*W$7^2*COS(RADIANS(X$7))^2)+$D$7</f>
        <v>1.50713596205338</v>
      </c>
      <c r="W17" s="123" t="n">
        <f aca="false">MIN($V$5,V17)</f>
        <v>1.50713596205338</v>
      </c>
      <c r="X17" s="112"/>
      <c r="Y17" s="112" t="n">
        <f aca="false">Y16+Y$7/100</f>
        <v>0.18</v>
      </c>
      <c r="Z17" s="112" t="n">
        <f aca="false">Y17</f>
        <v>0.18</v>
      </c>
      <c r="AA17" s="112" t="n">
        <f aca="false">Y17*TAN(RADIANS(AC$7))-(IF($B$4, 9.807, 32.174)*Y17^2)/(2*AB$7^2*COS(RADIANS(AC$7))^2)+$D$7</f>
        <v>1.50713596205338</v>
      </c>
      <c r="AB17" s="123" t="n">
        <f aca="false">MIN($V$5,AA17)</f>
        <v>1.50713596205338</v>
      </c>
      <c r="AC17" s="112"/>
      <c r="AD17" s="112" t="n">
        <f aca="false">AD16+AD$7/100</f>
        <v>0.18</v>
      </c>
      <c r="AE17" s="122" t="n">
        <f aca="false">AD17-IF($I$3="Forward", $D$9, $G$9)</f>
        <v>0.18</v>
      </c>
      <c r="AF17" s="112" t="n">
        <f aca="false">AD17*TAN(RADIANS(AH$7))-(IF($B$4, 9.807, 32.174)*AD17^2)/(2*AG$7^2*COS(RADIANS(AH$7))^2)+$D$7</f>
        <v>1.50713596205338</v>
      </c>
      <c r="AG17" s="123" t="n">
        <f aca="false">MIN($V$5,AF17)</f>
        <v>1.50713596205338</v>
      </c>
      <c r="AH17" s="112"/>
      <c r="AI17" s="112" t="n">
        <f aca="false">AI16+AI$7/100</f>
        <v>0.18</v>
      </c>
      <c r="AJ17" s="122" t="n">
        <f aca="false">AI17+IF($I$3="Forward", $D$9, $G$9)</f>
        <v>0.18</v>
      </c>
      <c r="AK17" s="112" t="n">
        <f aca="false">AI17*TAN(RADIANS(AM$7))-(IF($B$4, 9.807, 32.174)*AI17^2)/(2*AL$7^2*COS(RADIANS(AM$7))^2)+$D$7</f>
        <v>1.50713596205338</v>
      </c>
      <c r="AL17" s="123" t="n">
        <f aca="false">MIN($V$5,AK17)</f>
        <v>1.50713596205338</v>
      </c>
      <c r="AM17" s="112"/>
      <c r="AN17" s="112" t="n">
        <f aca="false">AN16+AN$7/100</f>
        <v>0.18</v>
      </c>
      <c r="AO17" s="112" t="n">
        <f aca="false">AN17</f>
        <v>0.18</v>
      </c>
      <c r="AP17" s="112" t="n">
        <f aca="false">AN17*TAN(RADIANS(AR$7))-(IF($B$4, 9.807, 32.174)*AN17^2)/(2*AQ$7^2*COS(RADIANS(AR$7))^2)+$D$7</f>
        <v>1.50713596205338</v>
      </c>
      <c r="AQ17" s="123" t="n">
        <f aca="false">MIN($V$5,AP17)</f>
        <v>1.50713596205338</v>
      </c>
      <c r="AR17" s="112"/>
      <c r="AS17" s="112" t="n">
        <f aca="false">AS16+AS$7/100</f>
        <v>0.18</v>
      </c>
      <c r="AT17" s="122" t="n">
        <f aca="false">AS17-IF($I$3="Forward", $D$9, $G$9)</f>
        <v>0.18</v>
      </c>
      <c r="AU17" s="112" t="n">
        <f aca="false">AS17*TAN(RADIANS(AW$7))-(IF($B$4, 9.807, 32.174)*AS17^2)/(2*AV$7^2*COS(RADIANS(AW$7))^2)+$D$7</f>
        <v>1.50713596205338</v>
      </c>
      <c r="AV17" s="123" t="n">
        <f aca="false">MIN($V$5,AU17)</f>
        <v>1.50713596205338</v>
      </c>
      <c r="AW17" s="112"/>
      <c r="AX17" s="112" t="n">
        <f aca="false">AX16+AX$7/100</f>
        <v>0.18</v>
      </c>
      <c r="AY17" s="122" t="n">
        <f aca="false">AX17+IF($I$3="Forward", $D$9, $G$9)</f>
        <v>0.18</v>
      </c>
      <c r="AZ17" s="112" t="n">
        <f aca="false">AX17*TAN(RADIANS(BB$7))-(IF($B$4, 9.807, 32.174)*AX17^2)/(2*BA$7^2*COS(RADIANS(BB$7))^2)+$D$7</f>
        <v>1.50713596205338</v>
      </c>
      <c r="BA17" s="123" t="n">
        <f aca="false">MIN($V$5,AZ17)</f>
        <v>1.50713596205338</v>
      </c>
      <c r="BB17" s="112"/>
      <c r="BC17" s="112" t="n">
        <f aca="false">BC16+BC$7/100</f>
        <v>0.18</v>
      </c>
      <c r="BD17" s="112" t="n">
        <f aca="false">BC17</f>
        <v>0.18</v>
      </c>
      <c r="BE17" s="112" t="n">
        <f aca="false">BC17*TAN(RADIANS(BG$7))-(IF($B$4, 9.807, 32.174)*BC17^2)/(2*BF$7^2*COS(RADIANS(BG$7))^2)+$D$7</f>
        <v>1.50713596205338</v>
      </c>
      <c r="BF17" s="123" t="n">
        <f aca="false">MIN($V$5,BE17)</f>
        <v>1.50713596205338</v>
      </c>
      <c r="BG17" s="112"/>
      <c r="BH17" s="112" t="n">
        <f aca="false">BH16+BH$7/100</f>
        <v>0.18</v>
      </c>
      <c r="BI17" s="122" t="n">
        <f aca="false">BH17-IF($I$3="Forward", $D$9, $G$9)</f>
        <v>0.18</v>
      </c>
      <c r="BJ17" s="112" t="n">
        <f aca="false">BH17*TAN(RADIANS(BL$7))-(IF($B$4, 9.807, 32.174)*BH17^2)/(2*BK$7^2*COS(RADIANS(BL$7))^2)+$D$7</f>
        <v>1.50713596205338</v>
      </c>
      <c r="BK17" s="123" t="n">
        <f aca="false">MIN($V$5,BJ17)</f>
        <v>1.50713596205338</v>
      </c>
      <c r="BL17" s="112"/>
      <c r="BM17" s="112" t="n">
        <f aca="false">BM16+BM$7/100</f>
        <v>0.18</v>
      </c>
      <c r="BN17" s="122" t="n">
        <f aca="false">BM17+IF($I$3="Forward", $D$9, $G$9)</f>
        <v>0.18</v>
      </c>
      <c r="BO17" s="112" t="n">
        <f aca="false">BM17*TAN(RADIANS(BQ$7))-(IF($B$4, 9.807, 32.174)*BM17^2)/(2*BP$7^2*COS(RADIANS(BQ$7))^2)+$D$7</f>
        <v>1.50713596205338</v>
      </c>
      <c r="BP17" s="123" t="n">
        <f aca="false">MIN($V$5,BO17)</f>
        <v>1.50713596205338</v>
      </c>
      <c r="BQ17" s="112"/>
      <c r="BR17" s="112" t="n">
        <f aca="false">BR16+BR$7/100</f>
        <v>0.18</v>
      </c>
      <c r="BS17" s="112" t="n">
        <f aca="false">BR17</f>
        <v>0.18</v>
      </c>
      <c r="BT17" s="112" t="n">
        <f aca="false">BR17*TAN(RADIANS(BV$7))-(IF($B$4, 9.807, 32.174)*BR17^2)/(2*BU$7^2*COS(RADIANS(BV$7))^2)+$D$7</f>
        <v>1.50713596205338</v>
      </c>
      <c r="BU17" s="123" t="n">
        <f aca="false">MIN($V$5,BT17)</f>
        <v>1.50713596205338</v>
      </c>
      <c r="BV17" s="112"/>
      <c r="BW17" s="112" t="n">
        <f aca="false">BW16+BW$7/100</f>
        <v>0.18</v>
      </c>
      <c r="BX17" s="122" t="n">
        <f aca="false">BW17-IF($I$3="Forward", $D$9, $G$9)</f>
        <v>0.18</v>
      </c>
      <c r="BY17" s="112" t="n">
        <f aca="false">BW17*TAN(RADIANS(CA$7))-(IF($B$4, 9.807, 32.174)*BW17^2)/(2*BZ$7^2*COS(RADIANS(CA$7))^2)+$D$7</f>
        <v>1.50713596205338</v>
      </c>
      <c r="BZ17" s="123" t="n">
        <f aca="false">MIN($V$5,BY17)</f>
        <v>1.50713596205338</v>
      </c>
      <c r="CA17" s="112"/>
      <c r="CB17" s="112" t="n">
        <f aca="false">CB16+CB$7/100</f>
        <v>0.18</v>
      </c>
      <c r="CC17" s="122" t="n">
        <f aca="false">CB17+IF($I$3="Forward", $D$9, $G$9)</f>
        <v>0.18</v>
      </c>
      <c r="CD17" s="112" t="n">
        <f aca="false">CB17*TAN(RADIANS(CF$7))-(IF($B$4, 9.807, 32.174)*CB17^2)/(2*CE$7^2*COS(RADIANS(CF$7))^2)+$D$7</f>
        <v>1.50713596205338</v>
      </c>
      <c r="CE17" s="123" t="n">
        <f aca="false">MIN($V$5,CD17)</f>
        <v>1.50713596205338</v>
      </c>
      <c r="CF17" s="112"/>
      <c r="CG17" s="124" t="n">
        <f aca="false">CG16+CG$7/100</f>
        <v>0.18</v>
      </c>
      <c r="CH17" s="124" t="n">
        <f aca="false">CG17</f>
        <v>0.18</v>
      </c>
      <c r="CI17" s="124" t="n">
        <f aca="false">CG17*TAN(RADIANS(CK$7))-(IF($B$4, 9.807, 32.174)*CG17^2)/(2*CJ$7^2*COS(RADIANS(CK$7))^2)+$D$7</f>
        <v>1.50713596205338</v>
      </c>
      <c r="CJ17" s="123" t="n">
        <f aca="false">MIN($V$5,CI17)</f>
        <v>1.50713596205338</v>
      </c>
      <c r="CK17" s="124"/>
      <c r="CL17" s="112" t="n">
        <f aca="false">CL16+CL$7/100</f>
        <v>0.18</v>
      </c>
      <c r="CM17" s="122" t="n">
        <f aca="false">CL17-IF($I$3="Forward", $D$9, $G$9)</f>
        <v>0.18</v>
      </c>
      <c r="CN17" s="112" t="n">
        <f aca="false">CL17*TAN(RADIANS(CP$7))-(IF($B$4, 9.807, 32.174)*CL17^2)/(2*CO$7^2*COS(RADIANS(CP$7))^2)+$D$7</f>
        <v>1.50713596205338</v>
      </c>
      <c r="CO17" s="123" t="n">
        <f aca="false">MIN($V$5,CN17)</f>
        <v>1.50713596205338</v>
      </c>
      <c r="CP17" s="112"/>
      <c r="CQ17" s="112" t="n">
        <f aca="false">CQ16+CQ$7/100</f>
        <v>0.18</v>
      </c>
      <c r="CR17" s="122" t="n">
        <f aca="false">CQ17+IF($I$3="Forward", $D$9, $G$9)</f>
        <v>0.18</v>
      </c>
      <c r="CS17" s="112" t="n">
        <f aca="false">CQ17*TAN(RADIANS(CU$7))-(IF($B$4, 9.807, 32.174)*CQ17^2)/(2*CT$7^2*COS(RADIANS(CU$7))^2)+$D$7</f>
        <v>1.50713596205338</v>
      </c>
      <c r="CT17" s="123" t="n">
        <f aca="false">MIN($V$5,CS17)</f>
        <v>1.50713596205338</v>
      </c>
      <c r="CU17" s="112"/>
      <c r="CV17" s="112" t="n">
        <f aca="false">CV16+CV$7/100</f>
        <v>0.18</v>
      </c>
      <c r="CW17" s="112" t="n">
        <f aca="false">CV17</f>
        <v>0.18</v>
      </c>
      <c r="CX17" s="112" t="n">
        <f aca="false">CV17*TAN(RADIANS(CZ$7))-(IF($B$4, 9.807, 32.174)*CV17^2)/(2*CY$7^2*COS(RADIANS(CZ$7))^2)+$D$7</f>
        <v>1.50713596205338</v>
      </c>
      <c r="CY17" s="123" t="n">
        <f aca="false">MIN($V$5,CX17)</f>
        <v>1.50713596205338</v>
      </c>
      <c r="CZ17" s="112"/>
      <c r="DA17" s="112" t="n">
        <f aca="false">DA16+DA$7/100</f>
        <v>0.18</v>
      </c>
      <c r="DB17" s="122" t="n">
        <f aca="false">DA17-IF($I$3="Forward", $D$9, $G$9)</f>
        <v>0.18</v>
      </c>
      <c r="DC17" s="112" t="n">
        <f aca="false">DA17*TAN(RADIANS(DE$7))-(IF($B$4, 9.807, 32.174)*DA17^2)/(2*DD$7^2*COS(RADIANS(DE$7))^2)+$D$7</f>
        <v>1.50713596205338</v>
      </c>
      <c r="DD17" s="123" t="n">
        <f aca="false">MIN($V$5,DC17)</f>
        <v>1.50713596205338</v>
      </c>
      <c r="DE17" s="112"/>
      <c r="DF17" s="112" t="n">
        <f aca="false">DF16+DF$7/100</f>
        <v>0.18</v>
      </c>
      <c r="DG17" s="122" t="n">
        <f aca="false">DF17+IF($I$3="Forward", $D$9, $G$9)</f>
        <v>0.18</v>
      </c>
      <c r="DH17" s="112" t="n">
        <f aca="false">DF17*TAN(RADIANS(DJ$7))-(IF($B$4, 9.807, 32.174)*DF17^2)/(2*DI$7^2*COS(RADIANS(DJ$7))^2)+$D$7</f>
        <v>1.50713596205338</v>
      </c>
      <c r="DI17" s="123" t="n">
        <f aca="false">MIN($V$5,DH17)</f>
        <v>1.50713596205338</v>
      </c>
      <c r="DJ17" s="112"/>
      <c r="DK17" s="112" t="n">
        <f aca="false">DK16+DK$7/100</f>
        <v>0.18</v>
      </c>
      <c r="DL17" s="112" t="n">
        <f aca="false">DK17</f>
        <v>0.18</v>
      </c>
      <c r="DM17" s="112" t="n">
        <f aca="false">DK17*TAN(RADIANS(DO$7))-(IF($B$4, 9.807, 32.174)*DK17^2)/(2*DN$7^2*COS(RADIANS(DO$7))^2)+$D$7</f>
        <v>1.50713596205338</v>
      </c>
      <c r="DN17" s="123" t="n">
        <f aca="false">MIN($V$5,DM17)</f>
        <v>1.50713596205338</v>
      </c>
      <c r="DO17" s="112"/>
      <c r="DP17" s="112" t="n">
        <f aca="false">DP16+DP$7/100</f>
        <v>0.18</v>
      </c>
      <c r="DQ17" s="122" t="n">
        <f aca="false">DP17-IF($I$3="Forward", $D$9, $G$9)</f>
        <v>0.18</v>
      </c>
      <c r="DR17" s="112" t="n">
        <f aca="false">DP17*TAN(RADIANS(DT$7))-(IF($B$4, 9.807, 32.174)*DP17^2)/(2*DS$7^2*COS(RADIANS(DT$7))^2)+$D$7</f>
        <v>1.50713596205338</v>
      </c>
      <c r="DS17" s="123" t="n">
        <f aca="false">MIN($V$5,DR17)</f>
        <v>1.50713596205338</v>
      </c>
      <c r="DT17" s="112"/>
      <c r="DU17" s="112" t="n">
        <f aca="false">DU16+DU$7/100</f>
        <v>0.18</v>
      </c>
      <c r="DV17" s="122" t="n">
        <f aca="false">DU17+IF($I$3="Forward", $D$9, $G$9)</f>
        <v>0.18</v>
      </c>
      <c r="DW17" s="112" t="n">
        <f aca="false">DU17*TAN(RADIANS(DY$7))-(IF($B$4, 9.807, 32.174)*DU17^2)/(2*DX$7^2*COS(RADIANS(DY$7))^2)+$D$7</f>
        <v>1.50713596205338</v>
      </c>
      <c r="DX17" s="123" t="n">
        <f aca="false">MIN($V$5,DW17)</f>
        <v>1.50713596205338</v>
      </c>
      <c r="DY17" s="112"/>
      <c r="DZ17" s="112" t="n">
        <f aca="false">DZ16+DZ$7/100</f>
        <v>0.18</v>
      </c>
      <c r="EA17" s="112" t="n">
        <f aca="false">DZ17</f>
        <v>0.18</v>
      </c>
      <c r="EB17" s="112" t="n">
        <f aca="false">DZ17*TAN(RADIANS(ED$7))-(IF($B$4, 9.807, 32.174)*DZ17^2)/(2*EC$7^2*COS(RADIANS(ED$7))^2)+$D$7</f>
        <v>1.50713596205338</v>
      </c>
      <c r="EC17" s="123" t="n">
        <f aca="false">MIN($V$5,EB17)</f>
        <v>1.50713596205338</v>
      </c>
      <c r="ED17" s="112"/>
      <c r="EE17" s="112" t="n">
        <f aca="false">EE16+EE$7/100</f>
        <v>0.18</v>
      </c>
      <c r="EF17" s="122" t="n">
        <f aca="false">EE17-IF($I$3="Forward", $D$9, $G$9)</f>
        <v>0.18</v>
      </c>
      <c r="EG17" s="112" t="n">
        <f aca="false">EE17*TAN(RADIANS(EI$7))-(IF($B$4, 9.807, 32.174)*EE17^2)/(2*EH$7^2*COS(RADIANS(EI$7))^2)+$D$7</f>
        <v>1.50713596205338</v>
      </c>
      <c r="EH17" s="123" t="n">
        <f aca="false">MIN($V$5,EG17)</f>
        <v>1.50713596205338</v>
      </c>
      <c r="EI17" s="112"/>
      <c r="EJ17" s="112" t="n">
        <f aca="false">EJ16+EJ$7/100</f>
        <v>0.18</v>
      </c>
      <c r="EK17" s="122" t="n">
        <f aca="false">EJ17+IF($I$3="Forward", $D$9, $G$9)</f>
        <v>0.18</v>
      </c>
      <c r="EL17" s="112" t="n">
        <f aca="false">EJ17*TAN(RADIANS(EN$7))-(IF($B$4, 9.807, 32.174)*EJ17^2)/(2*EM$7^2*COS(RADIANS(EN$7))^2)+$D$7</f>
        <v>1.50713596205338</v>
      </c>
      <c r="EM17" s="123" t="n">
        <f aca="false">MIN($V$5,EL17)</f>
        <v>1.50713596205338</v>
      </c>
      <c r="EN17" s="112"/>
      <c r="EO17" s="112" t="n">
        <f aca="false">EO16+EO$7/100</f>
        <v>0.18</v>
      </c>
      <c r="EP17" s="112" t="n">
        <f aca="false">EO17</f>
        <v>0.18</v>
      </c>
      <c r="EQ17" s="112" t="n">
        <f aca="false">EO17*TAN(RADIANS(ES$7))-(IF($B$4, 9.807, 32.174)*EO17^2)/(2*ER$7^2*COS(RADIANS(ES$7))^2)+$D$7</f>
        <v>1.50713596205338</v>
      </c>
      <c r="ER17" s="123" t="n">
        <f aca="false">MIN($V$5,EQ17)</f>
        <v>1.50713596205338</v>
      </c>
      <c r="ES17" s="112"/>
      <c r="ET17" s="112" t="n">
        <f aca="false">ET16+ET$7/100</f>
        <v>0.18</v>
      </c>
      <c r="EU17" s="122" t="n">
        <f aca="false">ET17-IF($I$3="Forward", $D$9, $G$9)</f>
        <v>0.18</v>
      </c>
      <c r="EV17" s="112" t="n">
        <f aca="false">ET17*TAN(RADIANS(EX$7))-(IF($B$4, 9.807, 32.174)*ET17^2)/(2*EW$7^2*COS(RADIANS(EX$7))^2)+$D$7</f>
        <v>1.50713596205338</v>
      </c>
      <c r="EW17" s="123" t="n">
        <f aca="false">MIN($V$5,EV17)</f>
        <v>1.50713596205338</v>
      </c>
      <c r="EX17" s="112"/>
    </row>
    <row r="18" s="131" customFormat="true" ht="15" hidden="false" customHeight="false" outlineLevel="0" collapsed="false">
      <c r="C18" s="119" t="str">
        <f aca="false">"Final Height (" &amp; IF($B$4, "m", "ft") &amp; ")"</f>
        <v>Final Height (m)</v>
      </c>
      <c r="D18" s="132" t="n">
        <f aca="false">$D$8*TAN(RADIANS($D$12))-(IF($B$4, 9.807, 32.174)*$D$8^2)/(2*$D$10^2*COS(RADIANS($D$12))^2)+$D$7</f>
        <v>16.2585892784145</v>
      </c>
      <c r="E18" s="111"/>
      <c r="F18" s="119" t="str">
        <f aca="false">"Release Velocity (" &amp; IF($B$4, "m", "ft") &amp; "/s)"</f>
        <v>Release Velocity (m/s)</v>
      </c>
      <c r="G18" s="132" t="n">
        <f aca="false">SQRT((IF($B$4, 9.807, 32.174)*G8)/(ABS(TAN(RADIANS(G20))-TAN(RADIANS(G12)))))/COS(RADIANS(G20))</f>
        <v>9.54893468356343</v>
      </c>
      <c r="H18" s="111"/>
      <c r="I18" s="111"/>
      <c r="J18" s="111"/>
      <c r="K18" s="111"/>
      <c r="L18" s="111"/>
      <c r="M18" s="111"/>
      <c r="N18" s="111"/>
      <c r="O18" s="111"/>
      <c r="P18" s="111"/>
      <c r="Q18" s="111"/>
      <c r="R18" s="111"/>
      <c r="S18" s="111"/>
      <c r="T18" s="112" t="n">
        <f aca="false">T17+T$7/100</f>
        <v>0.2</v>
      </c>
      <c r="U18" s="122" t="n">
        <f aca="false">T18+IF($I$3="Forward", $D$9, $G$9)</f>
        <v>0.2</v>
      </c>
      <c r="V18" s="112" t="n">
        <f aca="false">T18*TAN(RADIANS(X$7))-(IF($B$4, 9.807, 32.174)*T18^2)/(2*W$7^2*COS(RADIANS(X$7))^2)+$D$7</f>
        <v>1.63883072753119</v>
      </c>
      <c r="W18" s="123" t="n">
        <f aca="false">MIN($V$5,V18)</f>
        <v>1.63883072753119</v>
      </c>
      <c r="X18" s="112"/>
      <c r="Y18" s="112" t="n">
        <f aca="false">Y17+Y$7/100</f>
        <v>0.2</v>
      </c>
      <c r="Z18" s="112" t="n">
        <f aca="false">Y18</f>
        <v>0.2</v>
      </c>
      <c r="AA18" s="112" t="n">
        <f aca="false">Y18*TAN(RADIANS(AC$7))-(IF($B$4, 9.807, 32.174)*Y18^2)/(2*AB$7^2*COS(RADIANS(AC$7))^2)+$D$7</f>
        <v>1.63883072753119</v>
      </c>
      <c r="AB18" s="123" t="n">
        <f aca="false">MIN($V$5,AA18)</f>
        <v>1.63883072753119</v>
      </c>
      <c r="AC18" s="112"/>
      <c r="AD18" s="112" t="n">
        <f aca="false">AD17+AD$7/100</f>
        <v>0.2</v>
      </c>
      <c r="AE18" s="122" t="n">
        <f aca="false">AD18-IF($I$3="Forward", $D$9, $G$9)</f>
        <v>0.2</v>
      </c>
      <c r="AF18" s="112" t="n">
        <f aca="false">AD18*TAN(RADIANS(AH$7))-(IF($B$4, 9.807, 32.174)*AD18^2)/(2*AG$7^2*COS(RADIANS(AH$7))^2)+$D$7</f>
        <v>1.63883072753119</v>
      </c>
      <c r="AG18" s="123" t="n">
        <f aca="false">MIN($V$5,AF18)</f>
        <v>1.63883072753119</v>
      </c>
      <c r="AH18" s="112"/>
      <c r="AI18" s="112" t="n">
        <f aca="false">AI17+AI$7/100</f>
        <v>0.2</v>
      </c>
      <c r="AJ18" s="122" t="n">
        <f aca="false">AI18+IF($I$3="Forward", $D$9, $G$9)</f>
        <v>0.2</v>
      </c>
      <c r="AK18" s="112" t="n">
        <f aca="false">AI18*TAN(RADIANS(AM$7))-(IF($B$4, 9.807, 32.174)*AI18^2)/(2*AL$7^2*COS(RADIANS(AM$7))^2)+$D$7</f>
        <v>1.63883072753119</v>
      </c>
      <c r="AL18" s="123" t="n">
        <f aca="false">MIN($V$5,AK18)</f>
        <v>1.63883072753119</v>
      </c>
      <c r="AM18" s="112"/>
      <c r="AN18" s="112" t="n">
        <f aca="false">AN17+AN$7/100</f>
        <v>0.2</v>
      </c>
      <c r="AO18" s="112" t="n">
        <f aca="false">AN18</f>
        <v>0.2</v>
      </c>
      <c r="AP18" s="112" t="n">
        <f aca="false">AN18*TAN(RADIANS(AR$7))-(IF($B$4, 9.807, 32.174)*AN18^2)/(2*AQ$7^2*COS(RADIANS(AR$7))^2)+$D$7</f>
        <v>1.63883072753119</v>
      </c>
      <c r="AQ18" s="123" t="n">
        <f aca="false">MIN($V$5,AP18)</f>
        <v>1.63883072753119</v>
      </c>
      <c r="AR18" s="112"/>
      <c r="AS18" s="112" t="n">
        <f aca="false">AS17+AS$7/100</f>
        <v>0.2</v>
      </c>
      <c r="AT18" s="122" t="n">
        <f aca="false">AS18-IF($I$3="Forward", $D$9, $G$9)</f>
        <v>0.2</v>
      </c>
      <c r="AU18" s="112" t="n">
        <f aca="false">AS18*TAN(RADIANS(AW$7))-(IF($B$4, 9.807, 32.174)*AS18^2)/(2*AV$7^2*COS(RADIANS(AW$7))^2)+$D$7</f>
        <v>1.63883072753119</v>
      </c>
      <c r="AV18" s="123" t="n">
        <f aca="false">MIN($V$5,AU18)</f>
        <v>1.63883072753119</v>
      </c>
      <c r="AW18" s="112"/>
      <c r="AX18" s="112" t="n">
        <f aca="false">AX17+AX$7/100</f>
        <v>0.2</v>
      </c>
      <c r="AY18" s="122" t="n">
        <f aca="false">AX18+IF($I$3="Forward", $D$9, $G$9)</f>
        <v>0.2</v>
      </c>
      <c r="AZ18" s="112" t="n">
        <f aca="false">AX18*TAN(RADIANS(BB$7))-(IF($B$4, 9.807, 32.174)*AX18^2)/(2*BA$7^2*COS(RADIANS(BB$7))^2)+$D$7</f>
        <v>1.63883072753119</v>
      </c>
      <c r="BA18" s="123" t="n">
        <f aca="false">MIN($V$5,AZ18)</f>
        <v>1.63883072753119</v>
      </c>
      <c r="BB18" s="112"/>
      <c r="BC18" s="112" t="n">
        <f aca="false">BC17+BC$7/100</f>
        <v>0.2</v>
      </c>
      <c r="BD18" s="112" t="n">
        <f aca="false">BC18</f>
        <v>0.2</v>
      </c>
      <c r="BE18" s="112" t="n">
        <f aca="false">BC18*TAN(RADIANS(BG$7))-(IF($B$4, 9.807, 32.174)*BC18^2)/(2*BF$7^2*COS(RADIANS(BG$7))^2)+$D$7</f>
        <v>1.63883072753119</v>
      </c>
      <c r="BF18" s="123" t="n">
        <f aca="false">MIN($V$5,BE18)</f>
        <v>1.63883072753119</v>
      </c>
      <c r="BG18" s="112"/>
      <c r="BH18" s="112" t="n">
        <f aca="false">BH17+BH$7/100</f>
        <v>0.2</v>
      </c>
      <c r="BI18" s="122" t="n">
        <f aca="false">BH18-IF($I$3="Forward", $D$9, $G$9)</f>
        <v>0.2</v>
      </c>
      <c r="BJ18" s="112" t="n">
        <f aca="false">BH18*TAN(RADIANS(BL$7))-(IF($B$4, 9.807, 32.174)*BH18^2)/(2*BK$7^2*COS(RADIANS(BL$7))^2)+$D$7</f>
        <v>1.63883072753119</v>
      </c>
      <c r="BK18" s="123" t="n">
        <f aca="false">MIN($V$5,BJ18)</f>
        <v>1.63883072753119</v>
      </c>
      <c r="BL18" s="112"/>
      <c r="BM18" s="112" t="n">
        <f aca="false">BM17+BM$7/100</f>
        <v>0.2</v>
      </c>
      <c r="BN18" s="122" t="n">
        <f aca="false">BM18+IF($I$3="Forward", $D$9, $G$9)</f>
        <v>0.2</v>
      </c>
      <c r="BO18" s="112" t="n">
        <f aca="false">BM18*TAN(RADIANS(BQ$7))-(IF($B$4, 9.807, 32.174)*BM18^2)/(2*BP$7^2*COS(RADIANS(BQ$7))^2)+$D$7</f>
        <v>1.63883072753119</v>
      </c>
      <c r="BP18" s="123" t="n">
        <f aca="false">MIN($V$5,BO18)</f>
        <v>1.63883072753119</v>
      </c>
      <c r="BQ18" s="112"/>
      <c r="BR18" s="112" t="n">
        <f aca="false">BR17+BR$7/100</f>
        <v>0.2</v>
      </c>
      <c r="BS18" s="112" t="n">
        <f aca="false">BR18</f>
        <v>0.2</v>
      </c>
      <c r="BT18" s="112" t="n">
        <f aca="false">BR18*TAN(RADIANS(BV$7))-(IF($B$4, 9.807, 32.174)*BR18^2)/(2*BU$7^2*COS(RADIANS(BV$7))^2)+$D$7</f>
        <v>1.63883072753119</v>
      </c>
      <c r="BU18" s="123" t="n">
        <f aca="false">MIN($V$5,BT18)</f>
        <v>1.63883072753119</v>
      </c>
      <c r="BV18" s="112"/>
      <c r="BW18" s="112" t="n">
        <f aca="false">BW17+BW$7/100</f>
        <v>0.2</v>
      </c>
      <c r="BX18" s="122" t="n">
        <f aca="false">BW18-IF($I$3="Forward", $D$9, $G$9)</f>
        <v>0.2</v>
      </c>
      <c r="BY18" s="112" t="n">
        <f aca="false">BW18*TAN(RADIANS(CA$7))-(IF($B$4, 9.807, 32.174)*BW18^2)/(2*BZ$7^2*COS(RADIANS(CA$7))^2)+$D$7</f>
        <v>1.63883072753119</v>
      </c>
      <c r="BZ18" s="123" t="n">
        <f aca="false">MIN($V$5,BY18)</f>
        <v>1.63883072753119</v>
      </c>
      <c r="CA18" s="112"/>
      <c r="CB18" s="112" t="n">
        <f aca="false">CB17+CB$7/100</f>
        <v>0.2</v>
      </c>
      <c r="CC18" s="122" t="n">
        <f aca="false">CB18+IF($I$3="Forward", $D$9, $G$9)</f>
        <v>0.2</v>
      </c>
      <c r="CD18" s="112" t="n">
        <f aca="false">CB18*TAN(RADIANS(CF$7))-(IF($B$4, 9.807, 32.174)*CB18^2)/(2*CE$7^2*COS(RADIANS(CF$7))^2)+$D$7</f>
        <v>1.63883072753119</v>
      </c>
      <c r="CE18" s="123" t="n">
        <f aca="false">MIN($V$5,CD18)</f>
        <v>1.63883072753119</v>
      </c>
      <c r="CF18" s="112"/>
      <c r="CG18" s="124" t="n">
        <f aca="false">CG17+CG$7/100</f>
        <v>0.2</v>
      </c>
      <c r="CH18" s="124" t="n">
        <f aca="false">CG18</f>
        <v>0.2</v>
      </c>
      <c r="CI18" s="124" t="n">
        <f aca="false">CG18*TAN(RADIANS(CK$7))-(IF($B$4, 9.807, 32.174)*CG18^2)/(2*CJ$7^2*COS(RADIANS(CK$7))^2)+$D$7</f>
        <v>1.63883072753119</v>
      </c>
      <c r="CJ18" s="123" t="n">
        <f aca="false">MIN($V$5,CI18)</f>
        <v>1.63883072753119</v>
      </c>
      <c r="CK18" s="124"/>
      <c r="CL18" s="112" t="n">
        <f aca="false">CL17+CL$7/100</f>
        <v>0.2</v>
      </c>
      <c r="CM18" s="122" t="n">
        <f aca="false">CL18-IF($I$3="Forward", $D$9, $G$9)</f>
        <v>0.2</v>
      </c>
      <c r="CN18" s="112" t="n">
        <f aca="false">CL18*TAN(RADIANS(CP$7))-(IF($B$4, 9.807, 32.174)*CL18^2)/(2*CO$7^2*COS(RADIANS(CP$7))^2)+$D$7</f>
        <v>1.63883072753119</v>
      </c>
      <c r="CO18" s="123" t="n">
        <f aca="false">MIN($V$5,CN18)</f>
        <v>1.63883072753119</v>
      </c>
      <c r="CP18" s="112"/>
      <c r="CQ18" s="112" t="n">
        <f aca="false">CQ17+CQ$7/100</f>
        <v>0.2</v>
      </c>
      <c r="CR18" s="122" t="n">
        <f aca="false">CQ18+IF($I$3="Forward", $D$9, $G$9)</f>
        <v>0.2</v>
      </c>
      <c r="CS18" s="112" t="n">
        <f aca="false">CQ18*TAN(RADIANS(CU$7))-(IF($B$4, 9.807, 32.174)*CQ18^2)/(2*CT$7^2*COS(RADIANS(CU$7))^2)+$D$7</f>
        <v>1.63883072753119</v>
      </c>
      <c r="CT18" s="123" t="n">
        <f aca="false">MIN($V$5,CS18)</f>
        <v>1.63883072753119</v>
      </c>
      <c r="CU18" s="112"/>
      <c r="CV18" s="112" t="n">
        <f aca="false">CV17+CV$7/100</f>
        <v>0.2</v>
      </c>
      <c r="CW18" s="112" t="n">
        <f aca="false">CV18</f>
        <v>0.2</v>
      </c>
      <c r="CX18" s="112" t="n">
        <f aca="false">CV18*TAN(RADIANS(CZ$7))-(IF($B$4, 9.807, 32.174)*CV18^2)/(2*CY$7^2*COS(RADIANS(CZ$7))^2)+$D$7</f>
        <v>1.63883072753119</v>
      </c>
      <c r="CY18" s="123" t="n">
        <f aca="false">MIN($V$5,CX18)</f>
        <v>1.63883072753119</v>
      </c>
      <c r="CZ18" s="112"/>
      <c r="DA18" s="112" t="n">
        <f aca="false">DA17+DA$7/100</f>
        <v>0.2</v>
      </c>
      <c r="DB18" s="122" t="n">
        <f aca="false">DA18-IF($I$3="Forward", $D$9, $G$9)</f>
        <v>0.2</v>
      </c>
      <c r="DC18" s="112" t="n">
        <f aca="false">DA18*TAN(RADIANS(DE$7))-(IF($B$4, 9.807, 32.174)*DA18^2)/(2*DD$7^2*COS(RADIANS(DE$7))^2)+$D$7</f>
        <v>1.63883072753119</v>
      </c>
      <c r="DD18" s="123" t="n">
        <f aca="false">MIN($V$5,DC18)</f>
        <v>1.63883072753119</v>
      </c>
      <c r="DE18" s="112"/>
      <c r="DF18" s="112" t="n">
        <f aca="false">DF17+DF$7/100</f>
        <v>0.2</v>
      </c>
      <c r="DG18" s="122" t="n">
        <f aca="false">DF18+IF($I$3="Forward", $D$9, $G$9)</f>
        <v>0.2</v>
      </c>
      <c r="DH18" s="112" t="n">
        <f aca="false">DF18*TAN(RADIANS(DJ$7))-(IF($B$4, 9.807, 32.174)*DF18^2)/(2*DI$7^2*COS(RADIANS(DJ$7))^2)+$D$7</f>
        <v>1.63883072753119</v>
      </c>
      <c r="DI18" s="123" t="n">
        <f aca="false">MIN($V$5,DH18)</f>
        <v>1.63883072753119</v>
      </c>
      <c r="DJ18" s="112"/>
      <c r="DK18" s="112" t="n">
        <f aca="false">DK17+DK$7/100</f>
        <v>0.2</v>
      </c>
      <c r="DL18" s="112" t="n">
        <f aca="false">DK18</f>
        <v>0.2</v>
      </c>
      <c r="DM18" s="112" t="n">
        <f aca="false">DK18*TAN(RADIANS(DO$7))-(IF($B$4, 9.807, 32.174)*DK18^2)/(2*DN$7^2*COS(RADIANS(DO$7))^2)+$D$7</f>
        <v>1.63883072753119</v>
      </c>
      <c r="DN18" s="123" t="n">
        <f aca="false">MIN($V$5,DM18)</f>
        <v>1.63883072753119</v>
      </c>
      <c r="DO18" s="112"/>
      <c r="DP18" s="112" t="n">
        <f aca="false">DP17+DP$7/100</f>
        <v>0.2</v>
      </c>
      <c r="DQ18" s="122" t="n">
        <f aca="false">DP18-IF($I$3="Forward", $D$9, $G$9)</f>
        <v>0.2</v>
      </c>
      <c r="DR18" s="112" t="n">
        <f aca="false">DP18*TAN(RADIANS(DT$7))-(IF($B$4, 9.807, 32.174)*DP18^2)/(2*DS$7^2*COS(RADIANS(DT$7))^2)+$D$7</f>
        <v>1.63883072753119</v>
      </c>
      <c r="DS18" s="123" t="n">
        <f aca="false">MIN($V$5,DR18)</f>
        <v>1.63883072753119</v>
      </c>
      <c r="DT18" s="112"/>
      <c r="DU18" s="112" t="n">
        <f aca="false">DU17+DU$7/100</f>
        <v>0.2</v>
      </c>
      <c r="DV18" s="122" t="n">
        <f aca="false">DU18+IF($I$3="Forward", $D$9, $G$9)</f>
        <v>0.2</v>
      </c>
      <c r="DW18" s="112" t="n">
        <f aca="false">DU18*TAN(RADIANS(DY$7))-(IF($B$4, 9.807, 32.174)*DU18^2)/(2*DX$7^2*COS(RADIANS(DY$7))^2)+$D$7</f>
        <v>1.63883072753119</v>
      </c>
      <c r="DX18" s="123" t="n">
        <f aca="false">MIN($V$5,DW18)</f>
        <v>1.63883072753119</v>
      </c>
      <c r="DY18" s="112"/>
      <c r="DZ18" s="112" t="n">
        <f aca="false">DZ17+DZ$7/100</f>
        <v>0.2</v>
      </c>
      <c r="EA18" s="112" t="n">
        <f aca="false">DZ18</f>
        <v>0.2</v>
      </c>
      <c r="EB18" s="112" t="n">
        <f aca="false">DZ18*TAN(RADIANS(ED$7))-(IF($B$4, 9.807, 32.174)*DZ18^2)/(2*EC$7^2*COS(RADIANS(ED$7))^2)+$D$7</f>
        <v>1.63883072753119</v>
      </c>
      <c r="EC18" s="123" t="n">
        <f aca="false">MIN($V$5,EB18)</f>
        <v>1.63883072753119</v>
      </c>
      <c r="ED18" s="112"/>
      <c r="EE18" s="112" t="n">
        <f aca="false">EE17+EE$7/100</f>
        <v>0.2</v>
      </c>
      <c r="EF18" s="122" t="n">
        <f aca="false">EE18-IF($I$3="Forward", $D$9, $G$9)</f>
        <v>0.2</v>
      </c>
      <c r="EG18" s="112" t="n">
        <f aca="false">EE18*TAN(RADIANS(EI$7))-(IF($B$4, 9.807, 32.174)*EE18^2)/(2*EH$7^2*COS(RADIANS(EI$7))^2)+$D$7</f>
        <v>1.63883072753119</v>
      </c>
      <c r="EH18" s="123" t="n">
        <f aca="false">MIN($V$5,EG18)</f>
        <v>1.63883072753119</v>
      </c>
      <c r="EI18" s="112"/>
      <c r="EJ18" s="112" t="n">
        <f aca="false">EJ17+EJ$7/100</f>
        <v>0.2</v>
      </c>
      <c r="EK18" s="122" t="n">
        <f aca="false">EJ18+IF($I$3="Forward", $D$9, $G$9)</f>
        <v>0.2</v>
      </c>
      <c r="EL18" s="112" t="n">
        <f aca="false">EJ18*TAN(RADIANS(EN$7))-(IF($B$4, 9.807, 32.174)*EJ18^2)/(2*EM$7^2*COS(RADIANS(EN$7))^2)+$D$7</f>
        <v>1.63883072753119</v>
      </c>
      <c r="EM18" s="123" t="n">
        <f aca="false">MIN($V$5,EL18)</f>
        <v>1.63883072753119</v>
      </c>
      <c r="EN18" s="112"/>
      <c r="EO18" s="112" t="n">
        <f aca="false">EO17+EO$7/100</f>
        <v>0.2</v>
      </c>
      <c r="EP18" s="112" t="n">
        <f aca="false">EO18</f>
        <v>0.2</v>
      </c>
      <c r="EQ18" s="112" t="n">
        <f aca="false">EO18*TAN(RADIANS(ES$7))-(IF($B$4, 9.807, 32.174)*EO18^2)/(2*ER$7^2*COS(RADIANS(ES$7))^2)+$D$7</f>
        <v>1.63883072753119</v>
      </c>
      <c r="ER18" s="123" t="n">
        <f aca="false">MIN($V$5,EQ18)</f>
        <v>1.63883072753119</v>
      </c>
      <c r="ES18" s="112"/>
      <c r="ET18" s="112" t="n">
        <f aca="false">ET17+ET$7/100</f>
        <v>0.2</v>
      </c>
      <c r="EU18" s="122" t="n">
        <f aca="false">ET18-IF($I$3="Forward", $D$9, $G$9)</f>
        <v>0.2</v>
      </c>
      <c r="EV18" s="112" t="n">
        <f aca="false">ET18*TAN(RADIANS(EX$7))-(IF($B$4, 9.807, 32.174)*ET18^2)/(2*EW$7^2*COS(RADIANS(EX$7))^2)+$D$7</f>
        <v>1.63883072753119</v>
      </c>
      <c r="EW18" s="123" t="n">
        <f aca="false">MIN($V$5,EV18)</f>
        <v>1.63883072753119</v>
      </c>
      <c r="EX18" s="112"/>
    </row>
    <row r="19" s="131" customFormat="true" ht="15" hidden="false" customHeight="false" outlineLevel="0" collapsed="false">
      <c r="C19" s="119" t="str">
        <f aca="false">"     ^ Range (" &amp; IF($B$4, "m", "ft") &amp; ")"</f>
        <v>     ^ Range (m)</v>
      </c>
      <c r="D19" s="133" t="str">
        <f aca="false">IF(MAX(T113:AT113)=MIN(T113:AT113), "----", TEXT(MAX(T113:AT113), "0.0") &amp; " – " &amp; TEXT(MIN(T113:AT113), "0.0"))</f>
        <v>----</v>
      </c>
      <c r="E19" s="111"/>
      <c r="F19" s="119" t="str">
        <f aca="false">"     ^ Range (" &amp; IF($B$4, "m", "ft") &amp; "/s)"</f>
        <v>     ^ Range (m/s)</v>
      </c>
      <c r="G19" s="134" t="str">
        <f aca="false">IF(MAX(T119:AT119)=MIN(T119:AT119), "----", TEXT(MAX(T119:AT119), "0.0") &amp; " – " &amp; TEXT(MIN(T119:AT119), "0.0"))</f>
        <v>----</v>
      </c>
      <c r="H19" s="111"/>
      <c r="I19" s="111"/>
      <c r="J19" s="111"/>
      <c r="K19" s="111"/>
      <c r="L19" s="111"/>
      <c r="M19" s="111"/>
      <c r="N19" s="111"/>
      <c r="O19" s="111"/>
      <c r="P19" s="111"/>
      <c r="Q19" s="111"/>
      <c r="R19" s="111"/>
      <c r="S19" s="111"/>
      <c r="T19" s="112" t="n">
        <f aca="false">T18+T$7/100</f>
        <v>0.22</v>
      </c>
      <c r="U19" s="122" t="n">
        <f aca="false">T19+IF($I$3="Forward", $D$9, $G$9)</f>
        <v>0.22</v>
      </c>
      <c r="V19" s="112" t="n">
        <f aca="false">T19*TAN(RADIANS(X$7))-(IF($B$4, 9.807, 32.174)*T19^2)/(2*W$7^2*COS(RADIANS(X$7))^2)+$D$7</f>
        <v>1.76781698028115</v>
      </c>
      <c r="W19" s="123" t="n">
        <f aca="false">MIN($V$5,V19)</f>
        <v>1.76781698028115</v>
      </c>
      <c r="X19" s="112"/>
      <c r="Y19" s="112" t="n">
        <f aca="false">Y18+Y$7/100</f>
        <v>0.22</v>
      </c>
      <c r="Z19" s="112" t="n">
        <f aca="false">Y19</f>
        <v>0.22</v>
      </c>
      <c r="AA19" s="112" t="n">
        <f aca="false">Y19*TAN(RADIANS(AC$7))-(IF($B$4, 9.807, 32.174)*Y19^2)/(2*AB$7^2*COS(RADIANS(AC$7))^2)+$D$7</f>
        <v>1.76781698028115</v>
      </c>
      <c r="AB19" s="123" t="n">
        <f aca="false">MIN($V$5,AA19)</f>
        <v>1.76781698028115</v>
      </c>
      <c r="AC19" s="112"/>
      <c r="AD19" s="112" t="n">
        <f aca="false">AD18+AD$7/100</f>
        <v>0.22</v>
      </c>
      <c r="AE19" s="122" t="n">
        <f aca="false">AD19-IF($I$3="Forward", $D$9, $G$9)</f>
        <v>0.22</v>
      </c>
      <c r="AF19" s="112" t="n">
        <f aca="false">AD19*TAN(RADIANS(AH$7))-(IF($B$4, 9.807, 32.174)*AD19^2)/(2*AG$7^2*COS(RADIANS(AH$7))^2)+$D$7</f>
        <v>1.76781698028115</v>
      </c>
      <c r="AG19" s="123" t="n">
        <f aca="false">MIN($V$5,AF19)</f>
        <v>1.76781698028115</v>
      </c>
      <c r="AH19" s="112"/>
      <c r="AI19" s="112" t="n">
        <f aca="false">AI18+AI$7/100</f>
        <v>0.22</v>
      </c>
      <c r="AJ19" s="122" t="n">
        <f aca="false">AI19+IF($I$3="Forward", $D$9, $G$9)</f>
        <v>0.22</v>
      </c>
      <c r="AK19" s="112" t="n">
        <f aca="false">AI19*TAN(RADIANS(AM$7))-(IF($B$4, 9.807, 32.174)*AI19^2)/(2*AL$7^2*COS(RADIANS(AM$7))^2)+$D$7</f>
        <v>1.76781698028115</v>
      </c>
      <c r="AL19" s="123" t="n">
        <f aca="false">MIN($V$5,AK19)</f>
        <v>1.76781698028115</v>
      </c>
      <c r="AM19" s="112"/>
      <c r="AN19" s="112" t="n">
        <f aca="false">AN18+AN$7/100</f>
        <v>0.22</v>
      </c>
      <c r="AO19" s="112" t="n">
        <f aca="false">AN19</f>
        <v>0.22</v>
      </c>
      <c r="AP19" s="112" t="n">
        <f aca="false">AN19*TAN(RADIANS(AR$7))-(IF($B$4, 9.807, 32.174)*AN19^2)/(2*AQ$7^2*COS(RADIANS(AR$7))^2)+$D$7</f>
        <v>1.76781698028115</v>
      </c>
      <c r="AQ19" s="123" t="n">
        <f aca="false">MIN($V$5,AP19)</f>
        <v>1.76781698028115</v>
      </c>
      <c r="AR19" s="112"/>
      <c r="AS19" s="112" t="n">
        <f aca="false">AS18+AS$7/100</f>
        <v>0.22</v>
      </c>
      <c r="AT19" s="122" t="n">
        <f aca="false">AS19-IF($I$3="Forward", $D$9, $G$9)</f>
        <v>0.22</v>
      </c>
      <c r="AU19" s="112" t="n">
        <f aca="false">AS19*TAN(RADIANS(AW$7))-(IF($B$4, 9.807, 32.174)*AS19^2)/(2*AV$7^2*COS(RADIANS(AW$7))^2)+$D$7</f>
        <v>1.76781698028115</v>
      </c>
      <c r="AV19" s="123" t="n">
        <f aca="false">MIN($V$5,AU19)</f>
        <v>1.76781698028115</v>
      </c>
      <c r="AW19" s="112"/>
      <c r="AX19" s="112" t="n">
        <f aca="false">AX18+AX$7/100</f>
        <v>0.22</v>
      </c>
      <c r="AY19" s="122" t="n">
        <f aca="false">AX19+IF($I$3="Forward", $D$9, $G$9)</f>
        <v>0.22</v>
      </c>
      <c r="AZ19" s="112" t="n">
        <f aca="false">AX19*TAN(RADIANS(BB$7))-(IF($B$4, 9.807, 32.174)*AX19^2)/(2*BA$7^2*COS(RADIANS(BB$7))^2)+$D$7</f>
        <v>1.76781698028115</v>
      </c>
      <c r="BA19" s="123" t="n">
        <f aca="false">MIN($V$5,AZ19)</f>
        <v>1.76781698028115</v>
      </c>
      <c r="BB19" s="112"/>
      <c r="BC19" s="112" t="n">
        <f aca="false">BC18+BC$7/100</f>
        <v>0.22</v>
      </c>
      <c r="BD19" s="112" t="n">
        <f aca="false">BC19</f>
        <v>0.22</v>
      </c>
      <c r="BE19" s="112" t="n">
        <f aca="false">BC19*TAN(RADIANS(BG$7))-(IF($B$4, 9.807, 32.174)*BC19^2)/(2*BF$7^2*COS(RADIANS(BG$7))^2)+$D$7</f>
        <v>1.76781698028115</v>
      </c>
      <c r="BF19" s="123" t="n">
        <f aca="false">MIN($V$5,BE19)</f>
        <v>1.76781698028115</v>
      </c>
      <c r="BG19" s="112"/>
      <c r="BH19" s="112" t="n">
        <f aca="false">BH18+BH$7/100</f>
        <v>0.22</v>
      </c>
      <c r="BI19" s="122" t="n">
        <f aca="false">BH19-IF($I$3="Forward", $D$9, $G$9)</f>
        <v>0.22</v>
      </c>
      <c r="BJ19" s="112" t="n">
        <f aca="false">BH19*TAN(RADIANS(BL$7))-(IF($B$4, 9.807, 32.174)*BH19^2)/(2*BK$7^2*COS(RADIANS(BL$7))^2)+$D$7</f>
        <v>1.76781698028115</v>
      </c>
      <c r="BK19" s="123" t="n">
        <f aca="false">MIN($V$5,BJ19)</f>
        <v>1.76781698028115</v>
      </c>
      <c r="BL19" s="112"/>
      <c r="BM19" s="112" t="n">
        <f aca="false">BM18+BM$7/100</f>
        <v>0.22</v>
      </c>
      <c r="BN19" s="122" t="n">
        <f aca="false">BM19+IF($I$3="Forward", $D$9, $G$9)</f>
        <v>0.22</v>
      </c>
      <c r="BO19" s="112" t="n">
        <f aca="false">BM19*TAN(RADIANS(BQ$7))-(IF($B$4, 9.807, 32.174)*BM19^2)/(2*BP$7^2*COS(RADIANS(BQ$7))^2)+$D$7</f>
        <v>1.76781698028115</v>
      </c>
      <c r="BP19" s="123" t="n">
        <f aca="false">MIN($V$5,BO19)</f>
        <v>1.76781698028115</v>
      </c>
      <c r="BQ19" s="112"/>
      <c r="BR19" s="112" t="n">
        <f aca="false">BR18+BR$7/100</f>
        <v>0.22</v>
      </c>
      <c r="BS19" s="112" t="n">
        <f aca="false">BR19</f>
        <v>0.22</v>
      </c>
      <c r="BT19" s="112" t="n">
        <f aca="false">BR19*TAN(RADIANS(BV$7))-(IF($B$4, 9.807, 32.174)*BR19^2)/(2*BU$7^2*COS(RADIANS(BV$7))^2)+$D$7</f>
        <v>1.76781698028115</v>
      </c>
      <c r="BU19" s="123" t="n">
        <f aca="false">MIN($V$5,BT19)</f>
        <v>1.76781698028115</v>
      </c>
      <c r="BV19" s="112"/>
      <c r="BW19" s="112" t="n">
        <f aca="false">BW18+BW$7/100</f>
        <v>0.22</v>
      </c>
      <c r="BX19" s="122" t="n">
        <f aca="false">BW19-IF($I$3="Forward", $D$9, $G$9)</f>
        <v>0.22</v>
      </c>
      <c r="BY19" s="112" t="n">
        <f aca="false">BW19*TAN(RADIANS(CA$7))-(IF($B$4, 9.807, 32.174)*BW19^2)/(2*BZ$7^2*COS(RADIANS(CA$7))^2)+$D$7</f>
        <v>1.76781698028115</v>
      </c>
      <c r="BZ19" s="123" t="n">
        <f aca="false">MIN($V$5,BY19)</f>
        <v>1.76781698028115</v>
      </c>
      <c r="CA19" s="112"/>
      <c r="CB19" s="112" t="n">
        <f aca="false">CB18+CB$7/100</f>
        <v>0.22</v>
      </c>
      <c r="CC19" s="122" t="n">
        <f aca="false">CB19+IF($I$3="Forward", $D$9, $G$9)</f>
        <v>0.22</v>
      </c>
      <c r="CD19" s="112" t="n">
        <f aca="false">CB19*TAN(RADIANS(CF$7))-(IF($B$4, 9.807, 32.174)*CB19^2)/(2*CE$7^2*COS(RADIANS(CF$7))^2)+$D$7</f>
        <v>1.76781698028115</v>
      </c>
      <c r="CE19" s="123" t="n">
        <f aca="false">MIN($V$5,CD19)</f>
        <v>1.76781698028115</v>
      </c>
      <c r="CF19" s="112"/>
      <c r="CG19" s="124" t="n">
        <f aca="false">CG18+CG$7/100</f>
        <v>0.22</v>
      </c>
      <c r="CH19" s="124" t="n">
        <f aca="false">CG19</f>
        <v>0.22</v>
      </c>
      <c r="CI19" s="124" t="n">
        <f aca="false">CG19*TAN(RADIANS(CK$7))-(IF($B$4, 9.807, 32.174)*CG19^2)/(2*CJ$7^2*COS(RADIANS(CK$7))^2)+$D$7</f>
        <v>1.76781698028115</v>
      </c>
      <c r="CJ19" s="123" t="n">
        <f aca="false">MIN($V$5,CI19)</f>
        <v>1.76781698028115</v>
      </c>
      <c r="CK19" s="124"/>
      <c r="CL19" s="112" t="n">
        <f aca="false">CL18+CL$7/100</f>
        <v>0.22</v>
      </c>
      <c r="CM19" s="122" t="n">
        <f aca="false">CL19-IF($I$3="Forward", $D$9, $G$9)</f>
        <v>0.22</v>
      </c>
      <c r="CN19" s="112" t="n">
        <f aca="false">CL19*TAN(RADIANS(CP$7))-(IF($B$4, 9.807, 32.174)*CL19^2)/(2*CO$7^2*COS(RADIANS(CP$7))^2)+$D$7</f>
        <v>1.76781698028115</v>
      </c>
      <c r="CO19" s="123" t="n">
        <f aca="false">MIN($V$5,CN19)</f>
        <v>1.76781698028115</v>
      </c>
      <c r="CP19" s="112"/>
      <c r="CQ19" s="112" t="n">
        <f aca="false">CQ18+CQ$7/100</f>
        <v>0.22</v>
      </c>
      <c r="CR19" s="122" t="n">
        <f aca="false">CQ19+IF($I$3="Forward", $D$9, $G$9)</f>
        <v>0.22</v>
      </c>
      <c r="CS19" s="112" t="n">
        <f aca="false">CQ19*TAN(RADIANS(CU$7))-(IF($B$4, 9.807, 32.174)*CQ19^2)/(2*CT$7^2*COS(RADIANS(CU$7))^2)+$D$7</f>
        <v>1.76781698028115</v>
      </c>
      <c r="CT19" s="123" t="n">
        <f aca="false">MIN($V$5,CS19)</f>
        <v>1.76781698028115</v>
      </c>
      <c r="CU19" s="112"/>
      <c r="CV19" s="112" t="n">
        <f aca="false">CV18+CV$7/100</f>
        <v>0.22</v>
      </c>
      <c r="CW19" s="112" t="n">
        <f aca="false">CV19</f>
        <v>0.22</v>
      </c>
      <c r="CX19" s="112" t="n">
        <f aca="false">CV19*TAN(RADIANS(CZ$7))-(IF($B$4, 9.807, 32.174)*CV19^2)/(2*CY$7^2*COS(RADIANS(CZ$7))^2)+$D$7</f>
        <v>1.76781698028115</v>
      </c>
      <c r="CY19" s="123" t="n">
        <f aca="false">MIN($V$5,CX19)</f>
        <v>1.76781698028115</v>
      </c>
      <c r="CZ19" s="112"/>
      <c r="DA19" s="112" t="n">
        <f aca="false">DA18+DA$7/100</f>
        <v>0.22</v>
      </c>
      <c r="DB19" s="122" t="n">
        <f aca="false">DA19-IF($I$3="Forward", $D$9, $G$9)</f>
        <v>0.22</v>
      </c>
      <c r="DC19" s="112" t="n">
        <f aca="false">DA19*TAN(RADIANS(DE$7))-(IF($B$4, 9.807, 32.174)*DA19^2)/(2*DD$7^2*COS(RADIANS(DE$7))^2)+$D$7</f>
        <v>1.76781698028115</v>
      </c>
      <c r="DD19" s="123" t="n">
        <f aca="false">MIN($V$5,DC19)</f>
        <v>1.76781698028115</v>
      </c>
      <c r="DE19" s="112"/>
      <c r="DF19" s="112" t="n">
        <f aca="false">DF18+DF$7/100</f>
        <v>0.22</v>
      </c>
      <c r="DG19" s="122" t="n">
        <f aca="false">DF19+IF($I$3="Forward", $D$9, $G$9)</f>
        <v>0.22</v>
      </c>
      <c r="DH19" s="112" t="n">
        <f aca="false">DF19*TAN(RADIANS(DJ$7))-(IF($B$4, 9.807, 32.174)*DF19^2)/(2*DI$7^2*COS(RADIANS(DJ$7))^2)+$D$7</f>
        <v>1.76781698028115</v>
      </c>
      <c r="DI19" s="123" t="n">
        <f aca="false">MIN($V$5,DH19)</f>
        <v>1.76781698028115</v>
      </c>
      <c r="DJ19" s="112"/>
      <c r="DK19" s="112" t="n">
        <f aca="false">DK18+DK$7/100</f>
        <v>0.22</v>
      </c>
      <c r="DL19" s="112" t="n">
        <f aca="false">DK19</f>
        <v>0.22</v>
      </c>
      <c r="DM19" s="112" t="n">
        <f aca="false">DK19*TAN(RADIANS(DO$7))-(IF($B$4, 9.807, 32.174)*DK19^2)/(2*DN$7^2*COS(RADIANS(DO$7))^2)+$D$7</f>
        <v>1.76781698028115</v>
      </c>
      <c r="DN19" s="123" t="n">
        <f aca="false">MIN($V$5,DM19)</f>
        <v>1.76781698028115</v>
      </c>
      <c r="DO19" s="112"/>
      <c r="DP19" s="112" t="n">
        <f aca="false">DP18+DP$7/100</f>
        <v>0.22</v>
      </c>
      <c r="DQ19" s="122" t="n">
        <f aca="false">DP19-IF($I$3="Forward", $D$9, $G$9)</f>
        <v>0.22</v>
      </c>
      <c r="DR19" s="112" t="n">
        <f aca="false">DP19*TAN(RADIANS(DT$7))-(IF($B$4, 9.807, 32.174)*DP19^2)/(2*DS$7^2*COS(RADIANS(DT$7))^2)+$D$7</f>
        <v>1.76781698028115</v>
      </c>
      <c r="DS19" s="123" t="n">
        <f aca="false">MIN($V$5,DR19)</f>
        <v>1.76781698028115</v>
      </c>
      <c r="DT19" s="112"/>
      <c r="DU19" s="112" t="n">
        <f aca="false">DU18+DU$7/100</f>
        <v>0.22</v>
      </c>
      <c r="DV19" s="122" t="n">
        <f aca="false">DU19+IF($I$3="Forward", $D$9, $G$9)</f>
        <v>0.22</v>
      </c>
      <c r="DW19" s="112" t="n">
        <f aca="false">DU19*TAN(RADIANS(DY$7))-(IF($B$4, 9.807, 32.174)*DU19^2)/(2*DX$7^2*COS(RADIANS(DY$7))^2)+$D$7</f>
        <v>1.76781698028115</v>
      </c>
      <c r="DX19" s="123" t="n">
        <f aca="false">MIN($V$5,DW19)</f>
        <v>1.76781698028115</v>
      </c>
      <c r="DY19" s="112"/>
      <c r="DZ19" s="112" t="n">
        <f aca="false">DZ18+DZ$7/100</f>
        <v>0.22</v>
      </c>
      <c r="EA19" s="112" t="n">
        <f aca="false">DZ19</f>
        <v>0.22</v>
      </c>
      <c r="EB19" s="112" t="n">
        <f aca="false">DZ19*TAN(RADIANS(ED$7))-(IF($B$4, 9.807, 32.174)*DZ19^2)/(2*EC$7^2*COS(RADIANS(ED$7))^2)+$D$7</f>
        <v>1.76781698028115</v>
      </c>
      <c r="EC19" s="123" t="n">
        <f aca="false">MIN($V$5,EB19)</f>
        <v>1.76781698028115</v>
      </c>
      <c r="ED19" s="112"/>
      <c r="EE19" s="112" t="n">
        <f aca="false">EE18+EE$7/100</f>
        <v>0.22</v>
      </c>
      <c r="EF19" s="122" t="n">
        <f aca="false">EE19-IF($I$3="Forward", $D$9, $G$9)</f>
        <v>0.22</v>
      </c>
      <c r="EG19" s="112" t="n">
        <f aca="false">EE19*TAN(RADIANS(EI$7))-(IF($B$4, 9.807, 32.174)*EE19^2)/(2*EH$7^2*COS(RADIANS(EI$7))^2)+$D$7</f>
        <v>1.76781698028115</v>
      </c>
      <c r="EH19" s="123" t="n">
        <f aca="false">MIN($V$5,EG19)</f>
        <v>1.76781698028115</v>
      </c>
      <c r="EI19" s="112"/>
      <c r="EJ19" s="112" t="n">
        <f aca="false">EJ18+EJ$7/100</f>
        <v>0.22</v>
      </c>
      <c r="EK19" s="122" t="n">
        <f aca="false">EJ19+IF($I$3="Forward", $D$9, $G$9)</f>
        <v>0.22</v>
      </c>
      <c r="EL19" s="112" t="n">
        <f aca="false">EJ19*TAN(RADIANS(EN$7))-(IF($B$4, 9.807, 32.174)*EJ19^2)/(2*EM$7^2*COS(RADIANS(EN$7))^2)+$D$7</f>
        <v>1.76781698028115</v>
      </c>
      <c r="EM19" s="123" t="n">
        <f aca="false">MIN($V$5,EL19)</f>
        <v>1.76781698028115</v>
      </c>
      <c r="EN19" s="112"/>
      <c r="EO19" s="112" t="n">
        <f aca="false">EO18+EO$7/100</f>
        <v>0.22</v>
      </c>
      <c r="EP19" s="112" t="n">
        <f aca="false">EO19</f>
        <v>0.22</v>
      </c>
      <c r="EQ19" s="112" t="n">
        <f aca="false">EO19*TAN(RADIANS(ES$7))-(IF($B$4, 9.807, 32.174)*EO19^2)/(2*ER$7^2*COS(RADIANS(ES$7))^2)+$D$7</f>
        <v>1.76781698028115</v>
      </c>
      <c r="ER19" s="123" t="n">
        <f aca="false">MIN($V$5,EQ19)</f>
        <v>1.76781698028115</v>
      </c>
      <c r="ES19" s="112"/>
      <c r="ET19" s="112" t="n">
        <f aca="false">ET18+ET$7/100</f>
        <v>0.22</v>
      </c>
      <c r="EU19" s="122" t="n">
        <f aca="false">ET19-IF($I$3="Forward", $D$9, $G$9)</f>
        <v>0.22</v>
      </c>
      <c r="EV19" s="112" t="n">
        <f aca="false">ET19*TAN(RADIANS(EX$7))-(IF($B$4, 9.807, 32.174)*ET19^2)/(2*EW$7^2*COS(RADIANS(EX$7))^2)+$D$7</f>
        <v>1.76781698028115</v>
      </c>
      <c r="EW19" s="123" t="n">
        <f aca="false">MIN($V$5,EV19)</f>
        <v>1.76781698028115</v>
      </c>
      <c r="EX19" s="112"/>
    </row>
    <row r="20" s="131" customFormat="true" ht="15" hidden="false" customHeight="false" outlineLevel="0" collapsed="false">
      <c r="C20" s="119" t="s">
        <v>129</v>
      </c>
      <c r="D20" s="135" t="n">
        <f aca="false">DEGREES(ATAN(2*($D$18-$D$7)/$D$8-TAN(RADIANS($D$12))))</f>
        <v>-67.8745146015099</v>
      </c>
      <c r="E20" s="111"/>
      <c r="F20" s="119" t="s">
        <v>126</v>
      </c>
      <c r="G20" s="135" t="n">
        <f aca="false">DEGREES(ATAN(2*(G10-G7)/G8-TAN(RADIANS(G12))))</f>
        <v>82.759695716411</v>
      </c>
      <c r="H20" s="111"/>
      <c r="I20" s="111"/>
      <c r="J20" s="111"/>
      <c r="K20" s="111"/>
      <c r="L20" s="111"/>
      <c r="M20" s="111"/>
      <c r="N20" s="111"/>
      <c r="O20" s="111"/>
      <c r="P20" s="111"/>
      <c r="Q20" s="111"/>
      <c r="R20" s="111"/>
      <c r="S20" s="111"/>
      <c r="T20" s="112" t="n">
        <f aca="false">T19+T$7/100</f>
        <v>0.24</v>
      </c>
      <c r="U20" s="122" t="n">
        <f aca="false">T20+IF($I$3="Forward", $D$9, $G$9)</f>
        <v>0.24</v>
      </c>
      <c r="V20" s="112" t="n">
        <f aca="false">T20*TAN(RADIANS(X$7))-(IF($B$4, 9.807, 32.174)*T20^2)/(2*W$7^2*COS(RADIANS(X$7))^2)+$D$7</f>
        <v>1.89409472030326</v>
      </c>
      <c r="W20" s="123" t="n">
        <f aca="false">MIN($V$5,V20)</f>
        <v>1.89409472030326</v>
      </c>
      <c r="X20" s="112"/>
      <c r="Y20" s="112" t="n">
        <f aca="false">Y19+Y$7/100</f>
        <v>0.24</v>
      </c>
      <c r="Z20" s="112" t="n">
        <f aca="false">Y20</f>
        <v>0.24</v>
      </c>
      <c r="AA20" s="112" t="n">
        <f aca="false">Y20*TAN(RADIANS(AC$7))-(IF($B$4, 9.807, 32.174)*Y20^2)/(2*AB$7^2*COS(RADIANS(AC$7))^2)+$D$7</f>
        <v>1.89409472030326</v>
      </c>
      <c r="AB20" s="123" t="n">
        <f aca="false">MIN($V$5,AA20)</f>
        <v>1.89409472030326</v>
      </c>
      <c r="AC20" s="112"/>
      <c r="AD20" s="112" t="n">
        <f aca="false">AD19+AD$7/100</f>
        <v>0.24</v>
      </c>
      <c r="AE20" s="122" t="n">
        <f aca="false">AD20-IF($I$3="Forward", $D$9, $G$9)</f>
        <v>0.24</v>
      </c>
      <c r="AF20" s="112" t="n">
        <f aca="false">AD20*TAN(RADIANS(AH$7))-(IF($B$4, 9.807, 32.174)*AD20^2)/(2*AG$7^2*COS(RADIANS(AH$7))^2)+$D$7</f>
        <v>1.89409472030326</v>
      </c>
      <c r="AG20" s="123" t="n">
        <f aca="false">MIN($V$5,AF20)</f>
        <v>1.89409472030326</v>
      </c>
      <c r="AH20" s="112"/>
      <c r="AI20" s="112" t="n">
        <f aca="false">AI19+AI$7/100</f>
        <v>0.24</v>
      </c>
      <c r="AJ20" s="122" t="n">
        <f aca="false">AI20+IF($I$3="Forward", $D$9, $G$9)</f>
        <v>0.24</v>
      </c>
      <c r="AK20" s="112" t="n">
        <f aca="false">AI20*TAN(RADIANS(AM$7))-(IF($B$4, 9.807, 32.174)*AI20^2)/(2*AL$7^2*COS(RADIANS(AM$7))^2)+$D$7</f>
        <v>1.89409472030326</v>
      </c>
      <c r="AL20" s="123" t="n">
        <f aca="false">MIN($V$5,AK20)</f>
        <v>1.89409472030326</v>
      </c>
      <c r="AM20" s="112"/>
      <c r="AN20" s="112" t="n">
        <f aca="false">AN19+AN$7/100</f>
        <v>0.24</v>
      </c>
      <c r="AO20" s="112" t="n">
        <f aca="false">AN20</f>
        <v>0.24</v>
      </c>
      <c r="AP20" s="112" t="n">
        <f aca="false">AN20*TAN(RADIANS(AR$7))-(IF($B$4, 9.807, 32.174)*AN20^2)/(2*AQ$7^2*COS(RADIANS(AR$7))^2)+$D$7</f>
        <v>1.89409472030326</v>
      </c>
      <c r="AQ20" s="123" t="n">
        <f aca="false">MIN($V$5,AP20)</f>
        <v>1.89409472030326</v>
      </c>
      <c r="AR20" s="112"/>
      <c r="AS20" s="112" t="n">
        <f aca="false">AS19+AS$7/100</f>
        <v>0.24</v>
      </c>
      <c r="AT20" s="122" t="n">
        <f aca="false">AS20-IF($I$3="Forward", $D$9, $G$9)</f>
        <v>0.24</v>
      </c>
      <c r="AU20" s="112" t="n">
        <f aca="false">AS20*TAN(RADIANS(AW$7))-(IF($B$4, 9.807, 32.174)*AS20^2)/(2*AV$7^2*COS(RADIANS(AW$7))^2)+$D$7</f>
        <v>1.89409472030326</v>
      </c>
      <c r="AV20" s="123" t="n">
        <f aca="false">MIN($V$5,AU20)</f>
        <v>1.89409472030326</v>
      </c>
      <c r="AW20" s="112"/>
      <c r="AX20" s="112" t="n">
        <f aca="false">AX19+AX$7/100</f>
        <v>0.24</v>
      </c>
      <c r="AY20" s="122" t="n">
        <f aca="false">AX20+IF($I$3="Forward", $D$9, $G$9)</f>
        <v>0.24</v>
      </c>
      <c r="AZ20" s="112" t="n">
        <f aca="false">AX20*TAN(RADIANS(BB$7))-(IF($B$4, 9.807, 32.174)*AX20^2)/(2*BA$7^2*COS(RADIANS(BB$7))^2)+$D$7</f>
        <v>1.89409472030326</v>
      </c>
      <c r="BA20" s="123" t="n">
        <f aca="false">MIN($V$5,AZ20)</f>
        <v>1.89409472030326</v>
      </c>
      <c r="BB20" s="112"/>
      <c r="BC20" s="112" t="n">
        <f aca="false">BC19+BC$7/100</f>
        <v>0.24</v>
      </c>
      <c r="BD20" s="112" t="n">
        <f aca="false">BC20</f>
        <v>0.24</v>
      </c>
      <c r="BE20" s="112" t="n">
        <f aca="false">BC20*TAN(RADIANS(BG$7))-(IF($B$4, 9.807, 32.174)*BC20^2)/(2*BF$7^2*COS(RADIANS(BG$7))^2)+$D$7</f>
        <v>1.89409472030326</v>
      </c>
      <c r="BF20" s="123" t="n">
        <f aca="false">MIN($V$5,BE20)</f>
        <v>1.89409472030326</v>
      </c>
      <c r="BG20" s="112"/>
      <c r="BH20" s="112" t="n">
        <f aca="false">BH19+BH$7/100</f>
        <v>0.24</v>
      </c>
      <c r="BI20" s="122" t="n">
        <f aca="false">BH20-IF($I$3="Forward", $D$9, $G$9)</f>
        <v>0.24</v>
      </c>
      <c r="BJ20" s="112" t="n">
        <f aca="false">BH20*TAN(RADIANS(BL$7))-(IF($B$4, 9.807, 32.174)*BH20^2)/(2*BK$7^2*COS(RADIANS(BL$7))^2)+$D$7</f>
        <v>1.89409472030326</v>
      </c>
      <c r="BK20" s="123" t="n">
        <f aca="false">MIN($V$5,BJ20)</f>
        <v>1.89409472030326</v>
      </c>
      <c r="BL20" s="112"/>
      <c r="BM20" s="112" t="n">
        <f aca="false">BM19+BM$7/100</f>
        <v>0.24</v>
      </c>
      <c r="BN20" s="122" t="n">
        <f aca="false">BM20+IF($I$3="Forward", $D$9, $G$9)</f>
        <v>0.24</v>
      </c>
      <c r="BO20" s="112" t="n">
        <f aca="false">BM20*TAN(RADIANS(BQ$7))-(IF($B$4, 9.807, 32.174)*BM20^2)/(2*BP$7^2*COS(RADIANS(BQ$7))^2)+$D$7</f>
        <v>1.89409472030326</v>
      </c>
      <c r="BP20" s="123" t="n">
        <f aca="false">MIN($V$5,BO20)</f>
        <v>1.89409472030326</v>
      </c>
      <c r="BQ20" s="112"/>
      <c r="BR20" s="112" t="n">
        <f aca="false">BR19+BR$7/100</f>
        <v>0.24</v>
      </c>
      <c r="BS20" s="112" t="n">
        <f aca="false">BR20</f>
        <v>0.24</v>
      </c>
      <c r="BT20" s="112" t="n">
        <f aca="false">BR20*TAN(RADIANS(BV$7))-(IF($B$4, 9.807, 32.174)*BR20^2)/(2*BU$7^2*COS(RADIANS(BV$7))^2)+$D$7</f>
        <v>1.89409472030326</v>
      </c>
      <c r="BU20" s="123" t="n">
        <f aca="false">MIN($V$5,BT20)</f>
        <v>1.89409472030326</v>
      </c>
      <c r="BV20" s="112"/>
      <c r="BW20" s="112" t="n">
        <f aca="false">BW19+BW$7/100</f>
        <v>0.24</v>
      </c>
      <c r="BX20" s="122" t="n">
        <f aca="false">BW20-IF($I$3="Forward", $D$9, $G$9)</f>
        <v>0.24</v>
      </c>
      <c r="BY20" s="112" t="n">
        <f aca="false">BW20*TAN(RADIANS(CA$7))-(IF($B$4, 9.807, 32.174)*BW20^2)/(2*BZ$7^2*COS(RADIANS(CA$7))^2)+$D$7</f>
        <v>1.89409472030326</v>
      </c>
      <c r="BZ20" s="123" t="n">
        <f aca="false">MIN($V$5,BY20)</f>
        <v>1.89409472030326</v>
      </c>
      <c r="CA20" s="112"/>
      <c r="CB20" s="112" t="n">
        <f aca="false">CB19+CB$7/100</f>
        <v>0.24</v>
      </c>
      <c r="CC20" s="122" t="n">
        <f aca="false">CB20+IF($I$3="Forward", $D$9, $G$9)</f>
        <v>0.24</v>
      </c>
      <c r="CD20" s="112" t="n">
        <f aca="false">CB20*TAN(RADIANS(CF$7))-(IF($B$4, 9.807, 32.174)*CB20^2)/(2*CE$7^2*COS(RADIANS(CF$7))^2)+$D$7</f>
        <v>1.89409472030326</v>
      </c>
      <c r="CE20" s="123" t="n">
        <f aca="false">MIN($V$5,CD20)</f>
        <v>1.89409472030326</v>
      </c>
      <c r="CF20" s="112"/>
      <c r="CG20" s="124" t="n">
        <f aca="false">CG19+CG$7/100</f>
        <v>0.24</v>
      </c>
      <c r="CH20" s="124" t="n">
        <f aca="false">CG20</f>
        <v>0.24</v>
      </c>
      <c r="CI20" s="124" t="n">
        <f aca="false">CG20*TAN(RADIANS(CK$7))-(IF($B$4, 9.807, 32.174)*CG20^2)/(2*CJ$7^2*COS(RADIANS(CK$7))^2)+$D$7</f>
        <v>1.89409472030326</v>
      </c>
      <c r="CJ20" s="123" t="n">
        <f aca="false">MIN($V$5,CI20)</f>
        <v>1.89409472030326</v>
      </c>
      <c r="CK20" s="124"/>
      <c r="CL20" s="112" t="n">
        <f aca="false">CL19+CL$7/100</f>
        <v>0.24</v>
      </c>
      <c r="CM20" s="122" t="n">
        <f aca="false">CL20-IF($I$3="Forward", $D$9, $G$9)</f>
        <v>0.24</v>
      </c>
      <c r="CN20" s="112" t="n">
        <f aca="false">CL20*TAN(RADIANS(CP$7))-(IF($B$4, 9.807, 32.174)*CL20^2)/(2*CO$7^2*COS(RADIANS(CP$7))^2)+$D$7</f>
        <v>1.89409472030326</v>
      </c>
      <c r="CO20" s="123" t="n">
        <f aca="false">MIN($V$5,CN20)</f>
        <v>1.89409472030326</v>
      </c>
      <c r="CP20" s="112"/>
      <c r="CQ20" s="112" t="n">
        <f aca="false">CQ19+CQ$7/100</f>
        <v>0.24</v>
      </c>
      <c r="CR20" s="122" t="n">
        <f aca="false">CQ20+IF($I$3="Forward", $D$9, $G$9)</f>
        <v>0.24</v>
      </c>
      <c r="CS20" s="112" t="n">
        <f aca="false">CQ20*TAN(RADIANS(CU$7))-(IF($B$4, 9.807, 32.174)*CQ20^2)/(2*CT$7^2*COS(RADIANS(CU$7))^2)+$D$7</f>
        <v>1.89409472030326</v>
      </c>
      <c r="CT20" s="123" t="n">
        <f aca="false">MIN($V$5,CS20)</f>
        <v>1.89409472030326</v>
      </c>
      <c r="CU20" s="112"/>
      <c r="CV20" s="112" t="n">
        <f aca="false">CV19+CV$7/100</f>
        <v>0.24</v>
      </c>
      <c r="CW20" s="112" t="n">
        <f aca="false">CV20</f>
        <v>0.24</v>
      </c>
      <c r="CX20" s="112" t="n">
        <f aca="false">CV20*TAN(RADIANS(CZ$7))-(IF($B$4, 9.807, 32.174)*CV20^2)/(2*CY$7^2*COS(RADIANS(CZ$7))^2)+$D$7</f>
        <v>1.89409472030326</v>
      </c>
      <c r="CY20" s="123" t="n">
        <f aca="false">MIN($V$5,CX20)</f>
        <v>1.89409472030326</v>
      </c>
      <c r="CZ20" s="112"/>
      <c r="DA20" s="112" t="n">
        <f aca="false">DA19+DA$7/100</f>
        <v>0.24</v>
      </c>
      <c r="DB20" s="122" t="n">
        <f aca="false">DA20-IF($I$3="Forward", $D$9, $G$9)</f>
        <v>0.24</v>
      </c>
      <c r="DC20" s="112" t="n">
        <f aca="false">DA20*TAN(RADIANS(DE$7))-(IF($B$4, 9.807, 32.174)*DA20^2)/(2*DD$7^2*COS(RADIANS(DE$7))^2)+$D$7</f>
        <v>1.89409472030326</v>
      </c>
      <c r="DD20" s="123" t="n">
        <f aca="false">MIN($V$5,DC20)</f>
        <v>1.89409472030326</v>
      </c>
      <c r="DE20" s="112"/>
      <c r="DF20" s="112" t="n">
        <f aca="false">DF19+DF$7/100</f>
        <v>0.24</v>
      </c>
      <c r="DG20" s="122" t="n">
        <f aca="false">DF20+IF($I$3="Forward", $D$9, $G$9)</f>
        <v>0.24</v>
      </c>
      <c r="DH20" s="112" t="n">
        <f aca="false">DF20*TAN(RADIANS(DJ$7))-(IF($B$4, 9.807, 32.174)*DF20^2)/(2*DI$7^2*COS(RADIANS(DJ$7))^2)+$D$7</f>
        <v>1.89409472030326</v>
      </c>
      <c r="DI20" s="123" t="n">
        <f aca="false">MIN($V$5,DH20)</f>
        <v>1.89409472030326</v>
      </c>
      <c r="DJ20" s="112"/>
      <c r="DK20" s="112" t="n">
        <f aca="false">DK19+DK$7/100</f>
        <v>0.24</v>
      </c>
      <c r="DL20" s="112" t="n">
        <f aca="false">DK20</f>
        <v>0.24</v>
      </c>
      <c r="DM20" s="112" t="n">
        <f aca="false">DK20*TAN(RADIANS(DO$7))-(IF($B$4, 9.807, 32.174)*DK20^2)/(2*DN$7^2*COS(RADIANS(DO$7))^2)+$D$7</f>
        <v>1.89409472030326</v>
      </c>
      <c r="DN20" s="123" t="n">
        <f aca="false">MIN($V$5,DM20)</f>
        <v>1.89409472030326</v>
      </c>
      <c r="DO20" s="112"/>
      <c r="DP20" s="112" t="n">
        <f aca="false">DP19+DP$7/100</f>
        <v>0.24</v>
      </c>
      <c r="DQ20" s="122" t="n">
        <f aca="false">DP20-IF($I$3="Forward", $D$9, $G$9)</f>
        <v>0.24</v>
      </c>
      <c r="DR20" s="112" t="n">
        <f aca="false">DP20*TAN(RADIANS(DT$7))-(IF($B$4, 9.807, 32.174)*DP20^2)/(2*DS$7^2*COS(RADIANS(DT$7))^2)+$D$7</f>
        <v>1.89409472030326</v>
      </c>
      <c r="DS20" s="123" t="n">
        <f aca="false">MIN($V$5,DR20)</f>
        <v>1.89409472030326</v>
      </c>
      <c r="DT20" s="112"/>
      <c r="DU20" s="112" t="n">
        <f aca="false">DU19+DU$7/100</f>
        <v>0.24</v>
      </c>
      <c r="DV20" s="122" t="n">
        <f aca="false">DU20+IF($I$3="Forward", $D$9, $G$9)</f>
        <v>0.24</v>
      </c>
      <c r="DW20" s="112" t="n">
        <f aca="false">DU20*TAN(RADIANS(DY$7))-(IF($B$4, 9.807, 32.174)*DU20^2)/(2*DX$7^2*COS(RADIANS(DY$7))^2)+$D$7</f>
        <v>1.89409472030326</v>
      </c>
      <c r="DX20" s="123" t="n">
        <f aca="false">MIN($V$5,DW20)</f>
        <v>1.89409472030326</v>
      </c>
      <c r="DY20" s="112"/>
      <c r="DZ20" s="112" t="n">
        <f aca="false">DZ19+DZ$7/100</f>
        <v>0.24</v>
      </c>
      <c r="EA20" s="112" t="n">
        <f aca="false">DZ20</f>
        <v>0.24</v>
      </c>
      <c r="EB20" s="112" t="n">
        <f aca="false">DZ20*TAN(RADIANS(ED$7))-(IF($B$4, 9.807, 32.174)*DZ20^2)/(2*EC$7^2*COS(RADIANS(ED$7))^2)+$D$7</f>
        <v>1.89409472030326</v>
      </c>
      <c r="EC20" s="123" t="n">
        <f aca="false">MIN($V$5,EB20)</f>
        <v>1.89409472030326</v>
      </c>
      <c r="ED20" s="112"/>
      <c r="EE20" s="112" t="n">
        <f aca="false">EE19+EE$7/100</f>
        <v>0.24</v>
      </c>
      <c r="EF20" s="122" t="n">
        <f aca="false">EE20-IF($I$3="Forward", $D$9, $G$9)</f>
        <v>0.24</v>
      </c>
      <c r="EG20" s="112" t="n">
        <f aca="false">EE20*TAN(RADIANS(EI$7))-(IF($B$4, 9.807, 32.174)*EE20^2)/(2*EH$7^2*COS(RADIANS(EI$7))^2)+$D$7</f>
        <v>1.89409472030326</v>
      </c>
      <c r="EH20" s="123" t="n">
        <f aca="false">MIN($V$5,EG20)</f>
        <v>1.89409472030326</v>
      </c>
      <c r="EI20" s="112"/>
      <c r="EJ20" s="112" t="n">
        <f aca="false">EJ19+EJ$7/100</f>
        <v>0.24</v>
      </c>
      <c r="EK20" s="122" t="n">
        <f aca="false">EJ20+IF($I$3="Forward", $D$9, $G$9)</f>
        <v>0.24</v>
      </c>
      <c r="EL20" s="112" t="n">
        <f aca="false">EJ20*TAN(RADIANS(EN$7))-(IF($B$4, 9.807, 32.174)*EJ20^2)/(2*EM$7^2*COS(RADIANS(EN$7))^2)+$D$7</f>
        <v>1.89409472030326</v>
      </c>
      <c r="EM20" s="123" t="n">
        <f aca="false">MIN($V$5,EL20)</f>
        <v>1.89409472030326</v>
      </c>
      <c r="EN20" s="112"/>
      <c r="EO20" s="112" t="n">
        <f aca="false">EO19+EO$7/100</f>
        <v>0.24</v>
      </c>
      <c r="EP20" s="112" t="n">
        <f aca="false">EO20</f>
        <v>0.24</v>
      </c>
      <c r="EQ20" s="112" t="n">
        <f aca="false">EO20*TAN(RADIANS(ES$7))-(IF($B$4, 9.807, 32.174)*EO20^2)/(2*ER$7^2*COS(RADIANS(ES$7))^2)+$D$7</f>
        <v>1.89409472030326</v>
      </c>
      <c r="ER20" s="123" t="n">
        <f aca="false">MIN($V$5,EQ20)</f>
        <v>1.89409472030326</v>
      </c>
      <c r="ES20" s="112"/>
      <c r="ET20" s="112" t="n">
        <f aca="false">ET19+ET$7/100</f>
        <v>0.24</v>
      </c>
      <c r="EU20" s="122" t="n">
        <f aca="false">ET20-IF($I$3="Forward", $D$9, $G$9)</f>
        <v>0.24</v>
      </c>
      <c r="EV20" s="112" t="n">
        <f aca="false">ET20*TAN(RADIANS(EX$7))-(IF($B$4, 9.807, 32.174)*ET20^2)/(2*EW$7^2*COS(RADIANS(EX$7))^2)+$D$7</f>
        <v>1.89409472030326</v>
      </c>
      <c r="EW20" s="123" t="n">
        <f aca="false">MIN($V$5,EV20)</f>
        <v>1.89409472030326</v>
      </c>
      <c r="EX20" s="112"/>
    </row>
    <row r="21" s="131" customFormat="true" ht="15" hidden="false" customHeight="false" outlineLevel="0" collapsed="false">
      <c r="C21" s="119" t="s">
        <v>130</v>
      </c>
      <c r="D21" s="133" t="str">
        <f aca="false">IF(MAX(T114:AT114)=MIN(T114:AT114), "----", TEXT(MAX(T114:AT114), "0°") &amp; " – " &amp; TEXT(MIN(T114:AT114), "0°"))</f>
        <v>----</v>
      </c>
      <c r="E21" s="111"/>
      <c r="F21" s="119" t="s">
        <v>130</v>
      </c>
      <c r="G21" s="136" t="str">
        <f aca="false">IF(MAX(T120:AT120)=MIN(T120:AT120), "----", TEXT(MAX(T120:AT120), "0°") &amp; " – " &amp; TEXT(MIN(T120:AT120), "0°"))</f>
        <v>----</v>
      </c>
      <c r="H21" s="111"/>
      <c r="I21" s="111"/>
      <c r="J21" s="111"/>
      <c r="K21" s="111"/>
      <c r="L21" s="111"/>
      <c r="M21" s="111"/>
      <c r="N21" s="111"/>
      <c r="O21" s="111"/>
      <c r="P21" s="111"/>
      <c r="Q21" s="111"/>
      <c r="R21" s="111"/>
      <c r="S21" s="111"/>
      <c r="T21" s="112" t="n">
        <f aca="false">T20+T$7/100</f>
        <v>0.26</v>
      </c>
      <c r="U21" s="122" t="n">
        <f aca="false">T21+IF($I$3="Forward", $D$9, $G$9)</f>
        <v>0.26</v>
      </c>
      <c r="V21" s="112" t="n">
        <f aca="false">T21*TAN(RADIANS(X$7))-(IF($B$4, 9.807, 32.174)*T21^2)/(2*W$7^2*COS(RADIANS(X$7))^2)+$D$7</f>
        <v>2.01766394759753</v>
      </c>
      <c r="W21" s="123" t="n">
        <f aca="false">MIN($V$5,V21)</f>
        <v>2.01766394759753</v>
      </c>
      <c r="X21" s="112"/>
      <c r="Y21" s="112" t="n">
        <f aca="false">Y20+Y$7/100</f>
        <v>0.26</v>
      </c>
      <c r="Z21" s="112" t="n">
        <f aca="false">Y21</f>
        <v>0.26</v>
      </c>
      <c r="AA21" s="112" t="n">
        <f aca="false">Y21*TAN(RADIANS(AC$7))-(IF($B$4, 9.807, 32.174)*Y21^2)/(2*AB$7^2*COS(RADIANS(AC$7))^2)+$D$7</f>
        <v>2.01766394759753</v>
      </c>
      <c r="AB21" s="123" t="n">
        <f aca="false">MIN($V$5,AA21)</f>
        <v>2.01766394759753</v>
      </c>
      <c r="AC21" s="112"/>
      <c r="AD21" s="112" t="n">
        <f aca="false">AD20+AD$7/100</f>
        <v>0.26</v>
      </c>
      <c r="AE21" s="122" t="n">
        <f aca="false">AD21-IF($I$3="Forward", $D$9, $G$9)</f>
        <v>0.26</v>
      </c>
      <c r="AF21" s="112" t="n">
        <f aca="false">AD21*TAN(RADIANS(AH$7))-(IF($B$4, 9.807, 32.174)*AD21^2)/(2*AG$7^2*COS(RADIANS(AH$7))^2)+$D$7</f>
        <v>2.01766394759753</v>
      </c>
      <c r="AG21" s="123" t="n">
        <f aca="false">MIN($V$5,AF21)</f>
        <v>2.01766394759753</v>
      </c>
      <c r="AH21" s="112"/>
      <c r="AI21" s="112" t="n">
        <f aca="false">AI20+AI$7/100</f>
        <v>0.26</v>
      </c>
      <c r="AJ21" s="122" t="n">
        <f aca="false">AI21+IF($I$3="Forward", $D$9, $G$9)</f>
        <v>0.26</v>
      </c>
      <c r="AK21" s="112" t="n">
        <f aca="false">AI21*TAN(RADIANS(AM$7))-(IF($B$4, 9.807, 32.174)*AI21^2)/(2*AL$7^2*COS(RADIANS(AM$7))^2)+$D$7</f>
        <v>2.01766394759753</v>
      </c>
      <c r="AL21" s="123" t="n">
        <f aca="false">MIN($V$5,AK21)</f>
        <v>2.01766394759753</v>
      </c>
      <c r="AM21" s="112"/>
      <c r="AN21" s="112" t="n">
        <f aca="false">AN20+AN$7/100</f>
        <v>0.26</v>
      </c>
      <c r="AO21" s="112" t="n">
        <f aca="false">AN21</f>
        <v>0.26</v>
      </c>
      <c r="AP21" s="112" t="n">
        <f aca="false">AN21*TAN(RADIANS(AR$7))-(IF($B$4, 9.807, 32.174)*AN21^2)/(2*AQ$7^2*COS(RADIANS(AR$7))^2)+$D$7</f>
        <v>2.01766394759753</v>
      </c>
      <c r="AQ21" s="123" t="n">
        <f aca="false">MIN($V$5,AP21)</f>
        <v>2.01766394759753</v>
      </c>
      <c r="AR21" s="112"/>
      <c r="AS21" s="112" t="n">
        <f aca="false">AS20+AS$7/100</f>
        <v>0.26</v>
      </c>
      <c r="AT21" s="122" t="n">
        <f aca="false">AS21-IF($I$3="Forward", $D$9, $G$9)</f>
        <v>0.26</v>
      </c>
      <c r="AU21" s="112" t="n">
        <f aca="false">AS21*TAN(RADIANS(AW$7))-(IF($B$4, 9.807, 32.174)*AS21^2)/(2*AV$7^2*COS(RADIANS(AW$7))^2)+$D$7</f>
        <v>2.01766394759753</v>
      </c>
      <c r="AV21" s="123" t="n">
        <f aca="false">MIN($V$5,AU21)</f>
        <v>2.01766394759753</v>
      </c>
      <c r="AW21" s="112"/>
      <c r="AX21" s="112" t="n">
        <f aca="false">AX20+AX$7/100</f>
        <v>0.26</v>
      </c>
      <c r="AY21" s="122" t="n">
        <f aca="false">AX21+IF($I$3="Forward", $D$9, $G$9)</f>
        <v>0.26</v>
      </c>
      <c r="AZ21" s="112" t="n">
        <f aca="false">AX21*TAN(RADIANS(BB$7))-(IF($B$4, 9.807, 32.174)*AX21^2)/(2*BA$7^2*COS(RADIANS(BB$7))^2)+$D$7</f>
        <v>2.01766394759753</v>
      </c>
      <c r="BA21" s="123" t="n">
        <f aca="false">MIN($V$5,AZ21)</f>
        <v>2.01766394759753</v>
      </c>
      <c r="BB21" s="112"/>
      <c r="BC21" s="112" t="n">
        <f aca="false">BC20+BC$7/100</f>
        <v>0.26</v>
      </c>
      <c r="BD21" s="112" t="n">
        <f aca="false">BC21</f>
        <v>0.26</v>
      </c>
      <c r="BE21" s="112" t="n">
        <f aca="false">BC21*TAN(RADIANS(BG$7))-(IF($B$4, 9.807, 32.174)*BC21^2)/(2*BF$7^2*COS(RADIANS(BG$7))^2)+$D$7</f>
        <v>2.01766394759753</v>
      </c>
      <c r="BF21" s="123" t="n">
        <f aca="false">MIN($V$5,BE21)</f>
        <v>2.01766394759753</v>
      </c>
      <c r="BG21" s="112"/>
      <c r="BH21" s="112" t="n">
        <f aca="false">BH20+BH$7/100</f>
        <v>0.26</v>
      </c>
      <c r="BI21" s="122" t="n">
        <f aca="false">BH21-IF($I$3="Forward", $D$9, $G$9)</f>
        <v>0.26</v>
      </c>
      <c r="BJ21" s="112" t="n">
        <f aca="false">BH21*TAN(RADIANS(BL$7))-(IF($B$4, 9.807, 32.174)*BH21^2)/(2*BK$7^2*COS(RADIANS(BL$7))^2)+$D$7</f>
        <v>2.01766394759753</v>
      </c>
      <c r="BK21" s="123" t="n">
        <f aca="false">MIN($V$5,BJ21)</f>
        <v>2.01766394759753</v>
      </c>
      <c r="BL21" s="112"/>
      <c r="BM21" s="112" t="n">
        <f aca="false">BM20+BM$7/100</f>
        <v>0.26</v>
      </c>
      <c r="BN21" s="122" t="n">
        <f aca="false">BM21+IF($I$3="Forward", $D$9, $G$9)</f>
        <v>0.26</v>
      </c>
      <c r="BO21" s="112" t="n">
        <f aca="false">BM21*TAN(RADIANS(BQ$7))-(IF($B$4, 9.807, 32.174)*BM21^2)/(2*BP$7^2*COS(RADIANS(BQ$7))^2)+$D$7</f>
        <v>2.01766394759753</v>
      </c>
      <c r="BP21" s="123" t="n">
        <f aca="false">MIN($V$5,BO21)</f>
        <v>2.01766394759753</v>
      </c>
      <c r="BQ21" s="112"/>
      <c r="BR21" s="112" t="n">
        <f aca="false">BR20+BR$7/100</f>
        <v>0.26</v>
      </c>
      <c r="BS21" s="112" t="n">
        <f aca="false">BR21</f>
        <v>0.26</v>
      </c>
      <c r="BT21" s="112" t="n">
        <f aca="false">BR21*TAN(RADIANS(BV$7))-(IF($B$4, 9.807, 32.174)*BR21^2)/(2*BU$7^2*COS(RADIANS(BV$7))^2)+$D$7</f>
        <v>2.01766394759753</v>
      </c>
      <c r="BU21" s="123" t="n">
        <f aca="false">MIN($V$5,BT21)</f>
        <v>2.01766394759753</v>
      </c>
      <c r="BV21" s="112"/>
      <c r="BW21" s="112" t="n">
        <f aca="false">BW20+BW$7/100</f>
        <v>0.26</v>
      </c>
      <c r="BX21" s="122" t="n">
        <f aca="false">BW21-IF($I$3="Forward", $D$9, $G$9)</f>
        <v>0.26</v>
      </c>
      <c r="BY21" s="112" t="n">
        <f aca="false">BW21*TAN(RADIANS(CA$7))-(IF($B$4, 9.807, 32.174)*BW21^2)/(2*BZ$7^2*COS(RADIANS(CA$7))^2)+$D$7</f>
        <v>2.01766394759753</v>
      </c>
      <c r="BZ21" s="123" t="n">
        <f aca="false">MIN($V$5,BY21)</f>
        <v>2.01766394759753</v>
      </c>
      <c r="CA21" s="112"/>
      <c r="CB21" s="112" t="n">
        <f aca="false">CB20+CB$7/100</f>
        <v>0.26</v>
      </c>
      <c r="CC21" s="122" t="n">
        <f aca="false">CB21+IF($I$3="Forward", $D$9, $G$9)</f>
        <v>0.26</v>
      </c>
      <c r="CD21" s="112" t="n">
        <f aca="false">CB21*TAN(RADIANS(CF$7))-(IF($B$4, 9.807, 32.174)*CB21^2)/(2*CE$7^2*COS(RADIANS(CF$7))^2)+$D$7</f>
        <v>2.01766394759753</v>
      </c>
      <c r="CE21" s="123" t="n">
        <f aca="false">MIN($V$5,CD21)</f>
        <v>2.01766394759753</v>
      </c>
      <c r="CF21" s="112"/>
      <c r="CG21" s="124" t="n">
        <f aca="false">CG20+CG$7/100</f>
        <v>0.26</v>
      </c>
      <c r="CH21" s="124" t="n">
        <f aca="false">CG21</f>
        <v>0.26</v>
      </c>
      <c r="CI21" s="124" t="n">
        <f aca="false">CG21*TAN(RADIANS(CK$7))-(IF($B$4, 9.807, 32.174)*CG21^2)/(2*CJ$7^2*COS(RADIANS(CK$7))^2)+$D$7</f>
        <v>2.01766394759753</v>
      </c>
      <c r="CJ21" s="123" t="n">
        <f aca="false">MIN($V$5,CI21)</f>
        <v>2.01766394759753</v>
      </c>
      <c r="CK21" s="124"/>
      <c r="CL21" s="112" t="n">
        <f aca="false">CL20+CL$7/100</f>
        <v>0.26</v>
      </c>
      <c r="CM21" s="122" t="n">
        <f aca="false">CL21-IF($I$3="Forward", $D$9, $G$9)</f>
        <v>0.26</v>
      </c>
      <c r="CN21" s="112" t="n">
        <f aca="false">CL21*TAN(RADIANS(CP$7))-(IF($B$4, 9.807, 32.174)*CL21^2)/(2*CO$7^2*COS(RADIANS(CP$7))^2)+$D$7</f>
        <v>2.01766394759753</v>
      </c>
      <c r="CO21" s="123" t="n">
        <f aca="false">MIN($V$5,CN21)</f>
        <v>2.01766394759753</v>
      </c>
      <c r="CP21" s="112"/>
      <c r="CQ21" s="112" t="n">
        <f aca="false">CQ20+CQ$7/100</f>
        <v>0.26</v>
      </c>
      <c r="CR21" s="122" t="n">
        <f aca="false">CQ21+IF($I$3="Forward", $D$9, $G$9)</f>
        <v>0.26</v>
      </c>
      <c r="CS21" s="112" t="n">
        <f aca="false">CQ21*TAN(RADIANS(CU$7))-(IF($B$4, 9.807, 32.174)*CQ21^2)/(2*CT$7^2*COS(RADIANS(CU$7))^2)+$D$7</f>
        <v>2.01766394759753</v>
      </c>
      <c r="CT21" s="123" t="n">
        <f aca="false">MIN($V$5,CS21)</f>
        <v>2.01766394759753</v>
      </c>
      <c r="CU21" s="112"/>
      <c r="CV21" s="112" t="n">
        <f aca="false">CV20+CV$7/100</f>
        <v>0.26</v>
      </c>
      <c r="CW21" s="112" t="n">
        <f aca="false">CV21</f>
        <v>0.26</v>
      </c>
      <c r="CX21" s="112" t="n">
        <f aca="false">CV21*TAN(RADIANS(CZ$7))-(IF($B$4, 9.807, 32.174)*CV21^2)/(2*CY$7^2*COS(RADIANS(CZ$7))^2)+$D$7</f>
        <v>2.01766394759753</v>
      </c>
      <c r="CY21" s="123" t="n">
        <f aca="false">MIN($V$5,CX21)</f>
        <v>2.01766394759753</v>
      </c>
      <c r="CZ21" s="112"/>
      <c r="DA21" s="112" t="n">
        <f aca="false">DA20+DA$7/100</f>
        <v>0.26</v>
      </c>
      <c r="DB21" s="122" t="n">
        <f aca="false">DA21-IF($I$3="Forward", $D$9, $G$9)</f>
        <v>0.26</v>
      </c>
      <c r="DC21" s="112" t="n">
        <f aca="false">DA21*TAN(RADIANS(DE$7))-(IF($B$4, 9.807, 32.174)*DA21^2)/(2*DD$7^2*COS(RADIANS(DE$7))^2)+$D$7</f>
        <v>2.01766394759753</v>
      </c>
      <c r="DD21" s="123" t="n">
        <f aca="false">MIN($V$5,DC21)</f>
        <v>2.01766394759753</v>
      </c>
      <c r="DE21" s="112"/>
      <c r="DF21" s="112" t="n">
        <f aca="false">DF20+DF$7/100</f>
        <v>0.26</v>
      </c>
      <c r="DG21" s="122" t="n">
        <f aca="false">DF21+IF($I$3="Forward", $D$9, $G$9)</f>
        <v>0.26</v>
      </c>
      <c r="DH21" s="112" t="n">
        <f aca="false">DF21*TAN(RADIANS(DJ$7))-(IF($B$4, 9.807, 32.174)*DF21^2)/(2*DI$7^2*COS(RADIANS(DJ$7))^2)+$D$7</f>
        <v>2.01766394759753</v>
      </c>
      <c r="DI21" s="123" t="n">
        <f aca="false">MIN($V$5,DH21)</f>
        <v>2.01766394759753</v>
      </c>
      <c r="DJ21" s="112"/>
      <c r="DK21" s="112" t="n">
        <f aca="false">DK20+DK$7/100</f>
        <v>0.26</v>
      </c>
      <c r="DL21" s="112" t="n">
        <f aca="false">DK21</f>
        <v>0.26</v>
      </c>
      <c r="DM21" s="112" t="n">
        <f aca="false">DK21*TAN(RADIANS(DO$7))-(IF($B$4, 9.807, 32.174)*DK21^2)/(2*DN$7^2*COS(RADIANS(DO$7))^2)+$D$7</f>
        <v>2.01766394759753</v>
      </c>
      <c r="DN21" s="123" t="n">
        <f aca="false">MIN($V$5,DM21)</f>
        <v>2.01766394759753</v>
      </c>
      <c r="DO21" s="112"/>
      <c r="DP21" s="112" t="n">
        <f aca="false">DP20+DP$7/100</f>
        <v>0.26</v>
      </c>
      <c r="DQ21" s="122" t="n">
        <f aca="false">DP21-IF($I$3="Forward", $D$9, $G$9)</f>
        <v>0.26</v>
      </c>
      <c r="DR21" s="112" t="n">
        <f aca="false">DP21*TAN(RADIANS(DT$7))-(IF($B$4, 9.807, 32.174)*DP21^2)/(2*DS$7^2*COS(RADIANS(DT$7))^2)+$D$7</f>
        <v>2.01766394759753</v>
      </c>
      <c r="DS21" s="123" t="n">
        <f aca="false">MIN($V$5,DR21)</f>
        <v>2.01766394759753</v>
      </c>
      <c r="DT21" s="112"/>
      <c r="DU21" s="112" t="n">
        <f aca="false">DU20+DU$7/100</f>
        <v>0.26</v>
      </c>
      <c r="DV21" s="122" t="n">
        <f aca="false">DU21+IF($I$3="Forward", $D$9, $G$9)</f>
        <v>0.26</v>
      </c>
      <c r="DW21" s="112" t="n">
        <f aca="false">DU21*TAN(RADIANS(DY$7))-(IF($B$4, 9.807, 32.174)*DU21^2)/(2*DX$7^2*COS(RADIANS(DY$7))^2)+$D$7</f>
        <v>2.01766394759753</v>
      </c>
      <c r="DX21" s="123" t="n">
        <f aca="false">MIN($V$5,DW21)</f>
        <v>2.01766394759753</v>
      </c>
      <c r="DY21" s="112"/>
      <c r="DZ21" s="112" t="n">
        <f aca="false">DZ20+DZ$7/100</f>
        <v>0.26</v>
      </c>
      <c r="EA21" s="112" t="n">
        <f aca="false">DZ21</f>
        <v>0.26</v>
      </c>
      <c r="EB21" s="112" t="n">
        <f aca="false">DZ21*TAN(RADIANS(ED$7))-(IF($B$4, 9.807, 32.174)*DZ21^2)/(2*EC$7^2*COS(RADIANS(ED$7))^2)+$D$7</f>
        <v>2.01766394759753</v>
      </c>
      <c r="EC21" s="123" t="n">
        <f aca="false">MIN($V$5,EB21)</f>
        <v>2.01766394759753</v>
      </c>
      <c r="ED21" s="112"/>
      <c r="EE21" s="112" t="n">
        <f aca="false">EE20+EE$7/100</f>
        <v>0.26</v>
      </c>
      <c r="EF21" s="122" t="n">
        <f aca="false">EE21-IF($I$3="Forward", $D$9, $G$9)</f>
        <v>0.26</v>
      </c>
      <c r="EG21" s="112" t="n">
        <f aca="false">EE21*TAN(RADIANS(EI$7))-(IF($B$4, 9.807, 32.174)*EE21^2)/(2*EH$7^2*COS(RADIANS(EI$7))^2)+$D$7</f>
        <v>2.01766394759753</v>
      </c>
      <c r="EH21" s="123" t="n">
        <f aca="false">MIN($V$5,EG21)</f>
        <v>2.01766394759753</v>
      </c>
      <c r="EI21" s="112"/>
      <c r="EJ21" s="112" t="n">
        <f aca="false">EJ20+EJ$7/100</f>
        <v>0.26</v>
      </c>
      <c r="EK21" s="122" t="n">
        <f aca="false">EJ21+IF($I$3="Forward", $D$9, $G$9)</f>
        <v>0.26</v>
      </c>
      <c r="EL21" s="112" t="n">
        <f aca="false">EJ21*TAN(RADIANS(EN$7))-(IF($B$4, 9.807, 32.174)*EJ21^2)/(2*EM$7^2*COS(RADIANS(EN$7))^2)+$D$7</f>
        <v>2.01766394759753</v>
      </c>
      <c r="EM21" s="123" t="n">
        <f aca="false">MIN($V$5,EL21)</f>
        <v>2.01766394759753</v>
      </c>
      <c r="EN21" s="112"/>
      <c r="EO21" s="112" t="n">
        <f aca="false">EO20+EO$7/100</f>
        <v>0.26</v>
      </c>
      <c r="EP21" s="112" t="n">
        <f aca="false">EO21</f>
        <v>0.26</v>
      </c>
      <c r="EQ21" s="112" t="n">
        <f aca="false">EO21*TAN(RADIANS(ES$7))-(IF($B$4, 9.807, 32.174)*EO21^2)/(2*ER$7^2*COS(RADIANS(ES$7))^2)+$D$7</f>
        <v>2.01766394759753</v>
      </c>
      <c r="ER21" s="123" t="n">
        <f aca="false">MIN($V$5,EQ21)</f>
        <v>2.01766394759753</v>
      </c>
      <c r="ES21" s="112"/>
      <c r="ET21" s="112" t="n">
        <f aca="false">ET20+ET$7/100</f>
        <v>0.26</v>
      </c>
      <c r="EU21" s="122" t="n">
        <f aca="false">ET21-IF($I$3="Forward", $D$9, $G$9)</f>
        <v>0.26</v>
      </c>
      <c r="EV21" s="112" t="n">
        <f aca="false">ET21*TAN(RADIANS(EX$7))-(IF($B$4, 9.807, 32.174)*ET21^2)/(2*EW$7^2*COS(RADIANS(EX$7))^2)+$D$7</f>
        <v>2.01766394759753</v>
      </c>
      <c r="EW21" s="123" t="n">
        <f aca="false">MIN($V$5,EV21)</f>
        <v>2.01766394759753</v>
      </c>
      <c r="EX21" s="112"/>
    </row>
    <row r="22" s="131" customFormat="true" ht="15" hidden="false" customHeight="true" outlineLevel="0" collapsed="false">
      <c r="H22" s="111"/>
      <c r="I22" s="111"/>
      <c r="J22" s="111"/>
      <c r="K22" s="111"/>
      <c r="L22" s="111"/>
      <c r="M22" s="111"/>
      <c r="N22" s="111"/>
      <c r="O22" s="111"/>
      <c r="P22" s="111"/>
      <c r="Q22" s="111"/>
      <c r="R22" s="111"/>
      <c r="S22" s="111"/>
      <c r="T22" s="112" t="n">
        <f aca="false">T21+T$7/100</f>
        <v>0.28</v>
      </c>
      <c r="U22" s="122" t="n">
        <f aca="false">T22+IF($I$3="Forward", $D$9, $G$9)</f>
        <v>0.28</v>
      </c>
      <c r="V22" s="112" t="n">
        <f aca="false">T22*TAN(RADIANS(X$7))-(IF($B$4, 9.807, 32.174)*T22^2)/(2*W$7^2*COS(RADIANS(X$7))^2)+$D$7</f>
        <v>2.13852466216394</v>
      </c>
      <c r="W22" s="123" t="n">
        <f aca="false">MIN($V$5,V22)</f>
        <v>2.13852466216394</v>
      </c>
      <c r="X22" s="112"/>
      <c r="Y22" s="112" t="n">
        <f aca="false">Y21+Y$7/100</f>
        <v>0.28</v>
      </c>
      <c r="Z22" s="112" t="n">
        <f aca="false">Y22</f>
        <v>0.28</v>
      </c>
      <c r="AA22" s="112" t="n">
        <f aca="false">Y22*TAN(RADIANS(AC$7))-(IF($B$4, 9.807, 32.174)*Y22^2)/(2*AB$7^2*COS(RADIANS(AC$7))^2)+$D$7</f>
        <v>2.13852466216394</v>
      </c>
      <c r="AB22" s="123" t="n">
        <f aca="false">MIN($V$5,AA22)</f>
        <v>2.13852466216394</v>
      </c>
      <c r="AC22" s="112"/>
      <c r="AD22" s="112" t="n">
        <f aca="false">AD21+AD$7/100</f>
        <v>0.28</v>
      </c>
      <c r="AE22" s="122" t="n">
        <f aca="false">AD22-IF($I$3="Forward", $D$9, $G$9)</f>
        <v>0.28</v>
      </c>
      <c r="AF22" s="112" t="n">
        <f aca="false">AD22*TAN(RADIANS(AH$7))-(IF($B$4, 9.807, 32.174)*AD22^2)/(2*AG$7^2*COS(RADIANS(AH$7))^2)+$D$7</f>
        <v>2.13852466216394</v>
      </c>
      <c r="AG22" s="123" t="n">
        <f aca="false">MIN($V$5,AF22)</f>
        <v>2.13852466216394</v>
      </c>
      <c r="AH22" s="112"/>
      <c r="AI22" s="112" t="n">
        <f aca="false">AI21+AI$7/100</f>
        <v>0.28</v>
      </c>
      <c r="AJ22" s="122" t="n">
        <f aca="false">AI22+IF($I$3="Forward", $D$9, $G$9)</f>
        <v>0.28</v>
      </c>
      <c r="AK22" s="112" t="n">
        <f aca="false">AI22*TAN(RADIANS(AM$7))-(IF($B$4, 9.807, 32.174)*AI22^2)/(2*AL$7^2*COS(RADIANS(AM$7))^2)+$D$7</f>
        <v>2.13852466216394</v>
      </c>
      <c r="AL22" s="123" t="n">
        <f aca="false">MIN($V$5,AK22)</f>
        <v>2.13852466216394</v>
      </c>
      <c r="AM22" s="112"/>
      <c r="AN22" s="112" t="n">
        <f aca="false">AN21+AN$7/100</f>
        <v>0.28</v>
      </c>
      <c r="AO22" s="112" t="n">
        <f aca="false">AN22</f>
        <v>0.28</v>
      </c>
      <c r="AP22" s="112" t="n">
        <f aca="false">AN22*TAN(RADIANS(AR$7))-(IF($B$4, 9.807, 32.174)*AN22^2)/(2*AQ$7^2*COS(RADIANS(AR$7))^2)+$D$7</f>
        <v>2.13852466216394</v>
      </c>
      <c r="AQ22" s="123" t="n">
        <f aca="false">MIN($V$5,AP22)</f>
        <v>2.13852466216394</v>
      </c>
      <c r="AR22" s="112"/>
      <c r="AS22" s="112" t="n">
        <f aca="false">AS21+AS$7/100</f>
        <v>0.28</v>
      </c>
      <c r="AT22" s="122" t="n">
        <f aca="false">AS22-IF($I$3="Forward", $D$9, $G$9)</f>
        <v>0.28</v>
      </c>
      <c r="AU22" s="112" t="n">
        <f aca="false">AS22*TAN(RADIANS(AW$7))-(IF($B$4, 9.807, 32.174)*AS22^2)/(2*AV$7^2*COS(RADIANS(AW$7))^2)+$D$7</f>
        <v>2.13852466216394</v>
      </c>
      <c r="AV22" s="123" t="n">
        <f aca="false">MIN($V$5,AU22)</f>
        <v>2.13852466216394</v>
      </c>
      <c r="AW22" s="112"/>
      <c r="AX22" s="112" t="n">
        <f aca="false">AX21+AX$7/100</f>
        <v>0.28</v>
      </c>
      <c r="AY22" s="122" t="n">
        <f aca="false">AX22+IF($I$3="Forward", $D$9, $G$9)</f>
        <v>0.28</v>
      </c>
      <c r="AZ22" s="112" t="n">
        <f aca="false">AX22*TAN(RADIANS(BB$7))-(IF($B$4, 9.807, 32.174)*AX22^2)/(2*BA$7^2*COS(RADIANS(BB$7))^2)+$D$7</f>
        <v>2.13852466216394</v>
      </c>
      <c r="BA22" s="123" t="n">
        <f aca="false">MIN($V$5,AZ22)</f>
        <v>2.13852466216394</v>
      </c>
      <c r="BB22" s="112"/>
      <c r="BC22" s="112" t="n">
        <f aca="false">BC21+BC$7/100</f>
        <v>0.28</v>
      </c>
      <c r="BD22" s="112" t="n">
        <f aca="false">BC22</f>
        <v>0.28</v>
      </c>
      <c r="BE22" s="112" t="n">
        <f aca="false">BC22*TAN(RADIANS(BG$7))-(IF($B$4, 9.807, 32.174)*BC22^2)/(2*BF$7^2*COS(RADIANS(BG$7))^2)+$D$7</f>
        <v>2.13852466216394</v>
      </c>
      <c r="BF22" s="123" t="n">
        <f aca="false">MIN($V$5,BE22)</f>
        <v>2.13852466216394</v>
      </c>
      <c r="BG22" s="112"/>
      <c r="BH22" s="112" t="n">
        <f aca="false">BH21+BH$7/100</f>
        <v>0.28</v>
      </c>
      <c r="BI22" s="122" t="n">
        <f aca="false">BH22-IF($I$3="Forward", $D$9, $G$9)</f>
        <v>0.28</v>
      </c>
      <c r="BJ22" s="112" t="n">
        <f aca="false">BH22*TAN(RADIANS(BL$7))-(IF($B$4, 9.807, 32.174)*BH22^2)/(2*BK$7^2*COS(RADIANS(BL$7))^2)+$D$7</f>
        <v>2.13852466216394</v>
      </c>
      <c r="BK22" s="123" t="n">
        <f aca="false">MIN($V$5,BJ22)</f>
        <v>2.13852466216394</v>
      </c>
      <c r="BL22" s="112"/>
      <c r="BM22" s="112" t="n">
        <f aca="false">BM21+BM$7/100</f>
        <v>0.28</v>
      </c>
      <c r="BN22" s="122" t="n">
        <f aca="false">BM22+IF($I$3="Forward", $D$9, $G$9)</f>
        <v>0.28</v>
      </c>
      <c r="BO22" s="112" t="n">
        <f aca="false">BM22*TAN(RADIANS(BQ$7))-(IF($B$4, 9.807, 32.174)*BM22^2)/(2*BP$7^2*COS(RADIANS(BQ$7))^2)+$D$7</f>
        <v>2.13852466216394</v>
      </c>
      <c r="BP22" s="123" t="n">
        <f aca="false">MIN($V$5,BO22)</f>
        <v>2.13852466216394</v>
      </c>
      <c r="BQ22" s="112"/>
      <c r="BR22" s="112" t="n">
        <f aca="false">BR21+BR$7/100</f>
        <v>0.28</v>
      </c>
      <c r="BS22" s="112" t="n">
        <f aca="false">BR22</f>
        <v>0.28</v>
      </c>
      <c r="BT22" s="112" t="n">
        <f aca="false">BR22*TAN(RADIANS(BV$7))-(IF($B$4, 9.807, 32.174)*BR22^2)/(2*BU$7^2*COS(RADIANS(BV$7))^2)+$D$7</f>
        <v>2.13852466216394</v>
      </c>
      <c r="BU22" s="123" t="n">
        <f aca="false">MIN($V$5,BT22)</f>
        <v>2.13852466216394</v>
      </c>
      <c r="BV22" s="112"/>
      <c r="BW22" s="112" t="n">
        <f aca="false">BW21+BW$7/100</f>
        <v>0.28</v>
      </c>
      <c r="BX22" s="122" t="n">
        <f aca="false">BW22-IF($I$3="Forward", $D$9, $G$9)</f>
        <v>0.28</v>
      </c>
      <c r="BY22" s="112" t="n">
        <f aca="false">BW22*TAN(RADIANS(CA$7))-(IF($B$4, 9.807, 32.174)*BW22^2)/(2*BZ$7^2*COS(RADIANS(CA$7))^2)+$D$7</f>
        <v>2.13852466216394</v>
      </c>
      <c r="BZ22" s="123" t="n">
        <f aca="false">MIN($V$5,BY22)</f>
        <v>2.13852466216394</v>
      </c>
      <c r="CA22" s="112"/>
      <c r="CB22" s="112" t="n">
        <f aca="false">CB21+CB$7/100</f>
        <v>0.28</v>
      </c>
      <c r="CC22" s="122" t="n">
        <f aca="false">CB22+IF($I$3="Forward", $D$9, $G$9)</f>
        <v>0.28</v>
      </c>
      <c r="CD22" s="112" t="n">
        <f aca="false">CB22*TAN(RADIANS(CF$7))-(IF($B$4, 9.807, 32.174)*CB22^2)/(2*CE$7^2*COS(RADIANS(CF$7))^2)+$D$7</f>
        <v>2.13852466216394</v>
      </c>
      <c r="CE22" s="123" t="n">
        <f aca="false">MIN($V$5,CD22)</f>
        <v>2.13852466216394</v>
      </c>
      <c r="CF22" s="112"/>
      <c r="CG22" s="124" t="n">
        <f aca="false">CG21+CG$7/100</f>
        <v>0.28</v>
      </c>
      <c r="CH22" s="124" t="n">
        <f aca="false">CG22</f>
        <v>0.28</v>
      </c>
      <c r="CI22" s="124" t="n">
        <f aca="false">CG22*TAN(RADIANS(CK$7))-(IF($B$4, 9.807, 32.174)*CG22^2)/(2*CJ$7^2*COS(RADIANS(CK$7))^2)+$D$7</f>
        <v>2.13852466216394</v>
      </c>
      <c r="CJ22" s="123" t="n">
        <f aca="false">MIN($V$5,CI22)</f>
        <v>2.13852466216394</v>
      </c>
      <c r="CK22" s="124"/>
      <c r="CL22" s="112" t="n">
        <f aca="false">CL21+CL$7/100</f>
        <v>0.28</v>
      </c>
      <c r="CM22" s="122" t="n">
        <f aca="false">CL22-IF($I$3="Forward", $D$9, $G$9)</f>
        <v>0.28</v>
      </c>
      <c r="CN22" s="112" t="n">
        <f aca="false">CL22*TAN(RADIANS(CP$7))-(IF($B$4, 9.807, 32.174)*CL22^2)/(2*CO$7^2*COS(RADIANS(CP$7))^2)+$D$7</f>
        <v>2.13852466216394</v>
      </c>
      <c r="CO22" s="123" t="n">
        <f aca="false">MIN($V$5,CN22)</f>
        <v>2.13852466216394</v>
      </c>
      <c r="CP22" s="112"/>
      <c r="CQ22" s="112" t="n">
        <f aca="false">CQ21+CQ$7/100</f>
        <v>0.28</v>
      </c>
      <c r="CR22" s="122" t="n">
        <f aca="false">CQ22+IF($I$3="Forward", $D$9, $G$9)</f>
        <v>0.28</v>
      </c>
      <c r="CS22" s="112" t="n">
        <f aca="false">CQ22*TAN(RADIANS(CU$7))-(IF($B$4, 9.807, 32.174)*CQ22^2)/(2*CT$7^2*COS(RADIANS(CU$7))^2)+$D$7</f>
        <v>2.13852466216394</v>
      </c>
      <c r="CT22" s="123" t="n">
        <f aca="false">MIN($V$5,CS22)</f>
        <v>2.13852466216394</v>
      </c>
      <c r="CU22" s="112"/>
      <c r="CV22" s="112" t="n">
        <f aca="false">CV21+CV$7/100</f>
        <v>0.28</v>
      </c>
      <c r="CW22" s="112" t="n">
        <f aca="false">CV22</f>
        <v>0.28</v>
      </c>
      <c r="CX22" s="112" t="n">
        <f aca="false">CV22*TAN(RADIANS(CZ$7))-(IF($B$4, 9.807, 32.174)*CV22^2)/(2*CY$7^2*COS(RADIANS(CZ$7))^2)+$D$7</f>
        <v>2.13852466216394</v>
      </c>
      <c r="CY22" s="123" t="n">
        <f aca="false">MIN($V$5,CX22)</f>
        <v>2.13852466216394</v>
      </c>
      <c r="CZ22" s="112"/>
      <c r="DA22" s="112" t="n">
        <f aca="false">DA21+DA$7/100</f>
        <v>0.28</v>
      </c>
      <c r="DB22" s="122" t="n">
        <f aca="false">DA22-IF($I$3="Forward", $D$9, $G$9)</f>
        <v>0.28</v>
      </c>
      <c r="DC22" s="112" t="n">
        <f aca="false">DA22*TAN(RADIANS(DE$7))-(IF($B$4, 9.807, 32.174)*DA22^2)/(2*DD$7^2*COS(RADIANS(DE$7))^2)+$D$7</f>
        <v>2.13852466216394</v>
      </c>
      <c r="DD22" s="123" t="n">
        <f aca="false">MIN($V$5,DC22)</f>
        <v>2.13852466216394</v>
      </c>
      <c r="DE22" s="112"/>
      <c r="DF22" s="112" t="n">
        <f aca="false">DF21+DF$7/100</f>
        <v>0.28</v>
      </c>
      <c r="DG22" s="122" t="n">
        <f aca="false">DF22+IF($I$3="Forward", $D$9, $G$9)</f>
        <v>0.28</v>
      </c>
      <c r="DH22" s="112" t="n">
        <f aca="false">DF22*TAN(RADIANS(DJ$7))-(IF($B$4, 9.807, 32.174)*DF22^2)/(2*DI$7^2*COS(RADIANS(DJ$7))^2)+$D$7</f>
        <v>2.13852466216394</v>
      </c>
      <c r="DI22" s="123" t="n">
        <f aca="false">MIN($V$5,DH22)</f>
        <v>2.13852466216394</v>
      </c>
      <c r="DJ22" s="112"/>
      <c r="DK22" s="112" t="n">
        <f aca="false">DK21+DK$7/100</f>
        <v>0.28</v>
      </c>
      <c r="DL22" s="112" t="n">
        <f aca="false">DK22</f>
        <v>0.28</v>
      </c>
      <c r="DM22" s="112" t="n">
        <f aca="false">DK22*TAN(RADIANS(DO$7))-(IF($B$4, 9.807, 32.174)*DK22^2)/(2*DN$7^2*COS(RADIANS(DO$7))^2)+$D$7</f>
        <v>2.13852466216394</v>
      </c>
      <c r="DN22" s="123" t="n">
        <f aca="false">MIN($V$5,DM22)</f>
        <v>2.13852466216394</v>
      </c>
      <c r="DO22" s="112"/>
      <c r="DP22" s="112" t="n">
        <f aca="false">DP21+DP$7/100</f>
        <v>0.28</v>
      </c>
      <c r="DQ22" s="122" t="n">
        <f aca="false">DP22-IF($I$3="Forward", $D$9, $G$9)</f>
        <v>0.28</v>
      </c>
      <c r="DR22" s="112" t="n">
        <f aca="false">DP22*TAN(RADIANS(DT$7))-(IF($B$4, 9.807, 32.174)*DP22^2)/(2*DS$7^2*COS(RADIANS(DT$7))^2)+$D$7</f>
        <v>2.13852466216394</v>
      </c>
      <c r="DS22" s="123" t="n">
        <f aca="false">MIN($V$5,DR22)</f>
        <v>2.13852466216394</v>
      </c>
      <c r="DT22" s="112"/>
      <c r="DU22" s="112" t="n">
        <f aca="false">DU21+DU$7/100</f>
        <v>0.28</v>
      </c>
      <c r="DV22" s="122" t="n">
        <f aca="false">DU22+IF($I$3="Forward", $D$9, $G$9)</f>
        <v>0.28</v>
      </c>
      <c r="DW22" s="112" t="n">
        <f aca="false">DU22*TAN(RADIANS(DY$7))-(IF($B$4, 9.807, 32.174)*DU22^2)/(2*DX$7^2*COS(RADIANS(DY$7))^2)+$D$7</f>
        <v>2.13852466216394</v>
      </c>
      <c r="DX22" s="123" t="n">
        <f aca="false">MIN($V$5,DW22)</f>
        <v>2.13852466216394</v>
      </c>
      <c r="DY22" s="112"/>
      <c r="DZ22" s="112" t="n">
        <f aca="false">DZ21+DZ$7/100</f>
        <v>0.28</v>
      </c>
      <c r="EA22" s="112" t="n">
        <f aca="false">DZ22</f>
        <v>0.28</v>
      </c>
      <c r="EB22" s="112" t="n">
        <f aca="false">DZ22*TAN(RADIANS(ED$7))-(IF($B$4, 9.807, 32.174)*DZ22^2)/(2*EC$7^2*COS(RADIANS(ED$7))^2)+$D$7</f>
        <v>2.13852466216394</v>
      </c>
      <c r="EC22" s="123" t="n">
        <f aca="false">MIN($V$5,EB22)</f>
        <v>2.13852466216394</v>
      </c>
      <c r="ED22" s="112"/>
      <c r="EE22" s="112" t="n">
        <f aca="false">EE21+EE$7/100</f>
        <v>0.28</v>
      </c>
      <c r="EF22" s="122" t="n">
        <f aca="false">EE22-IF($I$3="Forward", $D$9, $G$9)</f>
        <v>0.28</v>
      </c>
      <c r="EG22" s="112" t="n">
        <f aca="false">EE22*TAN(RADIANS(EI$7))-(IF($B$4, 9.807, 32.174)*EE22^2)/(2*EH$7^2*COS(RADIANS(EI$7))^2)+$D$7</f>
        <v>2.13852466216394</v>
      </c>
      <c r="EH22" s="123" t="n">
        <f aca="false">MIN($V$5,EG22)</f>
        <v>2.13852466216394</v>
      </c>
      <c r="EI22" s="112"/>
      <c r="EJ22" s="112" t="n">
        <f aca="false">EJ21+EJ$7/100</f>
        <v>0.28</v>
      </c>
      <c r="EK22" s="122" t="n">
        <f aca="false">EJ22+IF($I$3="Forward", $D$9, $G$9)</f>
        <v>0.28</v>
      </c>
      <c r="EL22" s="112" t="n">
        <f aca="false">EJ22*TAN(RADIANS(EN$7))-(IF($B$4, 9.807, 32.174)*EJ22^2)/(2*EM$7^2*COS(RADIANS(EN$7))^2)+$D$7</f>
        <v>2.13852466216394</v>
      </c>
      <c r="EM22" s="123" t="n">
        <f aca="false">MIN($V$5,EL22)</f>
        <v>2.13852466216394</v>
      </c>
      <c r="EN22" s="112"/>
      <c r="EO22" s="112" t="n">
        <f aca="false">EO21+EO$7/100</f>
        <v>0.28</v>
      </c>
      <c r="EP22" s="112" t="n">
        <f aca="false">EO22</f>
        <v>0.28</v>
      </c>
      <c r="EQ22" s="112" t="n">
        <f aca="false">EO22*TAN(RADIANS(ES$7))-(IF($B$4, 9.807, 32.174)*EO22^2)/(2*ER$7^2*COS(RADIANS(ES$7))^2)+$D$7</f>
        <v>2.13852466216394</v>
      </c>
      <c r="ER22" s="123" t="n">
        <f aca="false">MIN($V$5,EQ22)</f>
        <v>2.13852466216394</v>
      </c>
      <c r="ES22" s="112"/>
      <c r="ET22" s="112" t="n">
        <f aca="false">ET21+ET$7/100</f>
        <v>0.28</v>
      </c>
      <c r="EU22" s="122" t="n">
        <f aca="false">ET22-IF($I$3="Forward", $D$9, $G$9)</f>
        <v>0.28</v>
      </c>
      <c r="EV22" s="112" t="n">
        <f aca="false">ET22*TAN(RADIANS(EX$7))-(IF($B$4, 9.807, 32.174)*ET22^2)/(2*EW$7^2*COS(RADIANS(EX$7))^2)+$D$7</f>
        <v>2.13852466216394</v>
      </c>
      <c r="EW22" s="123" t="n">
        <f aca="false">MIN($V$5,EV22)</f>
        <v>2.13852466216394</v>
      </c>
      <c r="EX22" s="112"/>
    </row>
    <row r="23" s="131" customFormat="true" ht="15" hidden="false" customHeight="true" outlineLevel="0" collapsed="false">
      <c r="C23" s="137" t="s">
        <v>131</v>
      </c>
      <c r="D23" s="137"/>
      <c r="E23" s="137"/>
      <c r="F23" s="137"/>
      <c r="G23" s="137"/>
      <c r="H23" s="111"/>
      <c r="I23" s="111"/>
      <c r="J23" s="111"/>
      <c r="K23" s="111"/>
      <c r="L23" s="111"/>
      <c r="M23" s="111"/>
      <c r="N23" s="111"/>
      <c r="O23" s="111"/>
      <c r="P23" s="111"/>
      <c r="Q23" s="111"/>
      <c r="R23" s="111"/>
      <c r="S23" s="111"/>
      <c r="T23" s="112" t="n">
        <f aca="false">T22+T$7/100</f>
        <v>0.3</v>
      </c>
      <c r="U23" s="122" t="n">
        <f aca="false">T23+IF($I$3="Forward", $D$9, $G$9)</f>
        <v>0.3</v>
      </c>
      <c r="V23" s="112" t="n">
        <f aca="false">T23*TAN(RADIANS(X$7))-(IF($B$4, 9.807, 32.174)*T23^2)/(2*W$7^2*COS(RADIANS(X$7))^2)+$D$7</f>
        <v>2.25667686400252</v>
      </c>
      <c r="W23" s="123" t="n">
        <f aca="false">MIN($V$5,V23)</f>
        <v>2.25667686400252</v>
      </c>
      <c r="X23" s="112"/>
      <c r="Y23" s="112" t="n">
        <f aca="false">Y22+Y$7/100</f>
        <v>0.3</v>
      </c>
      <c r="Z23" s="112" t="n">
        <f aca="false">Y23</f>
        <v>0.3</v>
      </c>
      <c r="AA23" s="112" t="n">
        <f aca="false">Y23*TAN(RADIANS(AC$7))-(IF($B$4, 9.807, 32.174)*Y23^2)/(2*AB$7^2*COS(RADIANS(AC$7))^2)+$D$7</f>
        <v>2.25667686400252</v>
      </c>
      <c r="AB23" s="123" t="n">
        <f aca="false">MIN($V$5,AA23)</f>
        <v>2.25667686400252</v>
      </c>
      <c r="AC23" s="112"/>
      <c r="AD23" s="112" t="n">
        <f aca="false">AD22+AD$7/100</f>
        <v>0.3</v>
      </c>
      <c r="AE23" s="122" t="n">
        <f aca="false">AD23-IF($I$3="Forward", $D$9, $G$9)</f>
        <v>0.3</v>
      </c>
      <c r="AF23" s="112" t="n">
        <f aca="false">AD23*TAN(RADIANS(AH$7))-(IF($B$4, 9.807, 32.174)*AD23^2)/(2*AG$7^2*COS(RADIANS(AH$7))^2)+$D$7</f>
        <v>2.25667686400252</v>
      </c>
      <c r="AG23" s="123" t="n">
        <f aca="false">MIN($V$5,AF23)</f>
        <v>2.25667686400252</v>
      </c>
      <c r="AH23" s="112"/>
      <c r="AI23" s="112" t="n">
        <f aca="false">AI22+AI$7/100</f>
        <v>0.3</v>
      </c>
      <c r="AJ23" s="122" t="n">
        <f aca="false">AI23+IF($I$3="Forward", $D$9, $G$9)</f>
        <v>0.3</v>
      </c>
      <c r="AK23" s="112" t="n">
        <f aca="false">AI23*TAN(RADIANS(AM$7))-(IF($B$4, 9.807, 32.174)*AI23^2)/(2*AL$7^2*COS(RADIANS(AM$7))^2)+$D$7</f>
        <v>2.25667686400252</v>
      </c>
      <c r="AL23" s="123" t="n">
        <f aca="false">MIN($V$5,AK23)</f>
        <v>2.25667686400252</v>
      </c>
      <c r="AM23" s="112"/>
      <c r="AN23" s="112" t="n">
        <f aca="false">AN22+AN$7/100</f>
        <v>0.3</v>
      </c>
      <c r="AO23" s="112" t="n">
        <f aca="false">AN23</f>
        <v>0.3</v>
      </c>
      <c r="AP23" s="112" t="n">
        <f aca="false">AN23*TAN(RADIANS(AR$7))-(IF($B$4, 9.807, 32.174)*AN23^2)/(2*AQ$7^2*COS(RADIANS(AR$7))^2)+$D$7</f>
        <v>2.25667686400252</v>
      </c>
      <c r="AQ23" s="123" t="n">
        <f aca="false">MIN($V$5,AP23)</f>
        <v>2.25667686400252</v>
      </c>
      <c r="AR23" s="112"/>
      <c r="AS23" s="112" t="n">
        <f aca="false">AS22+AS$7/100</f>
        <v>0.3</v>
      </c>
      <c r="AT23" s="122" t="n">
        <f aca="false">AS23-IF($I$3="Forward", $D$9, $G$9)</f>
        <v>0.3</v>
      </c>
      <c r="AU23" s="112" t="n">
        <f aca="false">AS23*TAN(RADIANS(AW$7))-(IF($B$4, 9.807, 32.174)*AS23^2)/(2*AV$7^2*COS(RADIANS(AW$7))^2)+$D$7</f>
        <v>2.25667686400252</v>
      </c>
      <c r="AV23" s="123" t="n">
        <f aca="false">MIN($V$5,AU23)</f>
        <v>2.25667686400252</v>
      </c>
      <c r="AW23" s="112"/>
      <c r="AX23" s="112" t="n">
        <f aca="false">AX22+AX$7/100</f>
        <v>0.3</v>
      </c>
      <c r="AY23" s="122" t="n">
        <f aca="false">AX23+IF($I$3="Forward", $D$9, $G$9)</f>
        <v>0.3</v>
      </c>
      <c r="AZ23" s="112" t="n">
        <f aca="false">AX23*TAN(RADIANS(BB$7))-(IF($B$4, 9.807, 32.174)*AX23^2)/(2*BA$7^2*COS(RADIANS(BB$7))^2)+$D$7</f>
        <v>2.25667686400252</v>
      </c>
      <c r="BA23" s="123" t="n">
        <f aca="false">MIN($V$5,AZ23)</f>
        <v>2.25667686400252</v>
      </c>
      <c r="BB23" s="112"/>
      <c r="BC23" s="112" t="n">
        <f aca="false">BC22+BC$7/100</f>
        <v>0.3</v>
      </c>
      <c r="BD23" s="112" t="n">
        <f aca="false">BC23</f>
        <v>0.3</v>
      </c>
      <c r="BE23" s="112" t="n">
        <f aca="false">BC23*TAN(RADIANS(BG$7))-(IF($B$4, 9.807, 32.174)*BC23^2)/(2*BF$7^2*COS(RADIANS(BG$7))^2)+$D$7</f>
        <v>2.25667686400252</v>
      </c>
      <c r="BF23" s="123" t="n">
        <f aca="false">MIN($V$5,BE23)</f>
        <v>2.25667686400252</v>
      </c>
      <c r="BG23" s="112"/>
      <c r="BH23" s="112" t="n">
        <f aca="false">BH22+BH$7/100</f>
        <v>0.3</v>
      </c>
      <c r="BI23" s="122" t="n">
        <f aca="false">BH23-IF($I$3="Forward", $D$9, $G$9)</f>
        <v>0.3</v>
      </c>
      <c r="BJ23" s="112" t="n">
        <f aca="false">BH23*TAN(RADIANS(BL$7))-(IF($B$4, 9.807, 32.174)*BH23^2)/(2*BK$7^2*COS(RADIANS(BL$7))^2)+$D$7</f>
        <v>2.25667686400252</v>
      </c>
      <c r="BK23" s="123" t="n">
        <f aca="false">MIN($V$5,BJ23)</f>
        <v>2.25667686400252</v>
      </c>
      <c r="BL23" s="112"/>
      <c r="BM23" s="112" t="n">
        <f aca="false">BM22+BM$7/100</f>
        <v>0.3</v>
      </c>
      <c r="BN23" s="122" t="n">
        <f aca="false">BM23+IF($I$3="Forward", $D$9, $G$9)</f>
        <v>0.3</v>
      </c>
      <c r="BO23" s="112" t="n">
        <f aca="false">BM23*TAN(RADIANS(BQ$7))-(IF($B$4, 9.807, 32.174)*BM23^2)/(2*BP$7^2*COS(RADIANS(BQ$7))^2)+$D$7</f>
        <v>2.25667686400252</v>
      </c>
      <c r="BP23" s="123" t="n">
        <f aca="false">MIN($V$5,BO23)</f>
        <v>2.25667686400252</v>
      </c>
      <c r="BQ23" s="112"/>
      <c r="BR23" s="112" t="n">
        <f aca="false">BR22+BR$7/100</f>
        <v>0.3</v>
      </c>
      <c r="BS23" s="112" t="n">
        <f aca="false">BR23</f>
        <v>0.3</v>
      </c>
      <c r="BT23" s="112" t="n">
        <f aca="false">BR23*TAN(RADIANS(BV$7))-(IF($B$4, 9.807, 32.174)*BR23^2)/(2*BU$7^2*COS(RADIANS(BV$7))^2)+$D$7</f>
        <v>2.25667686400252</v>
      </c>
      <c r="BU23" s="123" t="n">
        <f aca="false">MIN($V$5,BT23)</f>
        <v>2.25667686400252</v>
      </c>
      <c r="BV23" s="112"/>
      <c r="BW23" s="112" t="n">
        <f aca="false">BW22+BW$7/100</f>
        <v>0.3</v>
      </c>
      <c r="BX23" s="122" t="n">
        <f aca="false">BW23-IF($I$3="Forward", $D$9, $G$9)</f>
        <v>0.3</v>
      </c>
      <c r="BY23" s="112" t="n">
        <f aca="false">BW23*TAN(RADIANS(CA$7))-(IF($B$4, 9.807, 32.174)*BW23^2)/(2*BZ$7^2*COS(RADIANS(CA$7))^2)+$D$7</f>
        <v>2.25667686400252</v>
      </c>
      <c r="BZ23" s="123" t="n">
        <f aca="false">MIN($V$5,BY23)</f>
        <v>2.25667686400252</v>
      </c>
      <c r="CA23" s="112"/>
      <c r="CB23" s="112" t="n">
        <f aca="false">CB22+CB$7/100</f>
        <v>0.3</v>
      </c>
      <c r="CC23" s="122" t="n">
        <f aca="false">CB23+IF($I$3="Forward", $D$9, $G$9)</f>
        <v>0.3</v>
      </c>
      <c r="CD23" s="112" t="n">
        <f aca="false">CB23*TAN(RADIANS(CF$7))-(IF($B$4, 9.807, 32.174)*CB23^2)/(2*CE$7^2*COS(RADIANS(CF$7))^2)+$D$7</f>
        <v>2.25667686400252</v>
      </c>
      <c r="CE23" s="123" t="n">
        <f aca="false">MIN($V$5,CD23)</f>
        <v>2.25667686400252</v>
      </c>
      <c r="CF23" s="112"/>
      <c r="CG23" s="124" t="n">
        <f aca="false">CG22+CG$7/100</f>
        <v>0.3</v>
      </c>
      <c r="CH23" s="124" t="n">
        <f aca="false">CG23</f>
        <v>0.3</v>
      </c>
      <c r="CI23" s="124" t="n">
        <f aca="false">CG23*TAN(RADIANS(CK$7))-(IF($B$4, 9.807, 32.174)*CG23^2)/(2*CJ$7^2*COS(RADIANS(CK$7))^2)+$D$7</f>
        <v>2.25667686400252</v>
      </c>
      <c r="CJ23" s="123" t="n">
        <f aca="false">MIN($V$5,CI23)</f>
        <v>2.25667686400252</v>
      </c>
      <c r="CK23" s="124"/>
      <c r="CL23" s="112" t="n">
        <f aca="false">CL22+CL$7/100</f>
        <v>0.3</v>
      </c>
      <c r="CM23" s="122" t="n">
        <f aca="false">CL23-IF($I$3="Forward", $D$9, $G$9)</f>
        <v>0.3</v>
      </c>
      <c r="CN23" s="112" t="n">
        <f aca="false">CL23*TAN(RADIANS(CP$7))-(IF($B$4, 9.807, 32.174)*CL23^2)/(2*CO$7^2*COS(RADIANS(CP$7))^2)+$D$7</f>
        <v>2.25667686400252</v>
      </c>
      <c r="CO23" s="123" t="n">
        <f aca="false">MIN($V$5,CN23)</f>
        <v>2.25667686400252</v>
      </c>
      <c r="CP23" s="112"/>
      <c r="CQ23" s="112" t="n">
        <f aca="false">CQ22+CQ$7/100</f>
        <v>0.3</v>
      </c>
      <c r="CR23" s="122" t="n">
        <f aca="false">CQ23+IF($I$3="Forward", $D$9, $G$9)</f>
        <v>0.3</v>
      </c>
      <c r="CS23" s="112" t="n">
        <f aca="false">CQ23*TAN(RADIANS(CU$7))-(IF($B$4, 9.807, 32.174)*CQ23^2)/(2*CT$7^2*COS(RADIANS(CU$7))^2)+$D$7</f>
        <v>2.25667686400252</v>
      </c>
      <c r="CT23" s="123" t="n">
        <f aca="false">MIN($V$5,CS23)</f>
        <v>2.25667686400252</v>
      </c>
      <c r="CU23" s="112"/>
      <c r="CV23" s="112" t="n">
        <f aca="false">CV22+CV$7/100</f>
        <v>0.3</v>
      </c>
      <c r="CW23" s="112" t="n">
        <f aca="false">CV23</f>
        <v>0.3</v>
      </c>
      <c r="CX23" s="112" t="n">
        <f aca="false">CV23*TAN(RADIANS(CZ$7))-(IF($B$4, 9.807, 32.174)*CV23^2)/(2*CY$7^2*COS(RADIANS(CZ$7))^2)+$D$7</f>
        <v>2.25667686400252</v>
      </c>
      <c r="CY23" s="123" t="n">
        <f aca="false">MIN($V$5,CX23)</f>
        <v>2.25667686400252</v>
      </c>
      <c r="CZ23" s="112"/>
      <c r="DA23" s="112" t="n">
        <f aca="false">DA22+DA$7/100</f>
        <v>0.3</v>
      </c>
      <c r="DB23" s="122" t="n">
        <f aca="false">DA23-IF($I$3="Forward", $D$9, $G$9)</f>
        <v>0.3</v>
      </c>
      <c r="DC23" s="112" t="n">
        <f aca="false">DA23*TAN(RADIANS(DE$7))-(IF($B$4, 9.807, 32.174)*DA23^2)/(2*DD$7^2*COS(RADIANS(DE$7))^2)+$D$7</f>
        <v>2.25667686400252</v>
      </c>
      <c r="DD23" s="123" t="n">
        <f aca="false">MIN($V$5,DC23)</f>
        <v>2.25667686400252</v>
      </c>
      <c r="DE23" s="112"/>
      <c r="DF23" s="112" t="n">
        <f aca="false">DF22+DF$7/100</f>
        <v>0.3</v>
      </c>
      <c r="DG23" s="122" t="n">
        <f aca="false">DF23+IF($I$3="Forward", $D$9, $G$9)</f>
        <v>0.3</v>
      </c>
      <c r="DH23" s="112" t="n">
        <f aca="false">DF23*TAN(RADIANS(DJ$7))-(IF($B$4, 9.807, 32.174)*DF23^2)/(2*DI$7^2*COS(RADIANS(DJ$7))^2)+$D$7</f>
        <v>2.25667686400252</v>
      </c>
      <c r="DI23" s="123" t="n">
        <f aca="false">MIN($V$5,DH23)</f>
        <v>2.25667686400252</v>
      </c>
      <c r="DJ23" s="112"/>
      <c r="DK23" s="112" t="n">
        <f aca="false">DK22+DK$7/100</f>
        <v>0.3</v>
      </c>
      <c r="DL23" s="112" t="n">
        <f aca="false">DK23</f>
        <v>0.3</v>
      </c>
      <c r="DM23" s="112" t="n">
        <f aca="false">DK23*TAN(RADIANS(DO$7))-(IF($B$4, 9.807, 32.174)*DK23^2)/(2*DN$7^2*COS(RADIANS(DO$7))^2)+$D$7</f>
        <v>2.25667686400252</v>
      </c>
      <c r="DN23" s="123" t="n">
        <f aca="false">MIN($V$5,DM23)</f>
        <v>2.25667686400252</v>
      </c>
      <c r="DO23" s="112"/>
      <c r="DP23" s="112" t="n">
        <f aca="false">DP22+DP$7/100</f>
        <v>0.3</v>
      </c>
      <c r="DQ23" s="122" t="n">
        <f aca="false">DP23-IF($I$3="Forward", $D$9, $G$9)</f>
        <v>0.3</v>
      </c>
      <c r="DR23" s="112" t="n">
        <f aca="false">DP23*TAN(RADIANS(DT$7))-(IF($B$4, 9.807, 32.174)*DP23^2)/(2*DS$7^2*COS(RADIANS(DT$7))^2)+$D$7</f>
        <v>2.25667686400252</v>
      </c>
      <c r="DS23" s="123" t="n">
        <f aca="false">MIN($V$5,DR23)</f>
        <v>2.25667686400252</v>
      </c>
      <c r="DT23" s="112"/>
      <c r="DU23" s="112" t="n">
        <f aca="false">DU22+DU$7/100</f>
        <v>0.3</v>
      </c>
      <c r="DV23" s="122" t="n">
        <f aca="false">DU23+IF($I$3="Forward", $D$9, $G$9)</f>
        <v>0.3</v>
      </c>
      <c r="DW23" s="112" t="n">
        <f aca="false">DU23*TAN(RADIANS(DY$7))-(IF($B$4, 9.807, 32.174)*DU23^2)/(2*DX$7^2*COS(RADIANS(DY$7))^2)+$D$7</f>
        <v>2.25667686400252</v>
      </c>
      <c r="DX23" s="123" t="n">
        <f aca="false">MIN($V$5,DW23)</f>
        <v>2.25667686400252</v>
      </c>
      <c r="DY23" s="112"/>
      <c r="DZ23" s="112" t="n">
        <f aca="false">DZ22+DZ$7/100</f>
        <v>0.3</v>
      </c>
      <c r="EA23" s="112" t="n">
        <f aca="false">DZ23</f>
        <v>0.3</v>
      </c>
      <c r="EB23" s="112" t="n">
        <f aca="false">DZ23*TAN(RADIANS(ED$7))-(IF($B$4, 9.807, 32.174)*DZ23^2)/(2*EC$7^2*COS(RADIANS(ED$7))^2)+$D$7</f>
        <v>2.25667686400252</v>
      </c>
      <c r="EC23" s="123" t="n">
        <f aca="false">MIN($V$5,EB23)</f>
        <v>2.25667686400252</v>
      </c>
      <c r="ED23" s="112"/>
      <c r="EE23" s="112" t="n">
        <f aca="false">EE22+EE$7/100</f>
        <v>0.3</v>
      </c>
      <c r="EF23" s="122" t="n">
        <f aca="false">EE23-IF($I$3="Forward", $D$9, $G$9)</f>
        <v>0.3</v>
      </c>
      <c r="EG23" s="112" t="n">
        <f aca="false">EE23*TAN(RADIANS(EI$7))-(IF($B$4, 9.807, 32.174)*EE23^2)/(2*EH$7^2*COS(RADIANS(EI$7))^2)+$D$7</f>
        <v>2.25667686400252</v>
      </c>
      <c r="EH23" s="123" t="n">
        <f aca="false">MIN($V$5,EG23)</f>
        <v>2.25667686400252</v>
      </c>
      <c r="EI23" s="112"/>
      <c r="EJ23" s="112" t="n">
        <f aca="false">EJ22+EJ$7/100</f>
        <v>0.3</v>
      </c>
      <c r="EK23" s="122" t="n">
        <f aca="false">EJ23+IF($I$3="Forward", $D$9, $G$9)</f>
        <v>0.3</v>
      </c>
      <c r="EL23" s="112" t="n">
        <f aca="false">EJ23*TAN(RADIANS(EN$7))-(IF($B$4, 9.807, 32.174)*EJ23^2)/(2*EM$7^2*COS(RADIANS(EN$7))^2)+$D$7</f>
        <v>2.25667686400252</v>
      </c>
      <c r="EM23" s="123" t="n">
        <f aca="false">MIN($V$5,EL23)</f>
        <v>2.25667686400252</v>
      </c>
      <c r="EN23" s="112"/>
      <c r="EO23" s="112" t="n">
        <f aca="false">EO22+EO$7/100</f>
        <v>0.3</v>
      </c>
      <c r="EP23" s="112" t="n">
        <f aca="false">EO23</f>
        <v>0.3</v>
      </c>
      <c r="EQ23" s="112" t="n">
        <f aca="false">EO23*TAN(RADIANS(ES$7))-(IF($B$4, 9.807, 32.174)*EO23^2)/(2*ER$7^2*COS(RADIANS(ES$7))^2)+$D$7</f>
        <v>2.25667686400252</v>
      </c>
      <c r="ER23" s="123" t="n">
        <f aca="false">MIN($V$5,EQ23)</f>
        <v>2.25667686400252</v>
      </c>
      <c r="ES23" s="112"/>
      <c r="ET23" s="112" t="n">
        <f aca="false">ET22+ET$7/100</f>
        <v>0.3</v>
      </c>
      <c r="EU23" s="122" t="n">
        <f aca="false">ET23-IF($I$3="Forward", $D$9, $G$9)</f>
        <v>0.3</v>
      </c>
      <c r="EV23" s="112" t="n">
        <f aca="false">ET23*TAN(RADIANS(EX$7))-(IF($B$4, 9.807, 32.174)*ET23^2)/(2*EW$7^2*COS(RADIANS(EX$7))^2)+$D$7</f>
        <v>2.25667686400252</v>
      </c>
      <c r="EW23" s="123" t="n">
        <f aca="false">MIN($V$5,EV23)</f>
        <v>2.25667686400252</v>
      </c>
      <c r="EX23" s="112"/>
    </row>
    <row r="24" s="131" customFormat="true" ht="15" hidden="false" customHeight="true" outlineLevel="0" collapsed="false">
      <c r="C24" s="137"/>
      <c r="D24" s="137"/>
      <c r="E24" s="137"/>
      <c r="F24" s="137"/>
      <c r="G24" s="137"/>
      <c r="H24" s="111"/>
      <c r="I24" s="111"/>
      <c r="J24" s="111"/>
      <c r="K24" s="111"/>
      <c r="L24" s="111"/>
      <c r="M24" s="111"/>
      <c r="N24" s="111"/>
      <c r="O24" s="111"/>
      <c r="P24" s="111"/>
      <c r="Q24" s="111"/>
      <c r="R24" s="111"/>
      <c r="S24" s="111"/>
      <c r="T24" s="112" t="n">
        <f aca="false">T23+T$7/100</f>
        <v>0.32</v>
      </c>
      <c r="U24" s="122" t="n">
        <f aca="false">T24+IF($I$3="Forward", $D$9, $G$9)</f>
        <v>0.32</v>
      </c>
      <c r="V24" s="112" t="n">
        <f aca="false">T24*TAN(RADIANS(X$7))-(IF($B$4, 9.807, 32.174)*T24^2)/(2*W$7^2*COS(RADIANS(X$7))^2)+$D$7</f>
        <v>2.37212055311324</v>
      </c>
      <c r="W24" s="123" t="n">
        <f aca="false">MIN($V$5,V24)</f>
        <v>2.37212055311324</v>
      </c>
      <c r="X24" s="112"/>
      <c r="Y24" s="112" t="n">
        <f aca="false">Y23+Y$7/100</f>
        <v>0.32</v>
      </c>
      <c r="Z24" s="112" t="n">
        <f aca="false">Y24</f>
        <v>0.32</v>
      </c>
      <c r="AA24" s="112" t="n">
        <f aca="false">Y24*TAN(RADIANS(AC$7))-(IF($B$4, 9.807, 32.174)*Y24^2)/(2*AB$7^2*COS(RADIANS(AC$7))^2)+$D$7</f>
        <v>2.37212055311324</v>
      </c>
      <c r="AB24" s="123" t="n">
        <f aca="false">MIN($V$5,AA24)</f>
        <v>2.37212055311324</v>
      </c>
      <c r="AC24" s="112"/>
      <c r="AD24" s="112" t="n">
        <f aca="false">AD23+AD$7/100</f>
        <v>0.32</v>
      </c>
      <c r="AE24" s="122" t="n">
        <f aca="false">AD24-IF($I$3="Forward", $D$9, $G$9)</f>
        <v>0.32</v>
      </c>
      <c r="AF24" s="112" t="n">
        <f aca="false">AD24*TAN(RADIANS(AH$7))-(IF($B$4, 9.807, 32.174)*AD24^2)/(2*AG$7^2*COS(RADIANS(AH$7))^2)+$D$7</f>
        <v>2.37212055311324</v>
      </c>
      <c r="AG24" s="123" t="n">
        <f aca="false">MIN($V$5,AF24)</f>
        <v>2.37212055311324</v>
      </c>
      <c r="AH24" s="112"/>
      <c r="AI24" s="112" t="n">
        <f aca="false">AI23+AI$7/100</f>
        <v>0.32</v>
      </c>
      <c r="AJ24" s="122" t="n">
        <f aca="false">AI24+IF($I$3="Forward", $D$9, $G$9)</f>
        <v>0.32</v>
      </c>
      <c r="AK24" s="112" t="n">
        <f aca="false">AI24*TAN(RADIANS(AM$7))-(IF($B$4, 9.807, 32.174)*AI24^2)/(2*AL$7^2*COS(RADIANS(AM$7))^2)+$D$7</f>
        <v>2.37212055311324</v>
      </c>
      <c r="AL24" s="123" t="n">
        <f aca="false">MIN($V$5,AK24)</f>
        <v>2.37212055311324</v>
      </c>
      <c r="AM24" s="112"/>
      <c r="AN24" s="112" t="n">
        <f aca="false">AN23+AN$7/100</f>
        <v>0.32</v>
      </c>
      <c r="AO24" s="112" t="n">
        <f aca="false">AN24</f>
        <v>0.32</v>
      </c>
      <c r="AP24" s="112" t="n">
        <f aca="false">AN24*TAN(RADIANS(AR$7))-(IF($B$4, 9.807, 32.174)*AN24^2)/(2*AQ$7^2*COS(RADIANS(AR$7))^2)+$D$7</f>
        <v>2.37212055311324</v>
      </c>
      <c r="AQ24" s="123" t="n">
        <f aca="false">MIN($V$5,AP24)</f>
        <v>2.37212055311324</v>
      </c>
      <c r="AR24" s="112"/>
      <c r="AS24" s="112" t="n">
        <f aca="false">AS23+AS$7/100</f>
        <v>0.32</v>
      </c>
      <c r="AT24" s="122" t="n">
        <f aca="false">AS24-IF($I$3="Forward", $D$9, $G$9)</f>
        <v>0.32</v>
      </c>
      <c r="AU24" s="112" t="n">
        <f aca="false">AS24*TAN(RADIANS(AW$7))-(IF($B$4, 9.807, 32.174)*AS24^2)/(2*AV$7^2*COS(RADIANS(AW$7))^2)+$D$7</f>
        <v>2.37212055311324</v>
      </c>
      <c r="AV24" s="123" t="n">
        <f aca="false">MIN($V$5,AU24)</f>
        <v>2.37212055311324</v>
      </c>
      <c r="AW24" s="112"/>
      <c r="AX24" s="112" t="n">
        <f aca="false">AX23+AX$7/100</f>
        <v>0.32</v>
      </c>
      <c r="AY24" s="122" t="n">
        <f aca="false">AX24+IF($I$3="Forward", $D$9, $G$9)</f>
        <v>0.32</v>
      </c>
      <c r="AZ24" s="112" t="n">
        <f aca="false">AX24*TAN(RADIANS(BB$7))-(IF($B$4, 9.807, 32.174)*AX24^2)/(2*BA$7^2*COS(RADIANS(BB$7))^2)+$D$7</f>
        <v>2.37212055311324</v>
      </c>
      <c r="BA24" s="123" t="n">
        <f aca="false">MIN($V$5,AZ24)</f>
        <v>2.37212055311324</v>
      </c>
      <c r="BB24" s="112"/>
      <c r="BC24" s="112" t="n">
        <f aca="false">BC23+BC$7/100</f>
        <v>0.32</v>
      </c>
      <c r="BD24" s="112" t="n">
        <f aca="false">BC24</f>
        <v>0.32</v>
      </c>
      <c r="BE24" s="112" t="n">
        <f aca="false">BC24*TAN(RADIANS(BG$7))-(IF($B$4, 9.807, 32.174)*BC24^2)/(2*BF$7^2*COS(RADIANS(BG$7))^2)+$D$7</f>
        <v>2.37212055311324</v>
      </c>
      <c r="BF24" s="123" t="n">
        <f aca="false">MIN($V$5,BE24)</f>
        <v>2.37212055311324</v>
      </c>
      <c r="BG24" s="112"/>
      <c r="BH24" s="112" t="n">
        <f aca="false">BH23+BH$7/100</f>
        <v>0.32</v>
      </c>
      <c r="BI24" s="122" t="n">
        <f aca="false">BH24-IF($I$3="Forward", $D$9, $G$9)</f>
        <v>0.32</v>
      </c>
      <c r="BJ24" s="112" t="n">
        <f aca="false">BH24*TAN(RADIANS(BL$7))-(IF($B$4, 9.807, 32.174)*BH24^2)/(2*BK$7^2*COS(RADIANS(BL$7))^2)+$D$7</f>
        <v>2.37212055311324</v>
      </c>
      <c r="BK24" s="123" t="n">
        <f aca="false">MIN($V$5,BJ24)</f>
        <v>2.37212055311324</v>
      </c>
      <c r="BL24" s="112"/>
      <c r="BM24" s="112" t="n">
        <f aca="false">BM23+BM$7/100</f>
        <v>0.32</v>
      </c>
      <c r="BN24" s="122" t="n">
        <f aca="false">BM24+IF($I$3="Forward", $D$9, $G$9)</f>
        <v>0.32</v>
      </c>
      <c r="BO24" s="112" t="n">
        <f aca="false">BM24*TAN(RADIANS(BQ$7))-(IF($B$4, 9.807, 32.174)*BM24^2)/(2*BP$7^2*COS(RADIANS(BQ$7))^2)+$D$7</f>
        <v>2.37212055311324</v>
      </c>
      <c r="BP24" s="123" t="n">
        <f aca="false">MIN($V$5,BO24)</f>
        <v>2.37212055311324</v>
      </c>
      <c r="BQ24" s="112"/>
      <c r="BR24" s="112" t="n">
        <f aca="false">BR23+BR$7/100</f>
        <v>0.32</v>
      </c>
      <c r="BS24" s="112" t="n">
        <f aca="false">BR24</f>
        <v>0.32</v>
      </c>
      <c r="BT24" s="112" t="n">
        <f aca="false">BR24*TAN(RADIANS(BV$7))-(IF($B$4, 9.807, 32.174)*BR24^2)/(2*BU$7^2*COS(RADIANS(BV$7))^2)+$D$7</f>
        <v>2.37212055311324</v>
      </c>
      <c r="BU24" s="123" t="n">
        <f aca="false">MIN($V$5,BT24)</f>
        <v>2.37212055311324</v>
      </c>
      <c r="BV24" s="112"/>
      <c r="BW24" s="112" t="n">
        <f aca="false">BW23+BW$7/100</f>
        <v>0.32</v>
      </c>
      <c r="BX24" s="122" t="n">
        <f aca="false">BW24-IF($I$3="Forward", $D$9, $G$9)</f>
        <v>0.32</v>
      </c>
      <c r="BY24" s="112" t="n">
        <f aca="false">BW24*TAN(RADIANS(CA$7))-(IF($B$4, 9.807, 32.174)*BW24^2)/(2*BZ$7^2*COS(RADIANS(CA$7))^2)+$D$7</f>
        <v>2.37212055311324</v>
      </c>
      <c r="BZ24" s="123" t="n">
        <f aca="false">MIN($V$5,BY24)</f>
        <v>2.37212055311324</v>
      </c>
      <c r="CA24" s="112"/>
      <c r="CB24" s="112" t="n">
        <f aca="false">CB23+CB$7/100</f>
        <v>0.32</v>
      </c>
      <c r="CC24" s="122" t="n">
        <f aca="false">CB24+IF($I$3="Forward", $D$9, $G$9)</f>
        <v>0.32</v>
      </c>
      <c r="CD24" s="112" t="n">
        <f aca="false">CB24*TAN(RADIANS(CF$7))-(IF($B$4, 9.807, 32.174)*CB24^2)/(2*CE$7^2*COS(RADIANS(CF$7))^2)+$D$7</f>
        <v>2.37212055311324</v>
      </c>
      <c r="CE24" s="123" t="n">
        <f aca="false">MIN($V$5,CD24)</f>
        <v>2.37212055311324</v>
      </c>
      <c r="CF24" s="112"/>
      <c r="CG24" s="124" t="n">
        <f aca="false">CG23+CG$7/100</f>
        <v>0.32</v>
      </c>
      <c r="CH24" s="124" t="n">
        <f aca="false">CG24</f>
        <v>0.32</v>
      </c>
      <c r="CI24" s="124" t="n">
        <f aca="false">CG24*TAN(RADIANS(CK$7))-(IF($B$4, 9.807, 32.174)*CG24^2)/(2*CJ$7^2*COS(RADIANS(CK$7))^2)+$D$7</f>
        <v>2.37212055311324</v>
      </c>
      <c r="CJ24" s="123" t="n">
        <f aca="false">MIN($V$5,CI24)</f>
        <v>2.37212055311324</v>
      </c>
      <c r="CK24" s="124"/>
      <c r="CL24" s="112" t="n">
        <f aca="false">CL23+CL$7/100</f>
        <v>0.32</v>
      </c>
      <c r="CM24" s="122" t="n">
        <f aca="false">CL24-IF($I$3="Forward", $D$9, $G$9)</f>
        <v>0.32</v>
      </c>
      <c r="CN24" s="112" t="n">
        <f aca="false">CL24*TAN(RADIANS(CP$7))-(IF($B$4, 9.807, 32.174)*CL24^2)/(2*CO$7^2*COS(RADIANS(CP$7))^2)+$D$7</f>
        <v>2.37212055311324</v>
      </c>
      <c r="CO24" s="123" t="n">
        <f aca="false">MIN($V$5,CN24)</f>
        <v>2.37212055311324</v>
      </c>
      <c r="CP24" s="112"/>
      <c r="CQ24" s="112" t="n">
        <f aca="false">CQ23+CQ$7/100</f>
        <v>0.32</v>
      </c>
      <c r="CR24" s="122" t="n">
        <f aca="false">CQ24+IF($I$3="Forward", $D$9, $G$9)</f>
        <v>0.32</v>
      </c>
      <c r="CS24" s="112" t="n">
        <f aca="false">CQ24*TAN(RADIANS(CU$7))-(IF($B$4, 9.807, 32.174)*CQ24^2)/(2*CT$7^2*COS(RADIANS(CU$7))^2)+$D$7</f>
        <v>2.37212055311324</v>
      </c>
      <c r="CT24" s="123" t="n">
        <f aca="false">MIN($V$5,CS24)</f>
        <v>2.37212055311324</v>
      </c>
      <c r="CU24" s="112"/>
      <c r="CV24" s="112" t="n">
        <f aca="false">CV23+CV$7/100</f>
        <v>0.32</v>
      </c>
      <c r="CW24" s="112" t="n">
        <f aca="false">CV24</f>
        <v>0.32</v>
      </c>
      <c r="CX24" s="112" t="n">
        <f aca="false">CV24*TAN(RADIANS(CZ$7))-(IF($B$4, 9.807, 32.174)*CV24^2)/(2*CY$7^2*COS(RADIANS(CZ$7))^2)+$D$7</f>
        <v>2.37212055311324</v>
      </c>
      <c r="CY24" s="123" t="n">
        <f aca="false">MIN($V$5,CX24)</f>
        <v>2.37212055311324</v>
      </c>
      <c r="CZ24" s="112"/>
      <c r="DA24" s="112" t="n">
        <f aca="false">DA23+DA$7/100</f>
        <v>0.32</v>
      </c>
      <c r="DB24" s="122" t="n">
        <f aca="false">DA24-IF($I$3="Forward", $D$9, $G$9)</f>
        <v>0.32</v>
      </c>
      <c r="DC24" s="112" t="n">
        <f aca="false">DA24*TAN(RADIANS(DE$7))-(IF($B$4, 9.807, 32.174)*DA24^2)/(2*DD$7^2*COS(RADIANS(DE$7))^2)+$D$7</f>
        <v>2.37212055311324</v>
      </c>
      <c r="DD24" s="123" t="n">
        <f aca="false">MIN($V$5,DC24)</f>
        <v>2.37212055311324</v>
      </c>
      <c r="DE24" s="112"/>
      <c r="DF24" s="112" t="n">
        <f aca="false">DF23+DF$7/100</f>
        <v>0.32</v>
      </c>
      <c r="DG24" s="122" t="n">
        <f aca="false">DF24+IF($I$3="Forward", $D$9, $G$9)</f>
        <v>0.32</v>
      </c>
      <c r="DH24" s="112" t="n">
        <f aca="false">DF24*TAN(RADIANS(DJ$7))-(IF($B$4, 9.807, 32.174)*DF24^2)/(2*DI$7^2*COS(RADIANS(DJ$7))^2)+$D$7</f>
        <v>2.37212055311324</v>
      </c>
      <c r="DI24" s="123" t="n">
        <f aca="false">MIN($V$5,DH24)</f>
        <v>2.37212055311324</v>
      </c>
      <c r="DJ24" s="112"/>
      <c r="DK24" s="112" t="n">
        <f aca="false">DK23+DK$7/100</f>
        <v>0.32</v>
      </c>
      <c r="DL24" s="112" t="n">
        <f aca="false">DK24</f>
        <v>0.32</v>
      </c>
      <c r="DM24" s="112" t="n">
        <f aca="false">DK24*TAN(RADIANS(DO$7))-(IF($B$4, 9.807, 32.174)*DK24^2)/(2*DN$7^2*COS(RADIANS(DO$7))^2)+$D$7</f>
        <v>2.37212055311324</v>
      </c>
      <c r="DN24" s="123" t="n">
        <f aca="false">MIN($V$5,DM24)</f>
        <v>2.37212055311324</v>
      </c>
      <c r="DO24" s="112"/>
      <c r="DP24" s="112" t="n">
        <f aca="false">DP23+DP$7/100</f>
        <v>0.32</v>
      </c>
      <c r="DQ24" s="122" t="n">
        <f aca="false">DP24-IF($I$3="Forward", $D$9, $G$9)</f>
        <v>0.32</v>
      </c>
      <c r="DR24" s="112" t="n">
        <f aca="false">DP24*TAN(RADIANS(DT$7))-(IF($B$4, 9.807, 32.174)*DP24^2)/(2*DS$7^2*COS(RADIANS(DT$7))^2)+$D$7</f>
        <v>2.37212055311324</v>
      </c>
      <c r="DS24" s="123" t="n">
        <f aca="false">MIN($V$5,DR24)</f>
        <v>2.37212055311324</v>
      </c>
      <c r="DT24" s="112"/>
      <c r="DU24" s="112" t="n">
        <f aca="false">DU23+DU$7/100</f>
        <v>0.32</v>
      </c>
      <c r="DV24" s="122" t="n">
        <f aca="false">DU24+IF($I$3="Forward", $D$9, $G$9)</f>
        <v>0.32</v>
      </c>
      <c r="DW24" s="112" t="n">
        <f aca="false">DU24*TAN(RADIANS(DY$7))-(IF($B$4, 9.807, 32.174)*DU24^2)/(2*DX$7^2*COS(RADIANS(DY$7))^2)+$D$7</f>
        <v>2.37212055311324</v>
      </c>
      <c r="DX24" s="123" t="n">
        <f aca="false">MIN($V$5,DW24)</f>
        <v>2.37212055311324</v>
      </c>
      <c r="DY24" s="112"/>
      <c r="DZ24" s="112" t="n">
        <f aca="false">DZ23+DZ$7/100</f>
        <v>0.32</v>
      </c>
      <c r="EA24" s="112" t="n">
        <f aca="false">DZ24</f>
        <v>0.32</v>
      </c>
      <c r="EB24" s="112" t="n">
        <f aca="false">DZ24*TAN(RADIANS(ED$7))-(IF($B$4, 9.807, 32.174)*DZ24^2)/(2*EC$7^2*COS(RADIANS(ED$7))^2)+$D$7</f>
        <v>2.37212055311324</v>
      </c>
      <c r="EC24" s="123" t="n">
        <f aca="false">MIN($V$5,EB24)</f>
        <v>2.37212055311324</v>
      </c>
      <c r="ED24" s="112"/>
      <c r="EE24" s="112" t="n">
        <f aca="false">EE23+EE$7/100</f>
        <v>0.32</v>
      </c>
      <c r="EF24" s="122" t="n">
        <f aca="false">EE24-IF($I$3="Forward", $D$9, $G$9)</f>
        <v>0.32</v>
      </c>
      <c r="EG24" s="112" t="n">
        <f aca="false">EE24*TAN(RADIANS(EI$7))-(IF($B$4, 9.807, 32.174)*EE24^2)/(2*EH$7^2*COS(RADIANS(EI$7))^2)+$D$7</f>
        <v>2.37212055311324</v>
      </c>
      <c r="EH24" s="123" t="n">
        <f aca="false">MIN($V$5,EG24)</f>
        <v>2.37212055311324</v>
      </c>
      <c r="EI24" s="112"/>
      <c r="EJ24" s="112" t="n">
        <f aca="false">EJ23+EJ$7/100</f>
        <v>0.32</v>
      </c>
      <c r="EK24" s="122" t="n">
        <f aca="false">EJ24+IF($I$3="Forward", $D$9, $G$9)</f>
        <v>0.32</v>
      </c>
      <c r="EL24" s="112" t="n">
        <f aca="false">EJ24*TAN(RADIANS(EN$7))-(IF($B$4, 9.807, 32.174)*EJ24^2)/(2*EM$7^2*COS(RADIANS(EN$7))^2)+$D$7</f>
        <v>2.37212055311324</v>
      </c>
      <c r="EM24" s="123" t="n">
        <f aca="false">MIN($V$5,EL24)</f>
        <v>2.37212055311324</v>
      </c>
      <c r="EN24" s="112"/>
      <c r="EO24" s="112" t="n">
        <f aca="false">EO23+EO$7/100</f>
        <v>0.32</v>
      </c>
      <c r="EP24" s="112" t="n">
        <f aca="false">EO24</f>
        <v>0.32</v>
      </c>
      <c r="EQ24" s="112" t="n">
        <f aca="false">EO24*TAN(RADIANS(ES$7))-(IF($B$4, 9.807, 32.174)*EO24^2)/(2*ER$7^2*COS(RADIANS(ES$7))^2)+$D$7</f>
        <v>2.37212055311324</v>
      </c>
      <c r="ER24" s="123" t="n">
        <f aca="false">MIN($V$5,EQ24)</f>
        <v>2.37212055311324</v>
      </c>
      <c r="ES24" s="112"/>
      <c r="ET24" s="112" t="n">
        <f aca="false">ET23+ET$7/100</f>
        <v>0.32</v>
      </c>
      <c r="EU24" s="122" t="n">
        <f aca="false">ET24-IF($I$3="Forward", $D$9, $G$9)</f>
        <v>0.32</v>
      </c>
      <c r="EV24" s="112" t="n">
        <f aca="false">ET24*TAN(RADIANS(EX$7))-(IF($B$4, 9.807, 32.174)*ET24^2)/(2*EW$7^2*COS(RADIANS(EX$7))^2)+$D$7</f>
        <v>2.37212055311324</v>
      </c>
      <c r="EW24" s="123" t="n">
        <f aca="false">MIN($V$5,EV24)</f>
        <v>2.37212055311324</v>
      </c>
      <c r="EX24" s="112"/>
    </row>
    <row r="25" s="131" customFormat="true" ht="14.45" hidden="false" customHeight="true" outlineLevel="0" collapsed="false">
      <c r="C25" s="137"/>
      <c r="D25" s="137"/>
      <c r="E25" s="137"/>
      <c r="F25" s="137"/>
      <c r="G25" s="137"/>
      <c r="H25" s="111"/>
      <c r="I25" s="111"/>
      <c r="J25" s="111"/>
      <c r="K25" s="111"/>
      <c r="L25" s="111"/>
      <c r="M25" s="111"/>
      <c r="N25" s="111"/>
      <c r="O25" s="111"/>
      <c r="P25" s="111"/>
      <c r="Q25" s="111"/>
      <c r="R25" s="111"/>
      <c r="S25" s="111"/>
      <c r="T25" s="112" t="n">
        <f aca="false">T24+T$7/100</f>
        <v>0.34</v>
      </c>
      <c r="U25" s="122" t="n">
        <f aca="false">T25+IF($I$3="Forward", $D$9, $G$9)</f>
        <v>0.34</v>
      </c>
      <c r="V25" s="112" t="n">
        <f aca="false">T25*TAN(RADIANS(X$7))-(IF($B$4, 9.807, 32.174)*T25^2)/(2*W$7^2*COS(RADIANS(X$7))^2)+$D$7</f>
        <v>2.48485572949612</v>
      </c>
      <c r="W25" s="123" t="n">
        <f aca="false">MIN($V$5,V25)</f>
        <v>2.48485572949612</v>
      </c>
      <c r="X25" s="112"/>
      <c r="Y25" s="112" t="n">
        <f aca="false">Y24+Y$7/100</f>
        <v>0.34</v>
      </c>
      <c r="Z25" s="112" t="n">
        <f aca="false">Y25</f>
        <v>0.34</v>
      </c>
      <c r="AA25" s="112" t="n">
        <f aca="false">Y25*TAN(RADIANS(AC$7))-(IF($B$4, 9.807, 32.174)*Y25^2)/(2*AB$7^2*COS(RADIANS(AC$7))^2)+$D$7</f>
        <v>2.48485572949612</v>
      </c>
      <c r="AB25" s="123" t="n">
        <f aca="false">MIN($V$5,AA25)</f>
        <v>2.48485572949612</v>
      </c>
      <c r="AC25" s="112"/>
      <c r="AD25" s="112" t="n">
        <f aca="false">AD24+AD$7/100</f>
        <v>0.34</v>
      </c>
      <c r="AE25" s="122" t="n">
        <f aca="false">AD25-IF($I$3="Forward", $D$9, $G$9)</f>
        <v>0.34</v>
      </c>
      <c r="AF25" s="112" t="n">
        <f aca="false">AD25*TAN(RADIANS(AH$7))-(IF($B$4, 9.807, 32.174)*AD25^2)/(2*AG$7^2*COS(RADIANS(AH$7))^2)+$D$7</f>
        <v>2.48485572949612</v>
      </c>
      <c r="AG25" s="123" t="n">
        <f aca="false">MIN($V$5,AF25)</f>
        <v>2.48485572949612</v>
      </c>
      <c r="AH25" s="112"/>
      <c r="AI25" s="112" t="n">
        <f aca="false">AI24+AI$7/100</f>
        <v>0.34</v>
      </c>
      <c r="AJ25" s="122" t="n">
        <f aca="false">AI25+IF($I$3="Forward", $D$9, $G$9)</f>
        <v>0.34</v>
      </c>
      <c r="AK25" s="112" t="n">
        <f aca="false">AI25*TAN(RADIANS(AM$7))-(IF($B$4, 9.807, 32.174)*AI25^2)/(2*AL$7^2*COS(RADIANS(AM$7))^2)+$D$7</f>
        <v>2.48485572949612</v>
      </c>
      <c r="AL25" s="123" t="n">
        <f aca="false">MIN($V$5,AK25)</f>
        <v>2.48485572949612</v>
      </c>
      <c r="AM25" s="112"/>
      <c r="AN25" s="112" t="n">
        <f aca="false">AN24+AN$7/100</f>
        <v>0.34</v>
      </c>
      <c r="AO25" s="112" t="n">
        <f aca="false">AN25</f>
        <v>0.34</v>
      </c>
      <c r="AP25" s="112" t="n">
        <f aca="false">AN25*TAN(RADIANS(AR$7))-(IF($B$4, 9.807, 32.174)*AN25^2)/(2*AQ$7^2*COS(RADIANS(AR$7))^2)+$D$7</f>
        <v>2.48485572949612</v>
      </c>
      <c r="AQ25" s="123" t="n">
        <f aca="false">MIN($V$5,AP25)</f>
        <v>2.48485572949612</v>
      </c>
      <c r="AR25" s="112"/>
      <c r="AS25" s="112" t="n">
        <f aca="false">AS24+AS$7/100</f>
        <v>0.34</v>
      </c>
      <c r="AT25" s="122" t="n">
        <f aca="false">AS25-IF($I$3="Forward", $D$9, $G$9)</f>
        <v>0.34</v>
      </c>
      <c r="AU25" s="112" t="n">
        <f aca="false">AS25*TAN(RADIANS(AW$7))-(IF($B$4, 9.807, 32.174)*AS25^2)/(2*AV$7^2*COS(RADIANS(AW$7))^2)+$D$7</f>
        <v>2.48485572949612</v>
      </c>
      <c r="AV25" s="123" t="n">
        <f aca="false">MIN($V$5,AU25)</f>
        <v>2.48485572949612</v>
      </c>
      <c r="AW25" s="112"/>
      <c r="AX25" s="112" t="n">
        <f aca="false">AX24+AX$7/100</f>
        <v>0.34</v>
      </c>
      <c r="AY25" s="122" t="n">
        <f aca="false">AX25+IF($I$3="Forward", $D$9, $G$9)</f>
        <v>0.34</v>
      </c>
      <c r="AZ25" s="112" t="n">
        <f aca="false">AX25*TAN(RADIANS(BB$7))-(IF($B$4, 9.807, 32.174)*AX25^2)/(2*BA$7^2*COS(RADIANS(BB$7))^2)+$D$7</f>
        <v>2.48485572949612</v>
      </c>
      <c r="BA25" s="123" t="n">
        <f aca="false">MIN($V$5,AZ25)</f>
        <v>2.48485572949612</v>
      </c>
      <c r="BB25" s="112"/>
      <c r="BC25" s="112" t="n">
        <f aca="false">BC24+BC$7/100</f>
        <v>0.34</v>
      </c>
      <c r="BD25" s="112" t="n">
        <f aca="false">BC25</f>
        <v>0.34</v>
      </c>
      <c r="BE25" s="112" t="n">
        <f aca="false">BC25*TAN(RADIANS(BG$7))-(IF($B$4, 9.807, 32.174)*BC25^2)/(2*BF$7^2*COS(RADIANS(BG$7))^2)+$D$7</f>
        <v>2.48485572949612</v>
      </c>
      <c r="BF25" s="123" t="n">
        <f aca="false">MIN($V$5,BE25)</f>
        <v>2.48485572949612</v>
      </c>
      <c r="BG25" s="112"/>
      <c r="BH25" s="112" t="n">
        <f aca="false">BH24+BH$7/100</f>
        <v>0.34</v>
      </c>
      <c r="BI25" s="122" t="n">
        <f aca="false">BH25-IF($I$3="Forward", $D$9, $G$9)</f>
        <v>0.34</v>
      </c>
      <c r="BJ25" s="112" t="n">
        <f aca="false">BH25*TAN(RADIANS(BL$7))-(IF($B$4, 9.807, 32.174)*BH25^2)/(2*BK$7^2*COS(RADIANS(BL$7))^2)+$D$7</f>
        <v>2.48485572949612</v>
      </c>
      <c r="BK25" s="123" t="n">
        <f aca="false">MIN($V$5,BJ25)</f>
        <v>2.48485572949612</v>
      </c>
      <c r="BL25" s="112"/>
      <c r="BM25" s="112" t="n">
        <f aca="false">BM24+BM$7/100</f>
        <v>0.34</v>
      </c>
      <c r="BN25" s="122" t="n">
        <f aca="false">BM25+IF($I$3="Forward", $D$9, $G$9)</f>
        <v>0.34</v>
      </c>
      <c r="BO25" s="112" t="n">
        <f aca="false">BM25*TAN(RADIANS(BQ$7))-(IF($B$4, 9.807, 32.174)*BM25^2)/(2*BP$7^2*COS(RADIANS(BQ$7))^2)+$D$7</f>
        <v>2.48485572949612</v>
      </c>
      <c r="BP25" s="123" t="n">
        <f aca="false">MIN($V$5,BO25)</f>
        <v>2.48485572949612</v>
      </c>
      <c r="BQ25" s="112"/>
      <c r="BR25" s="112" t="n">
        <f aca="false">BR24+BR$7/100</f>
        <v>0.34</v>
      </c>
      <c r="BS25" s="112" t="n">
        <f aca="false">BR25</f>
        <v>0.34</v>
      </c>
      <c r="BT25" s="112" t="n">
        <f aca="false">BR25*TAN(RADIANS(BV$7))-(IF($B$4, 9.807, 32.174)*BR25^2)/(2*BU$7^2*COS(RADIANS(BV$7))^2)+$D$7</f>
        <v>2.48485572949612</v>
      </c>
      <c r="BU25" s="123" t="n">
        <f aca="false">MIN($V$5,BT25)</f>
        <v>2.48485572949612</v>
      </c>
      <c r="BV25" s="112"/>
      <c r="BW25" s="112" t="n">
        <f aca="false">BW24+BW$7/100</f>
        <v>0.34</v>
      </c>
      <c r="BX25" s="122" t="n">
        <f aca="false">BW25-IF($I$3="Forward", $D$9, $G$9)</f>
        <v>0.34</v>
      </c>
      <c r="BY25" s="112" t="n">
        <f aca="false">BW25*TAN(RADIANS(CA$7))-(IF($B$4, 9.807, 32.174)*BW25^2)/(2*BZ$7^2*COS(RADIANS(CA$7))^2)+$D$7</f>
        <v>2.48485572949612</v>
      </c>
      <c r="BZ25" s="123" t="n">
        <f aca="false">MIN($V$5,BY25)</f>
        <v>2.48485572949612</v>
      </c>
      <c r="CA25" s="112"/>
      <c r="CB25" s="112" t="n">
        <f aca="false">CB24+CB$7/100</f>
        <v>0.34</v>
      </c>
      <c r="CC25" s="122" t="n">
        <f aca="false">CB25+IF($I$3="Forward", $D$9, $G$9)</f>
        <v>0.34</v>
      </c>
      <c r="CD25" s="112" t="n">
        <f aca="false">CB25*TAN(RADIANS(CF$7))-(IF($B$4, 9.807, 32.174)*CB25^2)/(2*CE$7^2*COS(RADIANS(CF$7))^2)+$D$7</f>
        <v>2.48485572949612</v>
      </c>
      <c r="CE25" s="123" t="n">
        <f aca="false">MIN($V$5,CD25)</f>
        <v>2.48485572949612</v>
      </c>
      <c r="CF25" s="112"/>
      <c r="CG25" s="124" t="n">
        <f aca="false">CG24+CG$7/100</f>
        <v>0.34</v>
      </c>
      <c r="CH25" s="124" t="n">
        <f aca="false">CG25</f>
        <v>0.34</v>
      </c>
      <c r="CI25" s="124" t="n">
        <f aca="false">CG25*TAN(RADIANS(CK$7))-(IF($B$4, 9.807, 32.174)*CG25^2)/(2*CJ$7^2*COS(RADIANS(CK$7))^2)+$D$7</f>
        <v>2.48485572949612</v>
      </c>
      <c r="CJ25" s="123" t="n">
        <f aca="false">MIN($V$5,CI25)</f>
        <v>2.48485572949612</v>
      </c>
      <c r="CK25" s="124"/>
      <c r="CL25" s="112" t="n">
        <f aca="false">CL24+CL$7/100</f>
        <v>0.34</v>
      </c>
      <c r="CM25" s="122" t="n">
        <f aca="false">CL25-IF($I$3="Forward", $D$9, $G$9)</f>
        <v>0.34</v>
      </c>
      <c r="CN25" s="112" t="n">
        <f aca="false">CL25*TAN(RADIANS(CP$7))-(IF($B$4, 9.807, 32.174)*CL25^2)/(2*CO$7^2*COS(RADIANS(CP$7))^2)+$D$7</f>
        <v>2.48485572949612</v>
      </c>
      <c r="CO25" s="123" t="n">
        <f aca="false">MIN($V$5,CN25)</f>
        <v>2.48485572949612</v>
      </c>
      <c r="CP25" s="112"/>
      <c r="CQ25" s="112" t="n">
        <f aca="false">CQ24+CQ$7/100</f>
        <v>0.34</v>
      </c>
      <c r="CR25" s="122" t="n">
        <f aca="false">CQ25+IF($I$3="Forward", $D$9, $G$9)</f>
        <v>0.34</v>
      </c>
      <c r="CS25" s="112" t="n">
        <f aca="false">CQ25*TAN(RADIANS(CU$7))-(IF($B$4, 9.807, 32.174)*CQ25^2)/(2*CT$7^2*COS(RADIANS(CU$7))^2)+$D$7</f>
        <v>2.48485572949612</v>
      </c>
      <c r="CT25" s="123" t="n">
        <f aca="false">MIN($V$5,CS25)</f>
        <v>2.48485572949612</v>
      </c>
      <c r="CU25" s="112"/>
      <c r="CV25" s="112" t="n">
        <f aca="false">CV24+CV$7/100</f>
        <v>0.34</v>
      </c>
      <c r="CW25" s="112" t="n">
        <f aca="false">CV25</f>
        <v>0.34</v>
      </c>
      <c r="CX25" s="112" t="n">
        <f aca="false">CV25*TAN(RADIANS(CZ$7))-(IF($B$4, 9.807, 32.174)*CV25^2)/(2*CY$7^2*COS(RADIANS(CZ$7))^2)+$D$7</f>
        <v>2.48485572949612</v>
      </c>
      <c r="CY25" s="123" t="n">
        <f aca="false">MIN($V$5,CX25)</f>
        <v>2.48485572949612</v>
      </c>
      <c r="CZ25" s="112"/>
      <c r="DA25" s="112" t="n">
        <f aca="false">DA24+DA$7/100</f>
        <v>0.34</v>
      </c>
      <c r="DB25" s="122" t="n">
        <f aca="false">DA25-IF($I$3="Forward", $D$9, $G$9)</f>
        <v>0.34</v>
      </c>
      <c r="DC25" s="112" t="n">
        <f aca="false">DA25*TAN(RADIANS(DE$7))-(IF($B$4, 9.807, 32.174)*DA25^2)/(2*DD$7^2*COS(RADIANS(DE$7))^2)+$D$7</f>
        <v>2.48485572949612</v>
      </c>
      <c r="DD25" s="123" t="n">
        <f aca="false">MIN($V$5,DC25)</f>
        <v>2.48485572949612</v>
      </c>
      <c r="DE25" s="112"/>
      <c r="DF25" s="112" t="n">
        <f aca="false">DF24+DF$7/100</f>
        <v>0.34</v>
      </c>
      <c r="DG25" s="122" t="n">
        <f aca="false">DF25+IF($I$3="Forward", $D$9, $G$9)</f>
        <v>0.34</v>
      </c>
      <c r="DH25" s="112" t="n">
        <f aca="false">DF25*TAN(RADIANS(DJ$7))-(IF($B$4, 9.807, 32.174)*DF25^2)/(2*DI$7^2*COS(RADIANS(DJ$7))^2)+$D$7</f>
        <v>2.48485572949612</v>
      </c>
      <c r="DI25" s="123" t="n">
        <f aca="false">MIN($V$5,DH25)</f>
        <v>2.48485572949612</v>
      </c>
      <c r="DJ25" s="112"/>
      <c r="DK25" s="112" t="n">
        <f aca="false">DK24+DK$7/100</f>
        <v>0.34</v>
      </c>
      <c r="DL25" s="112" t="n">
        <f aca="false">DK25</f>
        <v>0.34</v>
      </c>
      <c r="DM25" s="112" t="n">
        <f aca="false">DK25*TAN(RADIANS(DO$7))-(IF($B$4, 9.807, 32.174)*DK25^2)/(2*DN$7^2*COS(RADIANS(DO$7))^2)+$D$7</f>
        <v>2.48485572949612</v>
      </c>
      <c r="DN25" s="123" t="n">
        <f aca="false">MIN($V$5,DM25)</f>
        <v>2.48485572949612</v>
      </c>
      <c r="DO25" s="112"/>
      <c r="DP25" s="112" t="n">
        <f aca="false">DP24+DP$7/100</f>
        <v>0.34</v>
      </c>
      <c r="DQ25" s="122" t="n">
        <f aca="false">DP25-IF($I$3="Forward", $D$9, $G$9)</f>
        <v>0.34</v>
      </c>
      <c r="DR25" s="112" t="n">
        <f aca="false">DP25*TAN(RADIANS(DT$7))-(IF($B$4, 9.807, 32.174)*DP25^2)/(2*DS$7^2*COS(RADIANS(DT$7))^2)+$D$7</f>
        <v>2.48485572949612</v>
      </c>
      <c r="DS25" s="123" t="n">
        <f aca="false">MIN($V$5,DR25)</f>
        <v>2.48485572949612</v>
      </c>
      <c r="DT25" s="112"/>
      <c r="DU25" s="112" t="n">
        <f aca="false">DU24+DU$7/100</f>
        <v>0.34</v>
      </c>
      <c r="DV25" s="122" t="n">
        <f aca="false">DU25+IF($I$3="Forward", $D$9, $G$9)</f>
        <v>0.34</v>
      </c>
      <c r="DW25" s="112" t="n">
        <f aca="false">DU25*TAN(RADIANS(DY$7))-(IF($B$4, 9.807, 32.174)*DU25^2)/(2*DX$7^2*COS(RADIANS(DY$7))^2)+$D$7</f>
        <v>2.48485572949612</v>
      </c>
      <c r="DX25" s="123" t="n">
        <f aca="false">MIN($V$5,DW25)</f>
        <v>2.48485572949612</v>
      </c>
      <c r="DY25" s="112"/>
      <c r="DZ25" s="112" t="n">
        <f aca="false">DZ24+DZ$7/100</f>
        <v>0.34</v>
      </c>
      <c r="EA25" s="112" t="n">
        <f aca="false">DZ25</f>
        <v>0.34</v>
      </c>
      <c r="EB25" s="112" t="n">
        <f aca="false">DZ25*TAN(RADIANS(ED$7))-(IF($B$4, 9.807, 32.174)*DZ25^2)/(2*EC$7^2*COS(RADIANS(ED$7))^2)+$D$7</f>
        <v>2.48485572949612</v>
      </c>
      <c r="EC25" s="123" t="n">
        <f aca="false">MIN($V$5,EB25)</f>
        <v>2.48485572949612</v>
      </c>
      <c r="ED25" s="112"/>
      <c r="EE25" s="112" t="n">
        <f aca="false">EE24+EE$7/100</f>
        <v>0.34</v>
      </c>
      <c r="EF25" s="122" t="n">
        <f aca="false">EE25-IF($I$3="Forward", $D$9, $G$9)</f>
        <v>0.34</v>
      </c>
      <c r="EG25" s="112" t="n">
        <f aca="false">EE25*TAN(RADIANS(EI$7))-(IF($B$4, 9.807, 32.174)*EE25^2)/(2*EH$7^2*COS(RADIANS(EI$7))^2)+$D$7</f>
        <v>2.48485572949612</v>
      </c>
      <c r="EH25" s="123" t="n">
        <f aca="false">MIN($V$5,EG25)</f>
        <v>2.48485572949612</v>
      </c>
      <c r="EI25" s="112"/>
      <c r="EJ25" s="112" t="n">
        <f aca="false">EJ24+EJ$7/100</f>
        <v>0.34</v>
      </c>
      <c r="EK25" s="122" t="n">
        <f aca="false">EJ25+IF($I$3="Forward", $D$9, $G$9)</f>
        <v>0.34</v>
      </c>
      <c r="EL25" s="112" t="n">
        <f aca="false">EJ25*TAN(RADIANS(EN$7))-(IF($B$4, 9.807, 32.174)*EJ25^2)/(2*EM$7^2*COS(RADIANS(EN$7))^2)+$D$7</f>
        <v>2.48485572949612</v>
      </c>
      <c r="EM25" s="123" t="n">
        <f aca="false">MIN($V$5,EL25)</f>
        <v>2.48485572949612</v>
      </c>
      <c r="EN25" s="112"/>
      <c r="EO25" s="112" t="n">
        <f aca="false">EO24+EO$7/100</f>
        <v>0.34</v>
      </c>
      <c r="EP25" s="112" t="n">
        <f aca="false">EO25</f>
        <v>0.34</v>
      </c>
      <c r="EQ25" s="112" t="n">
        <f aca="false">EO25*TAN(RADIANS(ES$7))-(IF($B$4, 9.807, 32.174)*EO25^2)/(2*ER$7^2*COS(RADIANS(ES$7))^2)+$D$7</f>
        <v>2.48485572949612</v>
      </c>
      <c r="ER25" s="123" t="n">
        <f aca="false">MIN($V$5,EQ25)</f>
        <v>2.48485572949612</v>
      </c>
      <c r="ES25" s="112"/>
      <c r="ET25" s="112" t="n">
        <f aca="false">ET24+ET$7/100</f>
        <v>0.34</v>
      </c>
      <c r="EU25" s="122" t="n">
        <f aca="false">ET25-IF($I$3="Forward", $D$9, $G$9)</f>
        <v>0.34</v>
      </c>
      <c r="EV25" s="112" t="n">
        <f aca="false">ET25*TAN(RADIANS(EX$7))-(IF($B$4, 9.807, 32.174)*ET25^2)/(2*EW$7^2*COS(RADIANS(EX$7))^2)+$D$7</f>
        <v>2.48485572949612</v>
      </c>
      <c r="EW25" s="123" t="n">
        <f aca="false">MIN($V$5,EV25)</f>
        <v>2.48485572949612</v>
      </c>
      <c r="EX25" s="112"/>
    </row>
    <row r="26" s="131" customFormat="true" ht="14.45" hidden="false" customHeight="true" outlineLevel="0" collapsed="false">
      <c r="C26" s="137"/>
      <c r="D26" s="137"/>
      <c r="E26" s="137"/>
      <c r="F26" s="137"/>
      <c r="G26" s="137"/>
      <c r="H26" s="111"/>
      <c r="I26" s="111"/>
      <c r="J26" s="111"/>
      <c r="K26" s="111"/>
      <c r="L26" s="111"/>
      <c r="M26" s="111"/>
      <c r="N26" s="111"/>
      <c r="O26" s="111"/>
      <c r="P26" s="111"/>
      <c r="Q26" s="111"/>
      <c r="R26" s="111"/>
      <c r="S26" s="111"/>
      <c r="T26" s="112" t="n">
        <f aca="false">T25+T$7/100</f>
        <v>0.36</v>
      </c>
      <c r="U26" s="122" t="n">
        <f aca="false">T26+IF($I$3="Forward", $D$9, $G$9)</f>
        <v>0.36</v>
      </c>
      <c r="V26" s="112" t="n">
        <f aca="false">T26*TAN(RADIANS(X$7))-(IF($B$4, 9.807, 32.174)*T26^2)/(2*W$7^2*COS(RADIANS(X$7))^2)+$D$7</f>
        <v>2.59488239315115</v>
      </c>
      <c r="W26" s="123" t="n">
        <f aca="false">MIN($V$5,V26)</f>
        <v>2.59488239315115</v>
      </c>
      <c r="X26" s="112"/>
      <c r="Y26" s="112" t="n">
        <f aca="false">Y25+Y$7/100</f>
        <v>0.36</v>
      </c>
      <c r="Z26" s="112" t="n">
        <f aca="false">Y26</f>
        <v>0.36</v>
      </c>
      <c r="AA26" s="112" t="n">
        <f aca="false">Y26*TAN(RADIANS(AC$7))-(IF($B$4, 9.807, 32.174)*Y26^2)/(2*AB$7^2*COS(RADIANS(AC$7))^2)+$D$7</f>
        <v>2.59488239315115</v>
      </c>
      <c r="AB26" s="123" t="n">
        <f aca="false">MIN($V$5,AA26)</f>
        <v>2.59488239315115</v>
      </c>
      <c r="AC26" s="112"/>
      <c r="AD26" s="112" t="n">
        <f aca="false">AD25+AD$7/100</f>
        <v>0.36</v>
      </c>
      <c r="AE26" s="122" t="n">
        <f aca="false">AD26-IF($I$3="Forward", $D$9, $G$9)</f>
        <v>0.36</v>
      </c>
      <c r="AF26" s="112" t="n">
        <f aca="false">AD26*TAN(RADIANS(AH$7))-(IF($B$4, 9.807, 32.174)*AD26^2)/(2*AG$7^2*COS(RADIANS(AH$7))^2)+$D$7</f>
        <v>2.59488239315115</v>
      </c>
      <c r="AG26" s="123" t="n">
        <f aca="false">MIN($V$5,AF26)</f>
        <v>2.59488239315115</v>
      </c>
      <c r="AH26" s="112"/>
      <c r="AI26" s="112" t="n">
        <f aca="false">AI25+AI$7/100</f>
        <v>0.36</v>
      </c>
      <c r="AJ26" s="122" t="n">
        <f aca="false">AI26+IF($I$3="Forward", $D$9, $G$9)</f>
        <v>0.36</v>
      </c>
      <c r="AK26" s="112" t="n">
        <f aca="false">AI26*TAN(RADIANS(AM$7))-(IF($B$4, 9.807, 32.174)*AI26^2)/(2*AL$7^2*COS(RADIANS(AM$7))^2)+$D$7</f>
        <v>2.59488239315115</v>
      </c>
      <c r="AL26" s="123" t="n">
        <f aca="false">MIN($V$5,AK26)</f>
        <v>2.59488239315115</v>
      </c>
      <c r="AM26" s="112"/>
      <c r="AN26" s="112" t="n">
        <f aca="false">AN25+AN$7/100</f>
        <v>0.36</v>
      </c>
      <c r="AO26" s="112" t="n">
        <f aca="false">AN26</f>
        <v>0.36</v>
      </c>
      <c r="AP26" s="112" t="n">
        <f aca="false">AN26*TAN(RADIANS(AR$7))-(IF($B$4, 9.807, 32.174)*AN26^2)/(2*AQ$7^2*COS(RADIANS(AR$7))^2)+$D$7</f>
        <v>2.59488239315115</v>
      </c>
      <c r="AQ26" s="123" t="n">
        <f aca="false">MIN($V$5,AP26)</f>
        <v>2.59488239315115</v>
      </c>
      <c r="AR26" s="112"/>
      <c r="AS26" s="112" t="n">
        <f aca="false">AS25+AS$7/100</f>
        <v>0.36</v>
      </c>
      <c r="AT26" s="122" t="n">
        <f aca="false">AS26-IF($I$3="Forward", $D$9, $G$9)</f>
        <v>0.36</v>
      </c>
      <c r="AU26" s="112" t="n">
        <f aca="false">AS26*TAN(RADIANS(AW$7))-(IF($B$4, 9.807, 32.174)*AS26^2)/(2*AV$7^2*COS(RADIANS(AW$7))^2)+$D$7</f>
        <v>2.59488239315115</v>
      </c>
      <c r="AV26" s="123" t="n">
        <f aca="false">MIN($V$5,AU26)</f>
        <v>2.59488239315115</v>
      </c>
      <c r="AW26" s="112"/>
      <c r="AX26" s="112" t="n">
        <f aca="false">AX25+AX$7/100</f>
        <v>0.36</v>
      </c>
      <c r="AY26" s="122" t="n">
        <f aca="false">AX26+IF($I$3="Forward", $D$9, $G$9)</f>
        <v>0.36</v>
      </c>
      <c r="AZ26" s="112" t="n">
        <f aca="false">AX26*TAN(RADIANS(BB$7))-(IF($B$4, 9.807, 32.174)*AX26^2)/(2*BA$7^2*COS(RADIANS(BB$7))^2)+$D$7</f>
        <v>2.59488239315115</v>
      </c>
      <c r="BA26" s="123" t="n">
        <f aca="false">MIN($V$5,AZ26)</f>
        <v>2.59488239315115</v>
      </c>
      <c r="BB26" s="112"/>
      <c r="BC26" s="112" t="n">
        <f aca="false">BC25+BC$7/100</f>
        <v>0.36</v>
      </c>
      <c r="BD26" s="112" t="n">
        <f aca="false">BC26</f>
        <v>0.36</v>
      </c>
      <c r="BE26" s="112" t="n">
        <f aca="false">BC26*TAN(RADIANS(BG$7))-(IF($B$4, 9.807, 32.174)*BC26^2)/(2*BF$7^2*COS(RADIANS(BG$7))^2)+$D$7</f>
        <v>2.59488239315115</v>
      </c>
      <c r="BF26" s="123" t="n">
        <f aca="false">MIN($V$5,BE26)</f>
        <v>2.59488239315115</v>
      </c>
      <c r="BG26" s="112"/>
      <c r="BH26" s="112" t="n">
        <f aca="false">BH25+BH$7/100</f>
        <v>0.36</v>
      </c>
      <c r="BI26" s="122" t="n">
        <f aca="false">BH26-IF($I$3="Forward", $D$9, $G$9)</f>
        <v>0.36</v>
      </c>
      <c r="BJ26" s="112" t="n">
        <f aca="false">BH26*TAN(RADIANS(BL$7))-(IF($B$4, 9.807, 32.174)*BH26^2)/(2*BK$7^2*COS(RADIANS(BL$7))^2)+$D$7</f>
        <v>2.59488239315115</v>
      </c>
      <c r="BK26" s="123" t="n">
        <f aca="false">MIN($V$5,BJ26)</f>
        <v>2.59488239315115</v>
      </c>
      <c r="BL26" s="112"/>
      <c r="BM26" s="112" t="n">
        <f aca="false">BM25+BM$7/100</f>
        <v>0.36</v>
      </c>
      <c r="BN26" s="122" t="n">
        <f aca="false">BM26+IF($I$3="Forward", $D$9, $G$9)</f>
        <v>0.36</v>
      </c>
      <c r="BO26" s="112" t="n">
        <f aca="false">BM26*TAN(RADIANS(BQ$7))-(IF($B$4, 9.807, 32.174)*BM26^2)/(2*BP$7^2*COS(RADIANS(BQ$7))^2)+$D$7</f>
        <v>2.59488239315115</v>
      </c>
      <c r="BP26" s="123" t="n">
        <f aca="false">MIN($V$5,BO26)</f>
        <v>2.59488239315115</v>
      </c>
      <c r="BQ26" s="112"/>
      <c r="BR26" s="112" t="n">
        <f aca="false">BR25+BR$7/100</f>
        <v>0.36</v>
      </c>
      <c r="BS26" s="112" t="n">
        <f aca="false">BR26</f>
        <v>0.36</v>
      </c>
      <c r="BT26" s="112" t="n">
        <f aca="false">BR26*TAN(RADIANS(BV$7))-(IF($B$4, 9.807, 32.174)*BR26^2)/(2*BU$7^2*COS(RADIANS(BV$7))^2)+$D$7</f>
        <v>2.59488239315115</v>
      </c>
      <c r="BU26" s="123" t="n">
        <f aca="false">MIN($V$5,BT26)</f>
        <v>2.59488239315115</v>
      </c>
      <c r="BV26" s="112"/>
      <c r="BW26" s="112" t="n">
        <f aca="false">BW25+BW$7/100</f>
        <v>0.36</v>
      </c>
      <c r="BX26" s="122" t="n">
        <f aca="false">BW26-IF($I$3="Forward", $D$9, $G$9)</f>
        <v>0.36</v>
      </c>
      <c r="BY26" s="112" t="n">
        <f aca="false">BW26*TAN(RADIANS(CA$7))-(IF($B$4, 9.807, 32.174)*BW26^2)/(2*BZ$7^2*COS(RADIANS(CA$7))^2)+$D$7</f>
        <v>2.59488239315115</v>
      </c>
      <c r="BZ26" s="123" t="n">
        <f aca="false">MIN($V$5,BY26)</f>
        <v>2.59488239315115</v>
      </c>
      <c r="CA26" s="112"/>
      <c r="CB26" s="112" t="n">
        <f aca="false">CB25+CB$7/100</f>
        <v>0.36</v>
      </c>
      <c r="CC26" s="122" t="n">
        <f aca="false">CB26+IF($I$3="Forward", $D$9, $G$9)</f>
        <v>0.36</v>
      </c>
      <c r="CD26" s="112" t="n">
        <f aca="false">CB26*TAN(RADIANS(CF$7))-(IF($B$4, 9.807, 32.174)*CB26^2)/(2*CE$7^2*COS(RADIANS(CF$7))^2)+$D$7</f>
        <v>2.59488239315115</v>
      </c>
      <c r="CE26" s="123" t="n">
        <f aca="false">MIN($V$5,CD26)</f>
        <v>2.59488239315115</v>
      </c>
      <c r="CF26" s="112"/>
      <c r="CG26" s="124" t="n">
        <f aca="false">CG25+CG$7/100</f>
        <v>0.36</v>
      </c>
      <c r="CH26" s="124" t="n">
        <f aca="false">CG26</f>
        <v>0.36</v>
      </c>
      <c r="CI26" s="124" t="n">
        <f aca="false">CG26*TAN(RADIANS(CK$7))-(IF($B$4, 9.807, 32.174)*CG26^2)/(2*CJ$7^2*COS(RADIANS(CK$7))^2)+$D$7</f>
        <v>2.59488239315115</v>
      </c>
      <c r="CJ26" s="123" t="n">
        <f aca="false">MIN($V$5,CI26)</f>
        <v>2.59488239315115</v>
      </c>
      <c r="CK26" s="124"/>
      <c r="CL26" s="112" t="n">
        <f aca="false">CL25+CL$7/100</f>
        <v>0.36</v>
      </c>
      <c r="CM26" s="122" t="n">
        <f aca="false">CL26-IF($I$3="Forward", $D$9, $G$9)</f>
        <v>0.36</v>
      </c>
      <c r="CN26" s="112" t="n">
        <f aca="false">CL26*TAN(RADIANS(CP$7))-(IF($B$4, 9.807, 32.174)*CL26^2)/(2*CO$7^2*COS(RADIANS(CP$7))^2)+$D$7</f>
        <v>2.59488239315115</v>
      </c>
      <c r="CO26" s="123" t="n">
        <f aca="false">MIN($V$5,CN26)</f>
        <v>2.59488239315115</v>
      </c>
      <c r="CP26" s="112"/>
      <c r="CQ26" s="112" t="n">
        <f aca="false">CQ25+CQ$7/100</f>
        <v>0.36</v>
      </c>
      <c r="CR26" s="122" t="n">
        <f aca="false">CQ26+IF($I$3="Forward", $D$9, $G$9)</f>
        <v>0.36</v>
      </c>
      <c r="CS26" s="112" t="n">
        <f aca="false">CQ26*TAN(RADIANS(CU$7))-(IF($B$4, 9.807, 32.174)*CQ26^2)/(2*CT$7^2*COS(RADIANS(CU$7))^2)+$D$7</f>
        <v>2.59488239315115</v>
      </c>
      <c r="CT26" s="123" t="n">
        <f aca="false">MIN($V$5,CS26)</f>
        <v>2.59488239315115</v>
      </c>
      <c r="CU26" s="112"/>
      <c r="CV26" s="112" t="n">
        <f aca="false">CV25+CV$7/100</f>
        <v>0.36</v>
      </c>
      <c r="CW26" s="112" t="n">
        <f aca="false">CV26</f>
        <v>0.36</v>
      </c>
      <c r="CX26" s="112" t="n">
        <f aca="false">CV26*TAN(RADIANS(CZ$7))-(IF($B$4, 9.807, 32.174)*CV26^2)/(2*CY$7^2*COS(RADIANS(CZ$7))^2)+$D$7</f>
        <v>2.59488239315115</v>
      </c>
      <c r="CY26" s="123" t="n">
        <f aca="false">MIN($V$5,CX26)</f>
        <v>2.59488239315115</v>
      </c>
      <c r="CZ26" s="112"/>
      <c r="DA26" s="112" t="n">
        <f aca="false">DA25+DA$7/100</f>
        <v>0.36</v>
      </c>
      <c r="DB26" s="122" t="n">
        <f aca="false">DA26-IF($I$3="Forward", $D$9, $G$9)</f>
        <v>0.36</v>
      </c>
      <c r="DC26" s="112" t="n">
        <f aca="false">DA26*TAN(RADIANS(DE$7))-(IF($B$4, 9.807, 32.174)*DA26^2)/(2*DD$7^2*COS(RADIANS(DE$7))^2)+$D$7</f>
        <v>2.59488239315115</v>
      </c>
      <c r="DD26" s="123" t="n">
        <f aca="false">MIN($V$5,DC26)</f>
        <v>2.59488239315115</v>
      </c>
      <c r="DE26" s="112"/>
      <c r="DF26" s="112" t="n">
        <f aca="false">DF25+DF$7/100</f>
        <v>0.36</v>
      </c>
      <c r="DG26" s="122" t="n">
        <f aca="false">DF26+IF($I$3="Forward", $D$9, $G$9)</f>
        <v>0.36</v>
      </c>
      <c r="DH26" s="112" t="n">
        <f aca="false">DF26*TAN(RADIANS(DJ$7))-(IF($B$4, 9.807, 32.174)*DF26^2)/(2*DI$7^2*COS(RADIANS(DJ$7))^2)+$D$7</f>
        <v>2.59488239315115</v>
      </c>
      <c r="DI26" s="123" t="n">
        <f aca="false">MIN($V$5,DH26)</f>
        <v>2.59488239315115</v>
      </c>
      <c r="DJ26" s="112"/>
      <c r="DK26" s="112" t="n">
        <f aca="false">DK25+DK$7/100</f>
        <v>0.36</v>
      </c>
      <c r="DL26" s="112" t="n">
        <f aca="false">DK26</f>
        <v>0.36</v>
      </c>
      <c r="DM26" s="112" t="n">
        <f aca="false">DK26*TAN(RADIANS(DO$7))-(IF($B$4, 9.807, 32.174)*DK26^2)/(2*DN$7^2*COS(RADIANS(DO$7))^2)+$D$7</f>
        <v>2.59488239315115</v>
      </c>
      <c r="DN26" s="123" t="n">
        <f aca="false">MIN($V$5,DM26)</f>
        <v>2.59488239315115</v>
      </c>
      <c r="DO26" s="112"/>
      <c r="DP26" s="112" t="n">
        <f aca="false">DP25+DP$7/100</f>
        <v>0.36</v>
      </c>
      <c r="DQ26" s="122" t="n">
        <f aca="false">DP26-IF($I$3="Forward", $D$9, $G$9)</f>
        <v>0.36</v>
      </c>
      <c r="DR26" s="112" t="n">
        <f aca="false">DP26*TAN(RADIANS(DT$7))-(IF($B$4, 9.807, 32.174)*DP26^2)/(2*DS$7^2*COS(RADIANS(DT$7))^2)+$D$7</f>
        <v>2.59488239315115</v>
      </c>
      <c r="DS26" s="123" t="n">
        <f aca="false">MIN($V$5,DR26)</f>
        <v>2.59488239315115</v>
      </c>
      <c r="DT26" s="112"/>
      <c r="DU26" s="112" t="n">
        <f aca="false">DU25+DU$7/100</f>
        <v>0.36</v>
      </c>
      <c r="DV26" s="122" t="n">
        <f aca="false">DU26+IF($I$3="Forward", $D$9, $G$9)</f>
        <v>0.36</v>
      </c>
      <c r="DW26" s="112" t="n">
        <f aca="false">DU26*TAN(RADIANS(DY$7))-(IF($B$4, 9.807, 32.174)*DU26^2)/(2*DX$7^2*COS(RADIANS(DY$7))^2)+$D$7</f>
        <v>2.59488239315115</v>
      </c>
      <c r="DX26" s="123" t="n">
        <f aca="false">MIN($V$5,DW26)</f>
        <v>2.59488239315115</v>
      </c>
      <c r="DY26" s="112"/>
      <c r="DZ26" s="112" t="n">
        <f aca="false">DZ25+DZ$7/100</f>
        <v>0.36</v>
      </c>
      <c r="EA26" s="112" t="n">
        <f aca="false">DZ26</f>
        <v>0.36</v>
      </c>
      <c r="EB26" s="112" t="n">
        <f aca="false">DZ26*TAN(RADIANS(ED$7))-(IF($B$4, 9.807, 32.174)*DZ26^2)/(2*EC$7^2*COS(RADIANS(ED$7))^2)+$D$7</f>
        <v>2.59488239315115</v>
      </c>
      <c r="EC26" s="123" t="n">
        <f aca="false">MIN($V$5,EB26)</f>
        <v>2.59488239315115</v>
      </c>
      <c r="ED26" s="112"/>
      <c r="EE26" s="112" t="n">
        <f aca="false">EE25+EE$7/100</f>
        <v>0.36</v>
      </c>
      <c r="EF26" s="122" t="n">
        <f aca="false">EE26-IF($I$3="Forward", $D$9, $G$9)</f>
        <v>0.36</v>
      </c>
      <c r="EG26" s="112" t="n">
        <f aca="false">EE26*TAN(RADIANS(EI$7))-(IF($B$4, 9.807, 32.174)*EE26^2)/(2*EH$7^2*COS(RADIANS(EI$7))^2)+$D$7</f>
        <v>2.59488239315115</v>
      </c>
      <c r="EH26" s="123" t="n">
        <f aca="false">MIN($V$5,EG26)</f>
        <v>2.59488239315115</v>
      </c>
      <c r="EI26" s="112"/>
      <c r="EJ26" s="112" t="n">
        <f aca="false">EJ25+EJ$7/100</f>
        <v>0.36</v>
      </c>
      <c r="EK26" s="122" t="n">
        <f aca="false">EJ26+IF($I$3="Forward", $D$9, $G$9)</f>
        <v>0.36</v>
      </c>
      <c r="EL26" s="112" t="n">
        <f aca="false">EJ26*TAN(RADIANS(EN$7))-(IF($B$4, 9.807, 32.174)*EJ26^2)/(2*EM$7^2*COS(RADIANS(EN$7))^2)+$D$7</f>
        <v>2.59488239315115</v>
      </c>
      <c r="EM26" s="123" t="n">
        <f aca="false">MIN($V$5,EL26)</f>
        <v>2.59488239315115</v>
      </c>
      <c r="EN26" s="112"/>
      <c r="EO26" s="112" t="n">
        <f aca="false">EO25+EO$7/100</f>
        <v>0.36</v>
      </c>
      <c r="EP26" s="112" t="n">
        <f aca="false">EO26</f>
        <v>0.36</v>
      </c>
      <c r="EQ26" s="112" t="n">
        <f aca="false">EO26*TAN(RADIANS(ES$7))-(IF($B$4, 9.807, 32.174)*EO26^2)/(2*ER$7^2*COS(RADIANS(ES$7))^2)+$D$7</f>
        <v>2.59488239315115</v>
      </c>
      <c r="ER26" s="123" t="n">
        <f aca="false">MIN($V$5,EQ26)</f>
        <v>2.59488239315115</v>
      </c>
      <c r="ES26" s="112"/>
      <c r="ET26" s="112" t="n">
        <f aca="false">ET25+ET$7/100</f>
        <v>0.36</v>
      </c>
      <c r="EU26" s="122" t="n">
        <f aca="false">ET26-IF($I$3="Forward", $D$9, $G$9)</f>
        <v>0.36</v>
      </c>
      <c r="EV26" s="112" t="n">
        <f aca="false">ET26*TAN(RADIANS(EX$7))-(IF($B$4, 9.807, 32.174)*ET26^2)/(2*EW$7^2*COS(RADIANS(EX$7))^2)+$D$7</f>
        <v>2.59488239315115</v>
      </c>
      <c r="EW26" s="123" t="n">
        <f aca="false">MIN($V$5,EV26)</f>
        <v>2.59488239315115</v>
      </c>
      <c r="EX26" s="112"/>
    </row>
    <row r="27" s="131" customFormat="true" ht="15" hidden="false" customHeight="true" outlineLevel="0" collapsed="false">
      <c r="H27" s="111"/>
      <c r="I27" s="111"/>
      <c r="J27" s="111"/>
      <c r="K27" s="111"/>
      <c r="L27" s="111"/>
      <c r="M27" s="111"/>
      <c r="N27" s="111"/>
      <c r="O27" s="111"/>
      <c r="P27" s="111"/>
      <c r="Q27" s="111"/>
      <c r="R27" s="111"/>
      <c r="S27" s="111"/>
      <c r="T27" s="112" t="n">
        <f aca="false">T26+T$7/100</f>
        <v>0.38</v>
      </c>
      <c r="U27" s="122" t="n">
        <f aca="false">T27+IF($I$3="Forward", $D$9, $G$9)</f>
        <v>0.38</v>
      </c>
      <c r="V27" s="112" t="n">
        <f aca="false">T27*TAN(RADIANS(X$7))-(IF($B$4, 9.807, 32.174)*T27^2)/(2*W$7^2*COS(RADIANS(X$7))^2)+$D$7</f>
        <v>2.70220054407833</v>
      </c>
      <c r="W27" s="123" t="n">
        <f aca="false">MIN($V$5,V27)</f>
        <v>2.70220054407833</v>
      </c>
      <c r="X27" s="112"/>
      <c r="Y27" s="112" t="n">
        <f aca="false">Y26+Y$7/100</f>
        <v>0.38</v>
      </c>
      <c r="Z27" s="112" t="n">
        <f aca="false">Y27</f>
        <v>0.38</v>
      </c>
      <c r="AA27" s="112" t="n">
        <f aca="false">Y27*TAN(RADIANS(AC$7))-(IF($B$4, 9.807, 32.174)*Y27^2)/(2*AB$7^2*COS(RADIANS(AC$7))^2)+$D$7</f>
        <v>2.70220054407833</v>
      </c>
      <c r="AB27" s="123" t="n">
        <f aca="false">MIN($V$5,AA27)</f>
        <v>2.70220054407833</v>
      </c>
      <c r="AC27" s="112"/>
      <c r="AD27" s="112" t="n">
        <f aca="false">AD26+AD$7/100</f>
        <v>0.38</v>
      </c>
      <c r="AE27" s="122" t="n">
        <f aca="false">AD27-IF($I$3="Forward", $D$9, $G$9)</f>
        <v>0.38</v>
      </c>
      <c r="AF27" s="112" t="n">
        <f aca="false">AD27*TAN(RADIANS(AH$7))-(IF($B$4, 9.807, 32.174)*AD27^2)/(2*AG$7^2*COS(RADIANS(AH$7))^2)+$D$7</f>
        <v>2.70220054407833</v>
      </c>
      <c r="AG27" s="123" t="n">
        <f aca="false">MIN($V$5,AF27)</f>
        <v>2.70220054407833</v>
      </c>
      <c r="AH27" s="112"/>
      <c r="AI27" s="112" t="n">
        <f aca="false">AI26+AI$7/100</f>
        <v>0.38</v>
      </c>
      <c r="AJ27" s="122" t="n">
        <f aca="false">AI27+IF($I$3="Forward", $D$9, $G$9)</f>
        <v>0.38</v>
      </c>
      <c r="AK27" s="112" t="n">
        <f aca="false">AI27*TAN(RADIANS(AM$7))-(IF($B$4, 9.807, 32.174)*AI27^2)/(2*AL$7^2*COS(RADIANS(AM$7))^2)+$D$7</f>
        <v>2.70220054407833</v>
      </c>
      <c r="AL27" s="123" t="n">
        <f aca="false">MIN($V$5,AK27)</f>
        <v>2.70220054407833</v>
      </c>
      <c r="AM27" s="112"/>
      <c r="AN27" s="112" t="n">
        <f aca="false">AN26+AN$7/100</f>
        <v>0.38</v>
      </c>
      <c r="AO27" s="112" t="n">
        <f aca="false">AN27</f>
        <v>0.38</v>
      </c>
      <c r="AP27" s="112" t="n">
        <f aca="false">AN27*TAN(RADIANS(AR$7))-(IF($B$4, 9.807, 32.174)*AN27^2)/(2*AQ$7^2*COS(RADIANS(AR$7))^2)+$D$7</f>
        <v>2.70220054407833</v>
      </c>
      <c r="AQ27" s="123" t="n">
        <f aca="false">MIN($V$5,AP27)</f>
        <v>2.70220054407833</v>
      </c>
      <c r="AR27" s="112"/>
      <c r="AS27" s="112" t="n">
        <f aca="false">AS26+AS$7/100</f>
        <v>0.38</v>
      </c>
      <c r="AT27" s="122" t="n">
        <f aca="false">AS27-IF($I$3="Forward", $D$9, $G$9)</f>
        <v>0.38</v>
      </c>
      <c r="AU27" s="112" t="n">
        <f aca="false">AS27*TAN(RADIANS(AW$7))-(IF($B$4, 9.807, 32.174)*AS27^2)/(2*AV$7^2*COS(RADIANS(AW$7))^2)+$D$7</f>
        <v>2.70220054407833</v>
      </c>
      <c r="AV27" s="123" t="n">
        <f aca="false">MIN($V$5,AU27)</f>
        <v>2.70220054407833</v>
      </c>
      <c r="AW27" s="112"/>
      <c r="AX27" s="112" t="n">
        <f aca="false">AX26+AX$7/100</f>
        <v>0.38</v>
      </c>
      <c r="AY27" s="122" t="n">
        <f aca="false">AX27+IF($I$3="Forward", $D$9, $G$9)</f>
        <v>0.38</v>
      </c>
      <c r="AZ27" s="112" t="n">
        <f aca="false">AX27*TAN(RADIANS(BB$7))-(IF($B$4, 9.807, 32.174)*AX27^2)/(2*BA$7^2*COS(RADIANS(BB$7))^2)+$D$7</f>
        <v>2.70220054407833</v>
      </c>
      <c r="BA27" s="123" t="n">
        <f aca="false">MIN($V$5,AZ27)</f>
        <v>2.70220054407833</v>
      </c>
      <c r="BB27" s="112"/>
      <c r="BC27" s="112" t="n">
        <f aca="false">BC26+BC$7/100</f>
        <v>0.38</v>
      </c>
      <c r="BD27" s="112" t="n">
        <f aca="false">BC27</f>
        <v>0.38</v>
      </c>
      <c r="BE27" s="112" t="n">
        <f aca="false">BC27*TAN(RADIANS(BG$7))-(IF($B$4, 9.807, 32.174)*BC27^2)/(2*BF$7^2*COS(RADIANS(BG$7))^2)+$D$7</f>
        <v>2.70220054407833</v>
      </c>
      <c r="BF27" s="123" t="n">
        <f aca="false">MIN($V$5,BE27)</f>
        <v>2.70220054407833</v>
      </c>
      <c r="BG27" s="112"/>
      <c r="BH27" s="112" t="n">
        <f aca="false">BH26+BH$7/100</f>
        <v>0.38</v>
      </c>
      <c r="BI27" s="122" t="n">
        <f aca="false">BH27-IF($I$3="Forward", $D$9, $G$9)</f>
        <v>0.38</v>
      </c>
      <c r="BJ27" s="112" t="n">
        <f aca="false">BH27*TAN(RADIANS(BL$7))-(IF($B$4, 9.807, 32.174)*BH27^2)/(2*BK$7^2*COS(RADIANS(BL$7))^2)+$D$7</f>
        <v>2.70220054407833</v>
      </c>
      <c r="BK27" s="123" t="n">
        <f aca="false">MIN($V$5,BJ27)</f>
        <v>2.70220054407833</v>
      </c>
      <c r="BL27" s="112"/>
      <c r="BM27" s="112" t="n">
        <f aca="false">BM26+BM$7/100</f>
        <v>0.38</v>
      </c>
      <c r="BN27" s="122" t="n">
        <f aca="false">BM27+IF($I$3="Forward", $D$9, $G$9)</f>
        <v>0.38</v>
      </c>
      <c r="BO27" s="112" t="n">
        <f aca="false">BM27*TAN(RADIANS(BQ$7))-(IF($B$4, 9.807, 32.174)*BM27^2)/(2*BP$7^2*COS(RADIANS(BQ$7))^2)+$D$7</f>
        <v>2.70220054407833</v>
      </c>
      <c r="BP27" s="123" t="n">
        <f aca="false">MIN($V$5,BO27)</f>
        <v>2.70220054407833</v>
      </c>
      <c r="BQ27" s="112"/>
      <c r="BR27" s="112" t="n">
        <f aca="false">BR26+BR$7/100</f>
        <v>0.38</v>
      </c>
      <c r="BS27" s="112" t="n">
        <f aca="false">BR27</f>
        <v>0.38</v>
      </c>
      <c r="BT27" s="112" t="n">
        <f aca="false">BR27*TAN(RADIANS(BV$7))-(IF($B$4, 9.807, 32.174)*BR27^2)/(2*BU$7^2*COS(RADIANS(BV$7))^2)+$D$7</f>
        <v>2.70220054407833</v>
      </c>
      <c r="BU27" s="123" t="n">
        <f aca="false">MIN($V$5,BT27)</f>
        <v>2.70220054407833</v>
      </c>
      <c r="BV27" s="112"/>
      <c r="BW27" s="112" t="n">
        <f aca="false">BW26+BW$7/100</f>
        <v>0.38</v>
      </c>
      <c r="BX27" s="122" t="n">
        <f aca="false">BW27-IF($I$3="Forward", $D$9, $G$9)</f>
        <v>0.38</v>
      </c>
      <c r="BY27" s="112" t="n">
        <f aca="false">BW27*TAN(RADIANS(CA$7))-(IF($B$4, 9.807, 32.174)*BW27^2)/(2*BZ$7^2*COS(RADIANS(CA$7))^2)+$D$7</f>
        <v>2.70220054407833</v>
      </c>
      <c r="BZ27" s="123" t="n">
        <f aca="false">MIN($V$5,BY27)</f>
        <v>2.70220054407833</v>
      </c>
      <c r="CA27" s="112"/>
      <c r="CB27" s="112" t="n">
        <f aca="false">CB26+CB$7/100</f>
        <v>0.38</v>
      </c>
      <c r="CC27" s="122" t="n">
        <f aca="false">CB27+IF($I$3="Forward", $D$9, $G$9)</f>
        <v>0.38</v>
      </c>
      <c r="CD27" s="112" t="n">
        <f aca="false">CB27*TAN(RADIANS(CF$7))-(IF($B$4, 9.807, 32.174)*CB27^2)/(2*CE$7^2*COS(RADIANS(CF$7))^2)+$D$7</f>
        <v>2.70220054407833</v>
      </c>
      <c r="CE27" s="123" t="n">
        <f aca="false">MIN($V$5,CD27)</f>
        <v>2.70220054407833</v>
      </c>
      <c r="CF27" s="112"/>
      <c r="CG27" s="124" t="n">
        <f aca="false">CG26+CG$7/100</f>
        <v>0.38</v>
      </c>
      <c r="CH27" s="124" t="n">
        <f aca="false">CG27</f>
        <v>0.38</v>
      </c>
      <c r="CI27" s="124" t="n">
        <f aca="false">CG27*TAN(RADIANS(CK$7))-(IF($B$4, 9.807, 32.174)*CG27^2)/(2*CJ$7^2*COS(RADIANS(CK$7))^2)+$D$7</f>
        <v>2.70220054407833</v>
      </c>
      <c r="CJ27" s="123" t="n">
        <f aca="false">MIN($V$5,CI27)</f>
        <v>2.70220054407833</v>
      </c>
      <c r="CK27" s="124"/>
      <c r="CL27" s="112" t="n">
        <f aca="false">CL26+CL$7/100</f>
        <v>0.38</v>
      </c>
      <c r="CM27" s="122" t="n">
        <f aca="false">CL27-IF($I$3="Forward", $D$9, $G$9)</f>
        <v>0.38</v>
      </c>
      <c r="CN27" s="112" t="n">
        <f aca="false">CL27*TAN(RADIANS(CP$7))-(IF($B$4, 9.807, 32.174)*CL27^2)/(2*CO$7^2*COS(RADIANS(CP$7))^2)+$D$7</f>
        <v>2.70220054407833</v>
      </c>
      <c r="CO27" s="123" t="n">
        <f aca="false">MIN($V$5,CN27)</f>
        <v>2.70220054407833</v>
      </c>
      <c r="CP27" s="112"/>
      <c r="CQ27" s="112" t="n">
        <f aca="false">CQ26+CQ$7/100</f>
        <v>0.38</v>
      </c>
      <c r="CR27" s="122" t="n">
        <f aca="false">CQ27+IF($I$3="Forward", $D$9, $G$9)</f>
        <v>0.38</v>
      </c>
      <c r="CS27" s="112" t="n">
        <f aca="false">CQ27*TAN(RADIANS(CU$7))-(IF($B$4, 9.807, 32.174)*CQ27^2)/(2*CT$7^2*COS(RADIANS(CU$7))^2)+$D$7</f>
        <v>2.70220054407833</v>
      </c>
      <c r="CT27" s="123" t="n">
        <f aca="false">MIN($V$5,CS27)</f>
        <v>2.70220054407833</v>
      </c>
      <c r="CU27" s="112"/>
      <c r="CV27" s="112" t="n">
        <f aca="false">CV26+CV$7/100</f>
        <v>0.38</v>
      </c>
      <c r="CW27" s="112" t="n">
        <f aca="false">CV27</f>
        <v>0.38</v>
      </c>
      <c r="CX27" s="112" t="n">
        <f aca="false">CV27*TAN(RADIANS(CZ$7))-(IF($B$4, 9.807, 32.174)*CV27^2)/(2*CY$7^2*COS(RADIANS(CZ$7))^2)+$D$7</f>
        <v>2.70220054407833</v>
      </c>
      <c r="CY27" s="123" t="n">
        <f aca="false">MIN($V$5,CX27)</f>
        <v>2.70220054407833</v>
      </c>
      <c r="CZ27" s="112"/>
      <c r="DA27" s="112" t="n">
        <f aca="false">DA26+DA$7/100</f>
        <v>0.38</v>
      </c>
      <c r="DB27" s="122" t="n">
        <f aca="false">DA27-IF($I$3="Forward", $D$9, $G$9)</f>
        <v>0.38</v>
      </c>
      <c r="DC27" s="112" t="n">
        <f aca="false">DA27*TAN(RADIANS(DE$7))-(IF($B$4, 9.807, 32.174)*DA27^2)/(2*DD$7^2*COS(RADIANS(DE$7))^2)+$D$7</f>
        <v>2.70220054407833</v>
      </c>
      <c r="DD27" s="123" t="n">
        <f aca="false">MIN($V$5,DC27)</f>
        <v>2.70220054407833</v>
      </c>
      <c r="DE27" s="112"/>
      <c r="DF27" s="112" t="n">
        <f aca="false">DF26+DF$7/100</f>
        <v>0.38</v>
      </c>
      <c r="DG27" s="122" t="n">
        <f aca="false">DF27+IF($I$3="Forward", $D$9, $G$9)</f>
        <v>0.38</v>
      </c>
      <c r="DH27" s="112" t="n">
        <f aca="false">DF27*TAN(RADIANS(DJ$7))-(IF($B$4, 9.807, 32.174)*DF27^2)/(2*DI$7^2*COS(RADIANS(DJ$7))^2)+$D$7</f>
        <v>2.70220054407833</v>
      </c>
      <c r="DI27" s="123" t="n">
        <f aca="false">MIN($V$5,DH27)</f>
        <v>2.70220054407833</v>
      </c>
      <c r="DJ27" s="112"/>
      <c r="DK27" s="112" t="n">
        <f aca="false">DK26+DK$7/100</f>
        <v>0.38</v>
      </c>
      <c r="DL27" s="112" t="n">
        <f aca="false">DK27</f>
        <v>0.38</v>
      </c>
      <c r="DM27" s="112" t="n">
        <f aca="false">DK27*TAN(RADIANS(DO$7))-(IF($B$4, 9.807, 32.174)*DK27^2)/(2*DN$7^2*COS(RADIANS(DO$7))^2)+$D$7</f>
        <v>2.70220054407833</v>
      </c>
      <c r="DN27" s="123" t="n">
        <f aca="false">MIN($V$5,DM27)</f>
        <v>2.70220054407833</v>
      </c>
      <c r="DO27" s="112"/>
      <c r="DP27" s="112" t="n">
        <f aca="false">DP26+DP$7/100</f>
        <v>0.38</v>
      </c>
      <c r="DQ27" s="122" t="n">
        <f aca="false">DP27-IF($I$3="Forward", $D$9, $G$9)</f>
        <v>0.38</v>
      </c>
      <c r="DR27" s="112" t="n">
        <f aca="false">DP27*TAN(RADIANS(DT$7))-(IF($B$4, 9.807, 32.174)*DP27^2)/(2*DS$7^2*COS(RADIANS(DT$7))^2)+$D$7</f>
        <v>2.70220054407833</v>
      </c>
      <c r="DS27" s="123" t="n">
        <f aca="false">MIN($V$5,DR27)</f>
        <v>2.70220054407833</v>
      </c>
      <c r="DT27" s="112"/>
      <c r="DU27" s="112" t="n">
        <f aca="false">DU26+DU$7/100</f>
        <v>0.38</v>
      </c>
      <c r="DV27" s="122" t="n">
        <f aca="false">DU27+IF($I$3="Forward", $D$9, $G$9)</f>
        <v>0.38</v>
      </c>
      <c r="DW27" s="112" t="n">
        <f aca="false">DU27*TAN(RADIANS(DY$7))-(IF($B$4, 9.807, 32.174)*DU27^2)/(2*DX$7^2*COS(RADIANS(DY$7))^2)+$D$7</f>
        <v>2.70220054407833</v>
      </c>
      <c r="DX27" s="123" t="n">
        <f aca="false">MIN($V$5,DW27)</f>
        <v>2.70220054407833</v>
      </c>
      <c r="DY27" s="112"/>
      <c r="DZ27" s="112" t="n">
        <f aca="false">DZ26+DZ$7/100</f>
        <v>0.38</v>
      </c>
      <c r="EA27" s="112" t="n">
        <f aca="false">DZ27</f>
        <v>0.38</v>
      </c>
      <c r="EB27" s="112" t="n">
        <f aca="false">DZ27*TAN(RADIANS(ED$7))-(IF($B$4, 9.807, 32.174)*DZ27^2)/(2*EC$7^2*COS(RADIANS(ED$7))^2)+$D$7</f>
        <v>2.70220054407833</v>
      </c>
      <c r="EC27" s="123" t="n">
        <f aca="false">MIN($V$5,EB27)</f>
        <v>2.70220054407833</v>
      </c>
      <c r="ED27" s="112"/>
      <c r="EE27" s="112" t="n">
        <f aca="false">EE26+EE$7/100</f>
        <v>0.38</v>
      </c>
      <c r="EF27" s="122" t="n">
        <f aca="false">EE27-IF($I$3="Forward", $D$9, $G$9)</f>
        <v>0.38</v>
      </c>
      <c r="EG27" s="112" t="n">
        <f aca="false">EE27*TAN(RADIANS(EI$7))-(IF($B$4, 9.807, 32.174)*EE27^2)/(2*EH$7^2*COS(RADIANS(EI$7))^2)+$D$7</f>
        <v>2.70220054407833</v>
      </c>
      <c r="EH27" s="123" t="n">
        <f aca="false">MIN($V$5,EG27)</f>
        <v>2.70220054407833</v>
      </c>
      <c r="EI27" s="112"/>
      <c r="EJ27" s="112" t="n">
        <f aca="false">EJ26+EJ$7/100</f>
        <v>0.38</v>
      </c>
      <c r="EK27" s="122" t="n">
        <f aca="false">EJ27+IF($I$3="Forward", $D$9, $G$9)</f>
        <v>0.38</v>
      </c>
      <c r="EL27" s="112" t="n">
        <f aca="false">EJ27*TAN(RADIANS(EN$7))-(IF($B$4, 9.807, 32.174)*EJ27^2)/(2*EM$7^2*COS(RADIANS(EN$7))^2)+$D$7</f>
        <v>2.70220054407833</v>
      </c>
      <c r="EM27" s="123" t="n">
        <f aca="false">MIN($V$5,EL27)</f>
        <v>2.70220054407833</v>
      </c>
      <c r="EN27" s="112"/>
      <c r="EO27" s="112" t="n">
        <f aca="false">EO26+EO$7/100</f>
        <v>0.38</v>
      </c>
      <c r="EP27" s="112" t="n">
        <f aca="false">EO27</f>
        <v>0.38</v>
      </c>
      <c r="EQ27" s="112" t="n">
        <f aca="false">EO27*TAN(RADIANS(ES$7))-(IF($B$4, 9.807, 32.174)*EO27^2)/(2*ER$7^2*COS(RADIANS(ES$7))^2)+$D$7</f>
        <v>2.70220054407833</v>
      </c>
      <c r="ER27" s="123" t="n">
        <f aca="false">MIN($V$5,EQ27)</f>
        <v>2.70220054407833</v>
      </c>
      <c r="ES27" s="112"/>
      <c r="ET27" s="112" t="n">
        <f aca="false">ET26+ET$7/100</f>
        <v>0.38</v>
      </c>
      <c r="EU27" s="122" t="n">
        <f aca="false">ET27-IF($I$3="Forward", $D$9, $G$9)</f>
        <v>0.38</v>
      </c>
      <c r="EV27" s="112" t="n">
        <f aca="false">ET27*TAN(RADIANS(EX$7))-(IF($B$4, 9.807, 32.174)*ET27^2)/(2*EW$7^2*COS(RADIANS(EX$7))^2)+$D$7</f>
        <v>2.70220054407833</v>
      </c>
      <c r="EW27" s="123" t="n">
        <f aca="false">MIN($V$5,EV27)</f>
        <v>2.70220054407833</v>
      </c>
      <c r="EX27" s="112"/>
    </row>
    <row r="28" s="131" customFormat="true" ht="15" hidden="false" customHeight="true" outlineLevel="0" collapsed="false">
      <c r="C28" s="137" t="s">
        <v>132</v>
      </c>
      <c r="D28" s="137"/>
      <c r="E28" s="137"/>
      <c r="F28" s="137"/>
      <c r="G28" s="137"/>
      <c r="H28" s="111"/>
      <c r="I28" s="111"/>
      <c r="J28" s="111"/>
      <c r="K28" s="111"/>
      <c r="L28" s="111"/>
      <c r="M28" s="111"/>
      <c r="N28" s="111"/>
      <c r="O28" s="111"/>
      <c r="P28" s="111"/>
      <c r="Q28" s="111"/>
      <c r="R28" s="111"/>
      <c r="S28" s="111"/>
      <c r="T28" s="112" t="n">
        <f aca="false">T27+T$7/100</f>
        <v>0.4</v>
      </c>
      <c r="U28" s="122" t="n">
        <f aca="false">T28+IF($I$3="Forward", $D$9, $G$9)</f>
        <v>0.4</v>
      </c>
      <c r="V28" s="112" t="n">
        <f aca="false">T28*TAN(RADIANS(X$7))-(IF($B$4, 9.807, 32.174)*T28^2)/(2*W$7^2*COS(RADIANS(X$7))^2)+$D$7</f>
        <v>2.80681018227767</v>
      </c>
      <c r="W28" s="123" t="n">
        <f aca="false">MIN($V$5,V28)</f>
        <v>2.80681018227767</v>
      </c>
      <c r="X28" s="112"/>
      <c r="Y28" s="112" t="n">
        <f aca="false">Y27+Y$7/100</f>
        <v>0.4</v>
      </c>
      <c r="Z28" s="112" t="n">
        <f aca="false">Y28</f>
        <v>0.4</v>
      </c>
      <c r="AA28" s="112" t="n">
        <f aca="false">Y28*TAN(RADIANS(AC$7))-(IF($B$4, 9.807, 32.174)*Y28^2)/(2*AB$7^2*COS(RADIANS(AC$7))^2)+$D$7</f>
        <v>2.80681018227767</v>
      </c>
      <c r="AB28" s="123" t="n">
        <f aca="false">MIN($V$5,AA28)</f>
        <v>2.80681018227767</v>
      </c>
      <c r="AC28" s="112"/>
      <c r="AD28" s="112" t="n">
        <f aca="false">AD27+AD$7/100</f>
        <v>0.4</v>
      </c>
      <c r="AE28" s="122" t="n">
        <f aca="false">AD28-IF($I$3="Forward", $D$9, $G$9)</f>
        <v>0.4</v>
      </c>
      <c r="AF28" s="112" t="n">
        <f aca="false">AD28*TAN(RADIANS(AH$7))-(IF($B$4, 9.807, 32.174)*AD28^2)/(2*AG$7^2*COS(RADIANS(AH$7))^2)+$D$7</f>
        <v>2.80681018227767</v>
      </c>
      <c r="AG28" s="123" t="n">
        <f aca="false">MIN($V$5,AF28)</f>
        <v>2.80681018227767</v>
      </c>
      <c r="AH28" s="112"/>
      <c r="AI28" s="112" t="n">
        <f aca="false">AI27+AI$7/100</f>
        <v>0.4</v>
      </c>
      <c r="AJ28" s="122" t="n">
        <f aca="false">AI28+IF($I$3="Forward", $D$9, $G$9)</f>
        <v>0.4</v>
      </c>
      <c r="AK28" s="112" t="n">
        <f aca="false">AI28*TAN(RADIANS(AM$7))-(IF($B$4, 9.807, 32.174)*AI28^2)/(2*AL$7^2*COS(RADIANS(AM$7))^2)+$D$7</f>
        <v>2.80681018227767</v>
      </c>
      <c r="AL28" s="123" t="n">
        <f aca="false">MIN($V$5,AK28)</f>
        <v>2.80681018227767</v>
      </c>
      <c r="AM28" s="112"/>
      <c r="AN28" s="112" t="n">
        <f aca="false">AN27+AN$7/100</f>
        <v>0.4</v>
      </c>
      <c r="AO28" s="112" t="n">
        <f aca="false">AN28</f>
        <v>0.4</v>
      </c>
      <c r="AP28" s="112" t="n">
        <f aca="false">AN28*TAN(RADIANS(AR$7))-(IF($B$4, 9.807, 32.174)*AN28^2)/(2*AQ$7^2*COS(RADIANS(AR$7))^2)+$D$7</f>
        <v>2.80681018227767</v>
      </c>
      <c r="AQ28" s="123" t="n">
        <f aca="false">MIN($V$5,AP28)</f>
        <v>2.80681018227767</v>
      </c>
      <c r="AR28" s="112"/>
      <c r="AS28" s="112" t="n">
        <f aca="false">AS27+AS$7/100</f>
        <v>0.4</v>
      </c>
      <c r="AT28" s="122" t="n">
        <f aca="false">AS28-IF($I$3="Forward", $D$9, $G$9)</f>
        <v>0.4</v>
      </c>
      <c r="AU28" s="112" t="n">
        <f aca="false">AS28*TAN(RADIANS(AW$7))-(IF($B$4, 9.807, 32.174)*AS28^2)/(2*AV$7^2*COS(RADIANS(AW$7))^2)+$D$7</f>
        <v>2.80681018227767</v>
      </c>
      <c r="AV28" s="123" t="n">
        <f aca="false">MIN($V$5,AU28)</f>
        <v>2.80681018227767</v>
      </c>
      <c r="AW28" s="112"/>
      <c r="AX28" s="112" t="n">
        <f aca="false">AX27+AX$7/100</f>
        <v>0.4</v>
      </c>
      <c r="AY28" s="122" t="n">
        <f aca="false">AX28+IF($I$3="Forward", $D$9, $G$9)</f>
        <v>0.4</v>
      </c>
      <c r="AZ28" s="112" t="n">
        <f aca="false">AX28*TAN(RADIANS(BB$7))-(IF($B$4, 9.807, 32.174)*AX28^2)/(2*BA$7^2*COS(RADIANS(BB$7))^2)+$D$7</f>
        <v>2.80681018227767</v>
      </c>
      <c r="BA28" s="123" t="n">
        <f aca="false">MIN($V$5,AZ28)</f>
        <v>2.80681018227767</v>
      </c>
      <c r="BB28" s="112"/>
      <c r="BC28" s="112" t="n">
        <f aca="false">BC27+BC$7/100</f>
        <v>0.4</v>
      </c>
      <c r="BD28" s="112" t="n">
        <f aca="false">BC28</f>
        <v>0.4</v>
      </c>
      <c r="BE28" s="112" t="n">
        <f aca="false">BC28*TAN(RADIANS(BG$7))-(IF($B$4, 9.807, 32.174)*BC28^2)/(2*BF$7^2*COS(RADIANS(BG$7))^2)+$D$7</f>
        <v>2.80681018227767</v>
      </c>
      <c r="BF28" s="123" t="n">
        <f aca="false">MIN($V$5,BE28)</f>
        <v>2.80681018227767</v>
      </c>
      <c r="BG28" s="112"/>
      <c r="BH28" s="112" t="n">
        <f aca="false">BH27+BH$7/100</f>
        <v>0.4</v>
      </c>
      <c r="BI28" s="122" t="n">
        <f aca="false">BH28-IF($I$3="Forward", $D$9, $G$9)</f>
        <v>0.4</v>
      </c>
      <c r="BJ28" s="112" t="n">
        <f aca="false">BH28*TAN(RADIANS(BL$7))-(IF($B$4, 9.807, 32.174)*BH28^2)/(2*BK$7^2*COS(RADIANS(BL$7))^2)+$D$7</f>
        <v>2.80681018227767</v>
      </c>
      <c r="BK28" s="123" t="n">
        <f aca="false">MIN($V$5,BJ28)</f>
        <v>2.80681018227767</v>
      </c>
      <c r="BL28" s="112"/>
      <c r="BM28" s="112" t="n">
        <f aca="false">BM27+BM$7/100</f>
        <v>0.4</v>
      </c>
      <c r="BN28" s="122" t="n">
        <f aca="false">BM28+IF($I$3="Forward", $D$9, $G$9)</f>
        <v>0.4</v>
      </c>
      <c r="BO28" s="112" t="n">
        <f aca="false">BM28*TAN(RADIANS(BQ$7))-(IF($B$4, 9.807, 32.174)*BM28^2)/(2*BP$7^2*COS(RADIANS(BQ$7))^2)+$D$7</f>
        <v>2.80681018227767</v>
      </c>
      <c r="BP28" s="123" t="n">
        <f aca="false">MIN($V$5,BO28)</f>
        <v>2.80681018227767</v>
      </c>
      <c r="BQ28" s="112"/>
      <c r="BR28" s="112" t="n">
        <f aca="false">BR27+BR$7/100</f>
        <v>0.4</v>
      </c>
      <c r="BS28" s="112" t="n">
        <f aca="false">BR28</f>
        <v>0.4</v>
      </c>
      <c r="BT28" s="112" t="n">
        <f aca="false">BR28*TAN(RADIANS(BV$7))-(IF($B$4, 9.807, 32.174)*BR28^2)/(2*BU$7^2*COS(RADIANS(BV$7))^2)+$D$7</f>
        <v>2.80681018227767</v>
      </c>
      <c r="BU28" s="123" t="n">
        <f aca="false">MIN($V$5,BT28)</f>
        <v>2.80681018227767</v>
      </c>
      <c r="BV28" s="112"/>
      <c r="BW28" s="112" t="n">
        <f aca="false">BW27+BW$7/100</f>
        <v>0.4</v>
      </c>
      <c r="BX28" s="122" t="n">
        <f aca="false">BW28-IF($I$3="Forward", $D$9, $G$9)</f>
        <v>0.4</v>
      </c>
      <c r="BY28" s="112" t="n">
        <f aca="false">BW28*TAN(RADIANS(CA$7))-(IF($B$4, 9.807, 32.174)*BW28^2)/(2*BZ$7^2*COS(RADIANS(CA$7))^2)+$D$7</f>
        <v>2.80681018227767</v>
      </c>
      <c r="BZ28" s="123" t="n">
        <f aca="false">MIN($V$5,BY28)</f>
        <v>2.80681018227767</v>
      </c>
      <c r="CA28" s="112"/>
      <c r="CB28" s="112" t="n">
        <f aca="false">CB27+CB$7/100</f>
        <v>0.4</v>
      </c>
      <c r="CC28" s="122" t="n">
        <f aca="false">CB28+IF($I$3="Forward", $D$9, $G$9)</f>
        <v>0.4</v>
      </c>
      <c r="CD28" s="112" t="n">
        <f aca="false">CB28*TAN(RADIANS(CF$7))-(IF($B$4, 9.807, 32.174)*CB28^2)/(2*CE$7^2*COS(RADIANS(CF$7))^2)+$D$7</f>
        <v>2.80681018227767</v>
      </c>
      <c r="CE28" s="123" t="n">
        <f aca="false">MIN($V$5,CD28)</f>
        <v>2.80681018227767</v>
      </c>
      <c r="CF28" s="112"/>
      <c r="CG28" s="124" t="n">
        <f aca="false">CG27+CG$7/100</f>
        <v>0.4</v>
      </c>
      <c r="CH28" s="124" t="n">
        <f aca="false">CG28</f>
        <v>0.4</v>
      </c>
      <c r="CI28" s="124" t="n">
        <f aca="false">CG28*TAN(RADIANS(CK$7))-(IF($B$4, 9.807, 32.174)*CG28^2)/(2*CJ$7^2*COS(RADIANS(CK$7))^2)+$D$7</f>
        <v>2.80681018227767</v>
      </c>
      <c r="CJ28" s="123" t="n">
        <f aca="false">MIN($V$5,CI28)</f>
        <v>2.80681018227767</v>
      </c>
      <c r="CK28" s="124"/>
      <c r="CL28" s="112" t="n">
        <f aca="false">CL27+CL$7/100</f>
        <v>0.4</v>
      </c>
      <c r="CM28" s="122" t="n">
        <f aca="false">CL28-IF($I$3="Forward", $D$9, $G$9)</f>
        <v>0.4</v>
      </c>
      <c r="CN28" s="112" t="n">
        <f aca="false">CL28*TAN(RADIANS(CP$7))-(IF($B$4, 9.807, 32.174)*CL28^2)/(2*CO$7^2*COS(RADIANS(CP$7))^2)+$D$7</f>
        <v>2.80681018227767</v>
      </c>
      <c r="CO28" s="123" t="n">
        <f aca="false">MIN($V$5,CN28)</f>
        <v>2.80681018227767</v>
      </c>
      <c r="CP28" s="112"/>
      <c r="CQ28" s="112" t="n">
        <f aca="false">CQ27+CQ$7/100</f>
        <v>0.4</v>
      </c>
      <c r="CR28" s="122" t="n">
        <f aca="false">CQ28+IF($I$3="Forward", $D$9, $G$9)</f>
        <v>0.4</v>
      </c>
      <c r="CS28" s="112" t="n">
        <f aca="false">CQ28*TAN(RADIANS(CU$7))-(IF($B$4, 9.807, 32.174)*CQ28^2)/(2*CT$7^2*COS(RADIANS(CU$7))^2)+$D$7</f>
        <v>2.80681018227767</v>
      </c>
      <c r="CT28" s="123" t="n">
        <f aca="false">MIN($V$5,CS28)</f>
        <v>2.80681018227767</v>
      </c>
      <c r="CU28" s="112"/>
      <c r="CV28" s="112" t="n">
        <f aca="false">CV27+CV$7/100</f>
        <v>0.4</v>
      </c>
      <c r="CW28" s="112" t="n">
        <f aca="false">CV28</f>
        <v>0.4</v>
      </c>
      <c r="CX28" s="112" t="n">
        <f aca="false">CV28*TAN(RADIANS(CZ$7))-(IF($B$4, 9.807, 32.174)*CV28^2)/(2*CY$7^2*COS(RADIANS(CZ$7))^2)+$D$7</f>
        <v>2.80681018227767</v>
      </c>
      <c r="CY28" s="123" t="n">
        <f aca="false">MIN($V$5,CX28)</f>
        <v>2.80681018227767</v>
      </c>
      <c r="CZ28" s="112"/>
      <c r="DA28" s="112" t="n">
        <f aca="false">DA27+DA$7/100</f>
        <v>0.4</v>
      </c>
      <c r="DB28" s="122" t="n">
        <f aca="false">DA28-IF($I$3="Forward", $D$9, $G$9)</f>
        <v>0.4</v>
      </c>
      <c r="DC28" s="112" t="n">
        <f aca="false">DA28*TAN(RADIANS(DE$7))-(IF($B$4, 9.807, 32.174)*DA28^2)/(2*DD$7^2*COS(RADIANS(DE$7))^2)+$D$7</f>
        <v>2.80681018227767</v>
      </c>
      <c r="DD28" s="123" t="n">
        <f aca="false">MIN($V$5,DC28)</f>
        <v>2.80681018227767</v>
      </c>
      <c r="DE28" s="112"/>
      <c r="DF28" s="112" t="n">
        <f aca="false">DF27+DF$7/100</f>
        <v>0.4</v>
      </c>
      <c r="DG28" s="122" t="n">
        <f aca="false">DF28+IF($I$3="Forward", $D$9, $G$9)</f>
        <v>0.4</v>
      </c>
      <c r="DH28" s="112" t="n">
        <f aca="false">DF28*TAN(RADIANS(DJ$7))-(IF($B$4, 9.807, 32.174)*DF28^2)/(2*DI$7^2*COS(RADIANS(DJ$7))^2)+$D$7</f>
        <v>2.80681018227767</v>
      </c>
      <c r="DI28" s="123" t="n">
        <f aca="false">MIN($V$5,DH28)</f>
        <v>2.80681018227767</v>
      </c>
      <c r="DJ28" s="112"/>
      <c r="DK28" s="112" t="n">
        <f aca="false">DK27+DK$7/100</f>
        <v>0.4</v>
      </c>
      <c r="DL28" s="112" t="n">
        <f aca="false">DK28</f>
        <v>0.4</v>
      </c>
      <c r="DM28" s="112" t="n">
        <f aca="false">DK28*TAN(RADIANS(DO$7))-(IF($B$4, 9.807, 32.174)*DK28^2)/(2*DN$7^2*COS(RADIANS(DO$7))^2)+$D$7</f>
        <v>2.80681018227767</v>
      </c>
      <c r="DN28" s="123" t="n">
        <f aca="false">MIN($V$5,DM28)</f>
        <v>2.80681018227767</v>
      </c>
      <c r="DO28" s="112"/>
      <c r="DP28" s="112" t="n">
        <f aca="false">DP27+DP$7/100</f>
        <v>0.4</v>
      </c>
      <c r="DQ28" s="122" t="n">
        <f aca="false">DP28-IF($I$3="Forward", $D$9, $G$9)</f>
        <v>0.4</v>
      </c>
      <c r="DR28" s="112" t="n">
        <f aca="false">DP28*TAN(RADIANS(DT$7))-(IF($B$4, 9.807, 32.174)*DP28^2)/(2*DS$7^2*COS(RADIANS(DT$7))^2)+$D$7</f>
        <v>2.80681018227767</v>
      </c>
      <c r="DS28" s="123" t="n">
        <f aca="false">MIN($V$5,DR28)</f>
        <v>2.80681018227767</v>
      </c>
      <c r="DT28" s="112"/>
      <c r="DU28" s="112" t="n">
        <f aca="false">DU27+DU$7/100</f>
        <v>0.4</v>
      </c>
      <c r="DV28" s="122" t="n">
        <f aca="false">DU28+IF($I$3="Forward", $D$9, $G$9)</f>
        <v>0.4</v>
      </c>
      <c r="DW28" s="112" t="n">
        <f aca="false">DU28*TAN(RADIANS(DY$7))-(IF($B$4, 9.807, 32.174)*DU28^2)/(2*DX$7^2*COS(RADIANS(DY$7))^2)+$D$7</f>
        <v>2.80681018227767</v>
      </c>
      <c r="DX28" s="123" t="n">
        <f aca="false">MIN($V$5,DW28)</f>
        <v>2.80681018227767</v>
      </c>
      <c r="DY28" s="112"/>
      <c r="DZ28" s="112" t="n">
        <f aca="false">DZ27+DZ$7/100</f>
        <v>0.4</v>
      </c>
      <c r="EA28" s="112" t="n">
        <f aca="false">DZ28</f>
        <v>0.4</v>
      </c>
      <c r="EB28" s="112" t="n">
        <f aca="false">DZ28*TAN(RADIANS(ED$7))-(IF($B$4, 9.807, 32.174)*DZ28^2)/(2*EC$7^2*COS(RADIANS(ED$7))^2)+$D$7</f>
        <v>2.80681018227767</v>
      </c>
      <c r="EC28" s="123" t="n">
        <f aca="false">MIN($V$5,EB28)</f>
        <v>2.80681018227767</v>
      </c>
      <c r="ED28" s="112"/>
      <c r="EE28" s="112" t="n">
        <f aca="false">EE27+EE$7/100</f>
        <v>0.4</v>
      </c>
      <c r="EF28" s="122" t="n">
        <f aca="false">EE28-IF($I$3="Forward", $D$9, $G$9)</f>
        <v>0.4</v>
      </c>
      <c r="EG28" s="112" t="n">
        <f aca="false">EE28*TAN(RADIANS(EI$7))-(IF($B$4, 9.807, 32.174)*EE28^2)/(2*EH$7^2*COS(RADIANS(EI$7))^2)+$D$7</f>
        <v>2.80681018227767</v>
      </c>
      <c r="EH28" s="123" t="n">
        <f aca="false">MIN($V$5,EG28)</f>
        <v>2.80681018227767</v>
      </c>
      <c r="EI28" s="112"/>
      <c r="EJ28" s="112" t="n">
        <f aca="false">EJ27+EJ$7/100</f>
        <v>0.4</v>
      </c>
      <c r="EK28" s="122" t="n">
        <f aca="false">EJ28+IF($I$3="Forward", $D$9, $G$9)</f>
        <v>0.4</v>
      </c>
      <c r="EL28" s="112" t="n">
        <f aca="false">EJ28*TAN(RADIANS(EN$7))-(IF($B$4, 9.807, 32.174)*EJ28^2)/(2*EM$7^2*COS(RADIANS(EN$7))^2)+$D$7</f>
        <v>2.80681018227767</v>
      </c>
      <c r="EM28" s="123" t="n">
        <f aca="false">MIN($V$5,EL28)</f>
        <v>2.80681018227767</v>
      </c>
      <c r="EN28" s="112"/>
      <c r="EO28" s="112" t="n">
        <f aca="false">EO27+EO$7/100</f>
        <v>0.4</v>
      </c>
      <c r="EP28" s="112" t="n">
        <f aca="false">EO28</f>
        <v>0.4</v>
      </c>
      <c r="EQ28" s="112" t="n">
        <f aca="false">EO28*TAN(RADIANS(ES$7))-(IF($B$4, 9.807, 32.174)*EO28^2)/(2*ER$7^2*COS(RADIANS(ES$7))^2)+$D$7</f>
        <v>2.80681018227767</v>
      </c>
      <c r="ER28" s="123" t="n">
        <f aca="false">MIN($V$5,EQ28)</f>
        <v>2.80681018227767</v>
      </c>
      <c r="ES28" s="112"/>
      <c r="ET28" s="112" t="n">
        <f aca="false">ET27+ET$7/100</f>
        <v>0.4</v>
      </c>
      <c r="EU28" s="122" t="n">
        <f aca="false">ET28-IF($I$3="Forward", $D$9, $G$9)</f>
        <v>0.4</v>
      </c>
      <c r="EV28" s="112" t="n">
        <f aca="false">ET28*TAN(RADIANS(EX$7))-(IF($B$4, 9.807, 32.174)*ET28^2)/(2*EW$7^2*COS(RADIANS(EX$7))^2)+$D$7</f>
        <v>2.80681018227767</v>
      </c>
      <c r="EW28" s="123" t="n">
        <f aca="false">MIN($V$5,EV28)</f>
        <v>2.80681018227767</v>
      </c>
      <c r="EX28" s="112"/>
    </row>
    <row r="29" s="131" customFormat="true" ht="15" hidden="false" customHeight="true" outlineLevel="0" collapsed="false">
      <c r="C29" s="137"/>
      <c r="D29" s="137"/>
      <c r="E29" s="137"/>
      <c r="F29" s="137"/>
      <c r="G29" s="137"/>
      <c r="H29" s="111"/>
      <c r="I29" s="111"/>
      <c r="J29" s="111"/>
      <c r="K29" s="111"/>
      <c r="L29" s="111"/>
      <c r="M29" s="111"/>
      <c r="N29" s="111"/>
      <c r="O29" s="111"/>
      <c r="P29" s="111"/>
      <c r="Q29" s="111"/>
      <c r="R29" s="111"/>
      <c r="S29" s="111"/>
      <c r="T29" s="112" t="n">
        <f aca="false">T28+T$7/100</f>
        <v>0.42</v>
      </c>
      <c r="U29" s="122" t="n">
        <f aca="false">T29+IF($I$3="Forward", $D$9, $G$9)</f>
        <v>0.42</v>
      </c>
      <c r="V29" s="112" t="n">
        <f aca="false">T29*TAN(RADIANS(X$7))-(IF($B$4, 9.807, 32.174)*T29^2)/(2*W$7^2*COS(RADIANS(X$7))^2)+$D$7</f>
        <v>2.90871130774916</v>
      </c>
      <c r="W29" s="123" t="n">
        <f aca="false">MIN($V$5,V29)</f>
        <v>2.90871130774916</v>
      </c>
      <c r="X29" s="112"/>
      <c r="Y29" s="112" t="n">
        <f aca="false">Y28+Y$7/100</f>
        <v>0.42</v>
      </c>
      <c r="Z29" s="112" t="n">
        <f aca="false">Y29</f>
        <v>0.42</v>
      </c>
      <c r="AA29" s="112" t="n">
        <f aca="false">Y29*TAN(RADIANS(AC$7))-(IF($B$4, 9.807, 32.174)*Y29^2)/(2*AB$7^2*COS(RADIANS(AC$7))^2)+$D$7</f>
        <v>2.90871130774916</v>
      </c>
      <c r="AB29" s="123" t="n">
        <f aca="false">MIN($V$5,AA29)</f>
        <v>2.90871130774916</v>
      </c>
      <c r="AC29" s="112"/>
      <c r="AD29" s="112" t="n">
        <f aca="false">AD28+AD$7/100</f>
        <v>0.42</v>
      </c>
      <c r="AE29" s="122" t="n">
        <f aca="false">AD29-IF($I$3="Forward", $D$9, $G$9)</f>
        <v>0.42</v>
      </c>
      <c r="AF29" s="112" t="n">
        <f aca="false">AD29*TAN(RADIANS(AH$7))-(IF($B$4, 9.807, 32.174)*AD29^2)/(2*AG$7^2*COS(RADIANS(AH$7))^2)+$D$7</f>
        <v>2.90871130774916</v>
      </c>
      <c r="AG29" s="123" t="n">
        <f aca="false">MIN($V$5,AF29)</f>
        <v>2.90871130774916</v>
      </c>
      <c r="AH29" s="112"/>
      <c r="AI29" s="112" t="n">
        <f aca="false">AI28+AI$7/100</f>
        <v>0.42</v>
      </c>
      <c r="AJ29" s="122" t="n">
        <f aca="false">AI29+IF($I$3="Forward", $D$9, $G$9)</f>
        <v>0.42</v>
      </c>
      <c r="AK29" s="112" t="n">
        <f aca="false">AI29*TAN(RADIANS(AM$7))-(IF($B$4, 9.807, 32.174)*AI29^2)/(2*AL$7^2*COS(RADIANS(AM$7))^2)+$D$7</f>
        <v>2.90871130774916</v>
      </c>
      <c r="AL29" s="123" t="n">
        <f aca="false">MIN($V$5,AK29)</f>
        <v>2.90871130774916</v>
      </c>
      <c r="AM29" s="112"/>
      <c r="AN29" s="112" t="n">
        <f aca="false">AN28+AN$7/100</f>
        <v>0.42</v>
      </c>
      <c r="AO29" s="112" t="n">
        <f aca="false">AN29</f>
        <v>0.42</v>
      </c>
      <c r="AP29" s="112" t="n">
        <f aca="false">AN29*TAN(RADIANS(AR$7))-(IF($B$4, 9.807, 32.174)*AN29^2)/(2*AQ$7^2*COS(RADIANS(AR$7))^2)+$D$7</f>
        <v>2.90871130774916</v>
      </c>
      <c r="AQ29" s="123" t="n">
        <f aca="false">MIN($V$5,AP29)</f>
        <v>2.90871130774916</v>
      </c>
      <c r="AR29" s="112"/>
      <c r="AS29" s="112" t="n">
        <f aca="false">AS28+AS$7/100</f>
        <v>0.42</v>
      </c>
      <c r="AT29" s="122" t="n">
        <f aca="false">AS29-IF($I$3="Forward", $D$9, $G$9)</f>
        <v>0.42</v>
      </c>
      <c r="AU29" s="112" t="n">
        <f aca="false">AS29*TAN(RADIANS(AW$7))-(IF($B$4, 9.807, 32.174)*AS29^2)/(2*AV$7^2*COS(RADIANS(AW$7))^2)+$D$7</f>
        <v>2.90871130774916</v>
      </c>
      <c r="AV29" s="123" t="n">
        <f aca="false">MIN($V$5,AU29)</f>
        <v>2.90871130774916</v>
      </c>
      <c r="AW29" s="112"/>
      <c r="AX29" s="112" t="n">
        <f aca="false">AX28+AX$7/100</f>
        <v>0.42</v>
      </c>
      <c r="AY29" s="122" t="n">
        <f aca="false">AX29+IF($I$3="Forward", $D$9, $G$9)</f>
        <v>0.42</v>
      </c>
      <c r="AZ29" s="112" t="n">
        <f aca="false">AX29*TAN(RADIANS(BB$7))-(IF($B$4, 9.807, 32.174)*AX29^2)/(2*BA$7^2*COS(RADIANS(BB$7))^2)+$D$7</f>
        <v>2.90871130774916</v>
      </c>
      <c r="BA29" s="123" t="n">
        <f aca="false">MIN($V$5,AZ29)</f>
        <v>2.90871130774916</v>
      </c>
      <c r="BB29" s="112"/>
      <c r="BC29" s="112" t="n">
        <f aca="false">BC28+BC$7/100</f>
        <v>0.42</v>
      </c>
      <c r="BD29" s="112" t="n">
        <f aca="false">BC29</f>
        <v>0.42</v>
      </c>
      <c r="BE29" s="112" t="n">
        <f aca="false">BC29*TAN(RADIANS(BG$7))-(IF($B$4, 9.807, 32.174)*BC29^2)/(2*BF$7^2*COS(RADIANS(BG$7))^2)+$D$7</f>
        <v>2.90871130774916</v>
      </c>
      <c r="BF29" s="123" t="n">
        <f aca="false">MIN($V$5,BE29)</f>
        <v>2.90871130774916</v>
      </c>
      <c r="BG29" s="112"/>
      <c r="BH29" s="112" t="n">
        <f aca="false">BH28+BH$7/100</f>
        <v>0.42</v>
      </c>
      <c r="BI29" s="122" t="n">
        <f aca="false">BH29-IF($I$3="Forward", $D$9, $G$9)</f>
        <v>0.42</v>
      </c>
      <c r="BJ29" s="112" t="n">
        <f aca="false">BH29*TAN(RADIANS(BL$7))-(IF($B$4, 9.807, 32.174)*BH29^2)/(2*BK$7^2*COS(RADIANS(BL$7))^2)+$D$7</f>
        <v>2.90871130774916</v>
      </c>
      <c r="BK29" s="123" t="n">
        <f aca="false">MIN($V$5,BJ29)</f>
        <v>2.90871130774916</v>
      </c>
      <c r="BL29" s="112"/>
      <c r="BM29" s="112" t="n">
        <f aca="false">BM28+BM$7/100</f>
        <v>0.42</v>
      </c>
      <c r="BN29" s="122" t="n">
        <f aca="false">BM29+IF($I$3="Forward", $D$9, $G$9)</f>
        <v>0.42</v>
      </c>
      <c r="BO29" s="112" t="n">
        <f aca="false">BM29*TAN(RADIANS(BQ$7))-(IF($B$4, 9.807, 32.174)*BM29^2)/(2*BP$7^2*COS(RADIANS(BQ$7))^2)+$D$7</f>
        <v>2.90871130774916</v>
      </c>
      <c r="BP29" s="123" t="n">
        <f aca="false">MIN($V$5,BO29)</f>
        <v>2.90871130774916</v>
      </c>
      <c r="BQ29" s="112"/>
      <c r="BR29" s="112" t="n">
        <f aca="false">BR28+BR$7/100</f>
        <v>0.42</v>
      </c>
      <c r="BS29" s="112" t="n">
        <f aca="false">BR29</f>
        <v>0.42</v>
      </c>
      <c r="BT29" s="112" t="n">
        <f aca="false">BR29*TAN(RADIANS(BV$7))-(IF($B$4, 9.807, 32.174)*BR29^2)/(2*BU$7^2*COS(RADIANS(BV$7))^2)+$D$7</f>
        <v>2.90871130774916</v>
      </c>
      <c r="BU29" s="123" t="n">
        <f aca="false">MIN($V$5,BT29)</f>
        <v>2.90871130774916</v>
      </c>
      <c r="BV29" s="112"/>
      <c r="BW29" s="112" t="n">
        <f aca="false">BW28+BW$7/100</f>
        <v>0.42</v>
      </c>
      <c r="BX29" s="122" t="n">
        <f aca="false">BW29-IF($I$3="Forward", $D$9, $G$9)</f>
        <v>0.42</v>
      </c>
      <c r="BY29" s="112" t="n">
        <f aca="false">BW29*TAN(RADIANS(CA$7))-(IF($B$4, 9.807, 32.174)*BW29^2)/(2*BZ$7^2*COS(RADIANS(CA$7))^2)+$D$7</f>
        <v>2.90871130774916</v>
      </c>
      <c r="BZ29" s="123" t="n">
        <f aca="false">MIN($V$5,BY29)</f>
        <v>2.90871130774916</v>
      </c>
      <c r="CA29" s="112"/>
      <c r="CB29" s="112" t="n">
        <f aca="false">CB28+CB$7/100</f>
        <v>0.42</v>
      </c>
      <c r="CC29" s="122" t="n">
        <f aca="false">CB29+IF($I$3="Forward", $D$9, $G$9)</f>
        <v>0.42</v>
      </c>
      <c r="CD29" s="112" t="n">
        <f aca="false">CB29*TAN(RADIANS(CF$7))-(IF($B$4, 9.807, 32.174)*CB29^2)/(2*CE$7^2*COS(RADIANS(CF$7))^2)+$D$7</f>
        <v>2.90871130774916</v>
      </c>
      <c r="CE29" s="123" t="n">
        <f aca="false">MIN($V$5,CD29)</f>
        <v>2.90871130774916</v>
      </c>
      <c r="CF29" s="112"/>
      <c r="CG29" s="124" t="n">
        <f aca="false">CG28+CG$7/100</f>
        <v>0.42</v>
      </c>
      <c r="CH29" s="124" t="n">
        <f aca="false">CG29</f>
        <v>0.42</v>
      </c>
      <c r="CI29" s="124" t="n">
        <f aca="false">CG29*TAN(RADIANS(CK$7))-(IF($B$4, 9.807, 32.174)*CG29^2)/(2*CJ$7^2*COS(RADIANS(CK$7))^2)+$D$7</f>
        <v>2.90871130774916</v>
      </c>
      <c r="CJ29" s="123" t="n">
        <f aca="false">MIN($V$5,CI29)</f>
        <v>2.90871130774916</v>
      </c>
      <c r="CK29" s="124"/>
      <c r="CL29" s="112" t="n">
        <f aca="false">CL28+CL$7/100</f>
        <v>0.42</v>
      </c>
      <c r="CM29" s="122" t="n">
        <f aca="false">CL29-IF($I$3="Forward", $D$9, $G$9)</f>
        <v>0.42</v>
      </c>
      <c r="CN29" s="112" t="n">
        <f aca="false">CL29*TAN(RADIANS(CP$7))-(IF($B$4, 9.807, 32.174)*CL29^2)/(2*CO$7^2*COS(RADIANS(CP$7))^2)+$D$7</f>
        <v>2.90871130774916</v>
      </c>
      <c r="CO29" s="123" t="n">
        <f aca="false">MIN($V$5,CN29)</f>
        <v>2.90871130774916</v>
      </c>
      <c r="CP29" s="112"/>
      <c r="CQ29" s="112" t="n">
        <f aca="false">CQ28+CQ$7/100</f>
        <v>0.42</v>
      </c>
      <c r="CR29" s="122" t="n">
        <f aca="false">CQ29+IF($I$3="Forward", $D$9, $G$9)</f>
        <v>0.42</v>
      </c>
      <c r="CS29" s="112" t="n">
        <f aca="false">CQ29*TAN(RADIANS(CU$7))-(IF($B$4, 9.807, 32.174)*CQ29^2)/(2*CT$7^2*COS(RADIANS(CU$7))^2)+$D$7</f>
        <v>2.90871130774916</v>
      </c>
      <c r="CT29" s="123" t="n">
        <f aca="false">MIN($V$5,CS29)</f>
        <v>2.90871130774916</v>
      </c>
      <c r="CU29" s="112"/>
      <c r="CV29" s="112" t="n">
        <f aca="false">CV28+CV$7/100</f>
        <v>0.42</v>
      </c>
      <c r="CW29" s="112" t="n">
        <f aca="false">CV29</f>
        <v>0.42</v>
      </c>
      <c r="CX29" s="112" t="n">
        <f aca="false">CV29*TAN(RADIANS(CZ$7))-(IF($B$4, 9.807, 32.174)*CV29^2)/(2*CY$7^2*COS(RADIANS(CZ$7))^2)+$D$7</f>
        <v>2.90871130774916</v>
      </c>
      <c r="CY29" s="123" t="n">
        <f aca="false">MIN($V$5,CX29)</f>
        <v>2.90871130774916</v>
      </c>
      <c r="CZ29" s="112"/>
      <c r="DA29" s="112" t="n">
        <f aca="false">DA28+DA$7/100</f>
        <v>0.42</v>
      </c>
      <c r="DB29" s="122" t="n">
        <f aca="false">DA29-IF($I$3="Forward", $D$9, $G$9)</f>
        <v>0.42</v>
      </c>
      <c r="DC29" s="112" t="n">
        <f aca="false">DA29*TAN(RADIANS(DE$7))-(IF($B$4, 9.807, 32.174)*DA29^2)/(2*DD$7^2*COS(RADIANS(DE$7))^2)+$D$7</f>
        <v>2.90871130774916</v>
      </c>
      <c r="DD29" s="123" t="n">
        <f aca="false">MIN($V$5,DC29)</f>
        <v>2.90871130774916</v>
      </c>
      <c r="DE29" s="112"/>
      <c r="DF29" s="112" t="n">
        <f aca="false">DF28+DF$7/100</f>
        <v>0.42</v>
      </c>
      <c r="DG29" s="122" t="n">
        <f aca="false">DF29+IF($I$3="Forward", $D$9, $G$9)</f>
        <v>0.42</v>
      </c>
      <c r="DH29" s="112" t="n">
        <f aca="false">DF29*TAN(RADIANS(DJ$7))-(IF($B$4, 9.807, 32.174)*DF29^2)/(2*DI$7^2*COS(RADIANS(DJ$7))^2)+$D$7</f>
        <v>2.90871130774916</v>
      </c>
      <c r="DI29" s="123" t="n">
        <f aca="false">MIN($V$5,DH29)</f>
        <v>2.90871130774916</v>
      </c>
      <c r="DJ29" s="112"/>
      <c r="DK29" s="112" t="n">
        <f aca="false">DK28+DK$7/100</f>
        <v>0.42</v>
      </c>
      <c r="DL29" s="112" t="n">
        <f aca="false">DK29</f>
        <v>0.42</v>
      </c>
      <c r="DM29" s="112" t="n">
        <f aca="false">DK29*TAN(RADIANS(DO$7))-(IF($B$4, 9.807, 32.174)*DK29^2)/(2*DN$7^2*COS(RADIANS(DO$7))^2)+$D$7</f>
        <v>2.90871130774916</v>
      </c>
      <c r="DN29" s="123" t="n">
        <f aca="false">MIN($V$5,DM29)</f>
        <v>2.90871130774916</v>
      </c>
      <c r="DO29" s="112"/>
      <c r="DP29" s="112" t="n">
        <f aca="false">DP28+DP$7/100</f>
        <v>0.42</v>
      </c>
      <c r="DQ29" s="122" t="n">
        <f aca="false">DP29-IF($I$3="Forward", $D$9, $G$9)</f>
        <v>0.42</v>
      </c>
      <c r="DR29" s="112" t="n">
        <f aca="false">DP29*TAN(RADIANS(DT$7))-(IF($B$4, 9.807, 32.174)*DP29^2)/(2*DS$7^2*COS(RADIANS(DT$7))^2)+$D$7</f>
        <v>2.90871130774916</v>
      </c>
      <c r="DS29" s="123" t="n">
        <f aca="false">MIN($V$5,DR29)</f>
        <v>2.90871130774916</v>
      </c>
      <c r="DT29" s="112"/>
      <c r="DU29" s="112" t="n">
        <f aca="false">DU28+DU$7/100</f>
        <v>0.42</v>
      </c>
      <c r="DV29" s="122" t="n">
        <f aca="false">DU29+IF($I$3="Forward", $D$9, $G$9)</f>
        <v>0.42</v>
      </c>
      <c r="DW29" s="112" t="n">
        <f aca="false">DU29*TAN(RADIANS(DY$7))-(IF($B$4, 9.807, 32.174)*DU29^2)/(2*DX$7^2*COS(RADIANS(DY$7))^2)+$D$7</f>
        <v>2.90871130774916</v>
      </c>
      <c r="DX29" s="123" t="n">
        <f aca="false">MIN($V$5,DW29)</f>
        <v>2.90871130774916</v>
      </c>
      <c r="DY29" s="112"/>
      <c r="DZ29" s="112" t="n">
        <f aca="false">DZ28+DZ$7/100</f>
        <v>0.42</v>
      </c>
      <c r="EA29" s="112" t="n">
        <f aca="false">DZ29</f>
        <v>0.42</v>
      </c>
      <c r="EB29" s="112" t="n">
        <f aca="false">DZ29*TAN(RADIANS(ED$7))-(IF($B$4, 9.807, 32.174)*DZ29^2)/(2*EC$7^2*COS(RADIANS(ED$7))^2)+$D$7</f>
        <v>2.90871130774916</v>
      </c>
      <c r="EC29" s="123" t="n">
        <f aca="false">MIN($V$5,EB29)</f>
        <v>2.90871130774916</v>
      </c>
      <c r="ED29" s="112"/>
      <c r="EE29" s="112" t="n">
        <f aca="false">EE28+EE$7/100</f>
        <v>0.42</v>
      </c>
      <c r="EF29" s="122" t="n">
        <f aca="false">EE29-IF($I$3="Forward", $D$9, $G$9)</f>
        <v>0.42</v>
      </c>
      <c r="EG29" s="112" t="n">
        <f aca="false">EE29*TAN(RADIANS(EI$7))-(IF($B$4, 9.807, 32.174)*EE29^2)/(2*EH$7^2*COS(RADIANS(EI$7))^2)+$D$7</f>
        <v>2.90871130774916</v>
      </c>
      <c r="EH29" s="123" t="n">
        <f aca="false">MIN($V$5,EG29)</f>
        <v>2.90871130774916</v>
      </c>
      <c r="EI29" s="112"/>
      <c r="EJ29" s="112" t="n">
        <f aca="false">EJ28+EJ$7/100</f>
        <v>0.42</v>
      </c>
      <c r="EK29" s="122" t="n">
        <f aca="false">EJ29+IF($I$3="Forward", $D$9, $G$9)</f>
        <v>0.42</v>
      </c>
      <c r="EL29" s="112" t="n">
        <f aca="false">EJ29*TAN(RADIANS(EN$7))-(IF($B$4, 9.807, 32.174)*EJ29^2)/(2*EM$7^2*COS(RADIANS(EN$7))^2)+$D$7</f>
        <v>2.90871130774916</v>
      </c>
      <c r="EM29" s="123" t="n">
        <f aca="false">MIN($V$5,EL29)</f>
        <v>2.90871130774916</v>
      </c>
      <c r="EN29" s="112"/>
      <c r="EO29" s="112" t="n">
        <f aca="false">EO28+EO$7/100</f>
        <v>0.42</v>
      </c>
      <c r="EP29" s="112" t="n">
        <f aca="false">EO29</f>
        <v>0.42</v>
      </c>
      <c r="EQ29" s="112" t="n">
        <f aca="false">EO29*TAN(RADIANS(ES$7))-(IF($B$4, 9.807, 32.174)*EO29^2)/(2*ER$7^2*COS(RADIANS(ES$7))^2)+$D$7</f>
        <v>2.90871130774916</v>
      </c>
      <c r="ER29" s="123" t="n">
        <f aca="false">MIN($V$5,EQ29)</f>
        <v>2.90871130774916</v>
      </c>
      <c r="ES29" s="112"/>
      <c r="ET29" s="112" t="n">
        <f aca="false">ET28+ET$7/100</f>
        <v>0.42</v>
      </c>
      <c r="EU29" s="122" t="n">
        <f aca="false">ET29-IF($I$3="Forward", $D$9, $G$9)</f>
        <v>0.42</v>
      </c>
      <c r="EV29" s="112" t="n">
        <f aca="false">ET29*TAN(RADIANS(EX$7))-(IF($B$4, 9.807, 32.174)*ET29^2)/(2*EW$7^2*COS(RADIANS(EX$7))^2)+$D$7</f>
        <v>2.90871130774916</v>
      </c>
      <c r="EW29" s="123" t="n">
        <f aca="false">MIN($V$5,EV29)</f>
        <v>2.90871130774916</v>
      </c>
      <c r="EX29" s="112"/>
    </row>
    <row r="30" s="131" customFormat="true" ht="14.45" hidden="false" customHeight="true" outlineLevel="0" collapsed="false">
      <c r="C30" s="137"/>
      <c r="D30" s="137"/>
      <c r="E30" s="137"/>
      <c r="F30" s="137"/>
      <c r="G30" s="137"/>
      <c r="H30" s="111"/>
      <c r="I30" s="111"/>
      <c r="J30" s="111"/>
      <c r="K30" s="111"/>
      <c r="L30" s="111"/>
      <c r="M30" s="111"/>
      <c r="N30" s="111"/>
      <c r="O30" s="111"/>
      <c r="P30" s="111"/>
      <c r="Q30" s="111"/>
      <c r="R30" s="111"/>
      <c r="S30" s="111"/>
      <c r="T30" s="112" t="n">
        <f aca="false">T29+T$7/100</f>
        <v>0.44</v>
      </c>
      <c r="U30" s="122" t="n">
        <f aca="false">T30+IF($I$3="Forward", $D$9, $G$9)</f>
        <v>0.44</v>
      </c>
      <c r="V30" s="112" t="n">
        <f aca="false">T30*TAN(RADIANS(X$7))-(IF($B$4, 9.807, 32.174)*T30^2)/(2*W$7^2*COS(RADIANS(X$7))^2)+$D$7</f>
        <v>3.0079039204928</v>
      </c>
      <c r="W30" s="123" t="n">
        <f aca="false">MIN($V$5,V30)</f>
        <v>3.0079039204928</v>
      </c>
      <c r="X30" s="112"/>
      <c r="Y30" s="112" t="n">
        <f aca="false">Y29+Y$7/100</f>
        <v>0.44</v>
      </c>
      <c r="Z30" s="112" t="n">
        <f aca="false">Y30</f>
        <v>0.44</v>
      </c>
      <c r="AA30" s="112" t="n">
        <f aca="false">Y30*TAN(RADIANS(AC$7))-(IF($B$4, 9.807, 32.174)*Y30^2)/(2*AB$7^2*COS(RADIANS(AC$7))^2)+$D$7</f>
        <v>3.0079039204928</v>
      </c>
      <c r="AB30" s="123" t="n">
        <f aca="false">MIN($V$5,AA30)</f>
        <v>3.0079039204928</v>
      </c>
      <c r="AC30" s="112"/>
      <c r="AD30" s="112" t="n">
        <f aca="false">AD29+AD$7/100</f>
        <v>0.44</v>
      </c>
      <c r="AE30" s="122" t="n">
        <f aca="false">AD30-IF($I$3="Forward", $D$9, $G$9)</f>
        <v>0.44</v>
      </c>
      <c r="AF30" s="112" t="n">
        <f aca="false">AD30*TAN(RADIANS(AH$7))-(IF($B$4, 9.807, 32.174)*AD30^2)/(2*AG$7^2*COS(RADIANS(AH$7))^2)+$D$7</f>
        <v>3.0079039204928</v>
      </c>
      <c r="AG30" s="123" t="n">
        <f aca="false">MIN($V$5,AF30)</f>
        <v>3.0079039204928</v>
      </c>
      <c r="AH30" s="112"/>
      <c r="AI30" s="112" t="n">
        <f aca="false">AI29+AI$7/100</f>
        <v>0.44</v>
      </c>
      <c r="AJ30" s="122" t="n">
        <f aca="false">AI30+IF($I$3="Forward", $D$9, $G$9)</f>
        <v>0.44</v>
      </c>
      <c r="AK30" s="112" t="n">
        <f aca="false">AI30*TAN(RADIANS(AM$7))-(IF($B$4, 9.807, 32.174)*AI30^2)/(2*AL$7^2*COS(RADIANS(AM$7))^2)+$D$7</f>
        <v>3.0079039204928</v>
      </c>
      <c r="AL30" s="123" t="n">
        <f aca="false">MIN($V$5,AK30)</f>
        <v>3.0079039204928</v>
      </c>
      <c r="AM30" s="112"/>
      <c r="AN30" s="112" t="n">
        <f aca="false">AN29+AN$7/100</f>
        <v>0.44</v>
      </c>
      <c r="AO30" s="112" t="n">
        <f aca="false">AN30</f>
        <v>0.44</v>
      </c>
      <c r="AP30" s="112" t="n">
        <f aca="false">AN30*TAN(RADIANS(AR$7))-(IF($B$4, 9.807, 32.174)*AN30^2)/(2*AQ$7^2*COS(RADIANS(AR$7))^2)+$D$7</f>
        <v>3.0079039204928</v>
      </c>
      <c r="AQ30" s="123" t="n">
        <f aca="false">MIN($V$5,AP30)</f>
        <v>3.0079039204928</v>
      </c>
      <c r="AR30" s="112"/>
      <c r="AS30" s="112" t="n">
        <f aca="false">AS29+AS$7/100</f>
        <v>0.44</v>
      </c>
      <c r="AT30" s="122" t="n">
        <f aca="false">AS30-IF($I$3="Forward", $D$9, $G$9)</f>
        <v>0.44</v>
      </c>
      <c r="AU30" s="112" t="n">
        <f aca="false">AS30*TAN(RADIANS(AW$7))-(IF($B$4, 9.807, 32.174)*AS30^2)/(2*AV$7^2*COS(RADIANS(AW$7))^2)+$D$7</f>
        <v>3.0079039204928</v>
      </c>
      <c r="AV30" s="123" t="n">
        <f aca="false">MIN($V$5,AU30)</f>
        <v>3.0079039204928</v>
      </c>
      <c r="AW30" s="112"/>
      <c r="AX30" s="112" t="n">
        <f aca="false">AX29+AX$7/100</f>
        <v>0.44</v>
      </c>
      <c r="AY30" s="122" t="n">
        <f aca="false">AX30+IF($I$3="Forward", $D$9, $G$9)</f>
        <v>0.44</v>
      </c>
      <c r="AZ30" s="112" t="n">
        <f aca="false">AX30*TAN(RADIANS(BB$7))-(IF($B$4, 9.807, 32.174)*AX30^2)/(2*BA$7^2*COS(RADIANS(BB$7))^2)+$D$7</f>
        <v>3.0079039204928</v>
      </c>
      <c r="BA30" s="123" t="n">
        <f aca="false">MIN($V$5,AZ30)</f>
        <v>3.0079039204928</v>
      </c>
      <c r="BB30" s="112"/>
      <c r="BC30" s="112" t="n">
        <f aca="false">BC29+BC$7/100</f>
        <v>0.44</v>
      </c>
      <c r="BD30" s="112" t="n">
        <f aca="false">BC30</f>
        <v>0.44</v>
      </c>
      <c r="BE30" s="112" t="n">
        <f aca="false">BC30*TAN(RADIANS(BG$7))-(IF($B$4, 9.807, 32.174)*BC30^2)/(2*BF$7^2*COS(RADIANS(BG$7))^2)+$D$7</f>
        <v>3.0079039204928</v>
      </c>
      <c r="BF30" s="123" t="n">
        <f aca="false">MIN($V$5,BE30)</f>
        <v>3.0079039204928</v>
      </c>
      <c r="BG30" s="112"/>
      <c r="BH30" s="112" t="n">
        <f aca="false">BH29+BH$7/100</f>
        <v>0.44</v>
      </c>
      <c r="BI30" s="122" t="n">
        <f aca="false">BH30-IF($I$3="Forward", $D$9, $G$9)</f>
        <v>0.44</v>
      </c>
      <c r="BJ30" s="112" t="n">
        <f aca="false">BH30*TAN(RADIANS(BL$7))-(IF($B$4, 9.807, 32.174)*BH30^2)/(2*BK$7^2*COS(RADIANS(BL$7))^2)+$D$7</f>
        <v>3.0079039204928</v>
      </c>
      <c r="BK30" s="123" t="n">
        <f aca="false">MIN($V$5,BJ30)</f>
        <v>3.0079039204928</v>
      </c>
      <c r="BL30" s="112"/>
      <c r="BM30" s="112" t="n">
        <f aca="false">BM29+BM$7/100</f>
        <v>0.44</v>
      </c>
      <c r="BN30" s="122" t="n">
        <f aca="false">BM30+IF($I$3="Forward", $D$9, $G$9)</f>
        <v>0.44</v>
      </c>
      <c r="BO30" s="112" t="n">
        <f aca="false">BM30*TAN(RADIANS(BQ$7))-(IF($B$4, 9.807, 32.174)*BM30^2)/(2*BP$7^2*COS(RADIANS(BQ$7))^2)+$D$7</f>
        <v>3.0079039204928</v>
      </c>
      <c r="BP30" s="123" t="n">
        <f aca="false">MIN($V$5,BO30)</f>
        <v>3.0079039204928</v>
      </c>
      <c r="BQ30" s="112"/>
      <c r="BR30" s="112" t="n">
        <f aca="false">BR29+BR$7/100</f>
        <v>0.44</v>
      </c>
      <c r="BS30" s="112" t="n">
        <f aca="false">BR30</f>
        <v>0.44</v>
      </c>
      <c r="BT30" s="112" t="n">
        <f aca="false">BR30*TAN(RADIANS(BV$7))-(IF($B$4, 9.807, 32.174)*BR30^2)/(2*BU$7^2*COS(RADIANS(BV$7))^2)+$D$7</f>
        <v>3.0079039204928</v>
      </c>
      <c r="BU30" s="123" t="n">
        <f aca="false">MIN($V$5,BT30)</f>
        <v>3.0079039204928</v>
      </c>
      <c r="BV30" s="112"/>
      <c r="BW30" s="112" t="n">
        <f aca="false">BW29+BW$7/100</f>
        <v>0.44</v>
      </c>
      <c r="BX30" s="122" t="n">
        <f aca="false">BW30-IF($I$3="Forward", $D$9, $G$9)</f>
        <v>0.44</v>
      </c>
      <c r="BY30" s="112" t="n">
        <f aca="false">BW30*TAN(RADIANS(CA$7))-(IF($B$4, 9.807, 32.174)*BW30^2)/(2*BZ$7^2*COS(RADIANS(CA$7))^2)+$D$7</f>
        <v>3.0079039204928</v>
      </c>
      <c r="BZ30" s="123" t="n">
        <f aca="false">MIN($V$5,BY30)</f>
        <v>3.0079039204928</v>
      </c>
      <c r="CA30" s="112"/>
      <c r="CB30" s="112" t="n">
        <f aca="false">CB29+CB$7/100</f>
        <v>0.44</v>
      </c>
      <c r="CC30" s="122" t="n">
        <f aca="false">CB30+IF($I$3="Forward", $D$9, $G$9)</f>
        <v>0.44</v>
      </c>
      <c r="CD30" s="112" t="n">
        <f aca="false">CB30*TAN(RADIANS(CF$7))-(IF($B$4, 9.807, 32.174)*CB30^2)/(2*CE$7^2*COS(RADIANS(CF$7))^2)+$D$7</f>
        <v>3.0079039204928</v>
      </c>
      <c r="CE30" s="123" t="n">
        <f aca="false">MIN($V$5,CD30)</f>
        <v>3.0079039204928</v>
      </c>
      <c r="CF30" s="112"/>
      <c r="CG30" s="124" t="n">
        <f aca="false">CG29+CG$7/100</f>
        <v>0.44</v>
      </c>
      <c r="CH30" s="124" t="n">
        <f aca="false">CG30</f>
        <v>0.44</v>
      </c>
      <c r="CI30" s="124" t="n">
        <f aca="false">CG30*TAN(RADIANS(CK$7))-(IF($B$4, 9.807, 32.174)*CG30^2)/(2*CJ$7^2*COS(RADIANS(CK$7))^2)+$D$7</f>
        <v>3.0079039204928</v>
      </c>
      <c r="CJ30" s="123" t="n">
        <f aca="false">MIN($V$5,CI30)</f>
        <v>3.0079039204928</v>
      </c>
      <c r="CK30" s="124"/>
      <c r="CL30" s="112" t="n">
        <f aca="false">CL29+CL$7/100</f>
        <v>0.44</v>
      </c>
      <c r="CM30" s="122" t="n">
        <f aca="false">CL30-IF($I$3="Forward", $D$9, $G$9)</f>
        <v>0.44</v>
      </c>
      <c r="CN30" s="112" t="n">
        <f aca="false">CL30*TAN(RADIANS(CP$7))-(IF($B$4, 9.807, 32.174)*CL30^2)/(2*CO$7^2*COS(RADIANS(CP$7))^2)+$D$7</f>
        <v>3.0079039204928</v>
      </c>
      <c r="CO30" s="123" t="n">
        <f aca="false">MIN($V$5,CN30)</f>
        <v>3.0079039204928</v>
      </c>
      <c r="CP30" s="112"/>
      <c r="CQ30" s="112" t="n">
        <f aca="false">CQ29+CQ$7/100</f>
        <v>0.44</v>
      </c>
      <c r="CR30" s="122" t="n">
        <f aca="false">CQ30+IF($I$3="Forward", $D$9, $G$9)</f>
        <v>0.44</v>
      </c>
      <c r="CS30" s="112" t="n">
        <f aca="false">CQ30*TAN(RADIANS(CU$7))-(IF($B$4, 9.807, 32.174)*CQ30^2)/(2*CT$7^2*COS(RADIANS(CU$7))^2)+$D$7</f>
        <v>3.0079039204928</v>
      </c>
      <c r="CT30" s="123" t="n">
        <f aca="false">MIN($V$5,CS30)</f>
        <v>3.0079039204928</v>
      </c>
      <c r="CU30" s="112"/>
      <c r="CV30" s="112" t="n">
        <f aca="false">CV29+CV$7/100</f>
        <v>0.44</v>
      </c>
      <c r="CW30" s="112" t="n">
        <f aca="false">CV30</f>
        <v>0.44</v>
      </c>
      <c r="CX30" s="112" t="n">
        <f aca="false">CV30*TAN(RADIANS(CZ$7))-(IF($B$4, 9.807, 32.174)*CV30^2)/(2*CY$7^2*COS(RADIANS(CZ$7))^2)+$D$7</f>
        <v>3.0079039204928</v>
      </c>
      <c r="CY30" s="123" t="n">
        <f aca="false">MIN($V$5,CX30)</f>
        <v>3.0079039204928</v>
      </c>
      <c r="CZ30" s="112"/>
      <c r="DA30" s="112" t="n">
        <f aca="false">DA29+DA$7/100</f>
        <v>0.44</v>
      </c>
      <c r="DB30" s="122" t="n">
        <f aca="false">DA30-IF($I$3="Forward", $D$9, $G$9)</f>
        <v>0.44</v>
      </c>
      <c r="DC30" s="112" t="n">
        <f aca="false">DA30*TAN(RADIANS(DE$7))-(IF($B$4, 9.807, 32.174)*DA30^2)/(2*DD$7^2*COS(RADIANS(DE$7))^2)+$D$7</f>
        <v>3.0079039204928</v>
      </c>
      <c r="DD30" s="123" t="n">
        <f aca="false">MIN($V$5,DC30)</f>
        <v>3.0079039204928</v>
      </c>
      <c r="DE30" s="112"/>
      <c r="DF30" s="112" t="n">
        <f aca="false">DF29+DF$7/100</f>
        <v>0.44</v>
      </c>
      <c r="DG30" s="122" t="n">
        <f aca="false">DF30+IF($I$3="Forward", $D$9, $G$9)</f>
        <v>0.44</v>
      </c>
      <c r="DH30" s="112" t="n">
        <f aca="false">DF30*TAN(RADIANS(DJ$7))-(IF($B$4, 9.807, 32.174)*DF30^2)/(2*DI$7^2*COS(RADIANS(DJ$7))^2)+$D$7</f>
        <v>3.0079039204928</v>
      </c>
      <c r="DI30" s="123" t="n">
        <f aca="false">MIN($V$5,DH30)</f>
        <v>3.0079039204928</v>
      </c>
      <c r="DJ30" s="112"/>
      <c r="DK30" s="112" t="n">
        <f aca="false">DK29+DK$7/100</f>
        <v>0.44</v>
      </c>
      <c r="DL30" s="112" t="n">
        <f aca="false">DK30</f>
        <v>0.44</v>
      </c>
      <c r="DM30" s="112" t="n">
        <f aca="false">DK30*TAN(RADIANS(DO$7))-(IF($B$4, 9.807, 32.174)*DK30^2)/(2*DN$7^2*COS(RADIANS(DO$7))^2)+$D$7</f>
        <v>3.0079039204928</v>
      </c>
      <c r="DN30" s="123" t="n">
        <f aca="false">MIN($V$5,DM30)</f>
        <v>3.0079039204928</v>
      </c>
      <c r="DO30" s="112"/>
      <c r="DP30" s="112" t="n">
        <f aca="false">DP29+DP$7/100</f>
        <v>0.44</v>
      </c>
      <c r="DQ30" s="122" t="n">
        <f aca="false">DP30-IF($I$3="Forward", $D$9, $G$9)</f>
        <v>0.44</v>
      </c>
      <c r="DR30" s="112" t="n">
        <f aca="false">DP30*TAN(RADIANS(DT$7))-(IF($B$4, 9.807, 32.174)*DP30^2)/(2*DS$7^2*COS(RADIANS(DT$7))^2)+$D$7</f>
        <v>3.0079039204928</v>
      </c>
      <c r="DS30" s="123" t="n">
        <f aca="false">MIN($V$5,DR30)</f>
        <v>3.0079039204928</v>
      </c>
      <c r="DT30" s="112"/>
      <c r="DU30" s="112" t="n">
        <f aca="false">DU29+DU$7/100</f>
        <v>0.44</v>
      </c>
      <c r="DV30" s="122" t="n">
        <f aca="false">DU30+IF($I$3="Forward", $D$9, $G$9)</f>
        <v>0.44</v>
      </c>
      <c r="DW30" s="112" t="n">
        <f aca="false">DU30*TAN(RADIANS(DY$7))-(IF($B$4, 9.807, 32.174)*DU30^2)/(2*DX$7^2*COS(RADIANS(DY$7))^2)+$D$7</f>
        <v>3.0079039204928</v>
      </c>
      <c r="DX30" s="123" t="n">
        <f aca="false">MIN($V$5,DW30)</f>
        <v>3.0079039204928</v>
      </c>
      <c r="DY30" s="112"/>
      <c r="DZ30" s="112" t="n">
        <f aca="false">DZ29+DZ$7/100</f>
        <v>0.44</v>
      </c>
      <c r="EA30" s="112" t="n">
        <f aca="false">DZ30</f>
        <v>0.44</v>
      </c>
      <c r="EB30" s="112" t="n">
        <f aca="false">DZ30*TAN(RADIANS(ED$7))-(IF($B$4, 9.807, 32.174)*DZ30^2)/(2*EC$7^2*COS(RADIANS(ED$7))^2)+$D$7</f>
        <v>3.0079039204928</v>
      </c>
      <c r="EC30" s="123" t="n">
        <f aca="false">MIN($V$5,EB30)</f>
        <v>3.0079039204928</v>
      </c>
      <c r="ED30" s="112"/>
      <c r="EE30" s="112" t="n">
        <f aca="false">EE29+EE$7/100</f>
        <v>0.44</v>
      </c>
      <c r="EF30" s="122" t="n">
        <f aca="false">EE30-IF($I$3="Forward", $D$9, $G$9)</f>
        <v>0.44</v>
      </c>
      <c r="EG30" s="112" t="n">
        <f aca="false">EE30*TAN(RADIANS(EI$7))-(IF($B$4, 9.807, 32.174)*EE30^2)/(2*EH$7^2*COS(RADIANS(EI$7))^2)+$D$7</f>
        <v>3.0079039204928</v>
      </c>
      <c r="EH30" s="123" t="n">
        <f aca="false">MIN($V$5,EG30)</f>
        <v>3.0079039204928</v>
      </c>
      <c r="EI30" s="112"/>
      <c r="EJ30" s="112" t="n">
        <f aca="false">EJ29+EJ$7/100</f>
        <v>0.44</v>
      </c>
      <c r="EK30" s="122" t="n">
        <f aca="false">EJ30+IF($I$3="Forward", $D$9, $G$9)</f>
        <v>0.44</v>
      </c>
      <c r="EL30" s="112" t="n">
        <f aca="false">EJ30*TAN(RADIANS(EN$7))-(IF($B$4, 9.807, 32.174)*EJ30^2)/(2*EM$7^2*COS(RADIANS(EN$7))^2)+$D$7</f>
        <v>3.0079039204928</v>
      </c>
      <c r="EM30" s="123" t="n">
        <f aca="false">MIN($V$5,EL30)</f>
        <v>3.0079039204928</v>
      </c>
      <c r="EN30" s="112"/>
      <c r="EO30" s="112" t="n">
        <f aca="false">EO29+EO$7/100</f>
        <v>0.44</v>
      </c>
      <c r="EP30" s="112" t="n">
        <f aca="false">EO30</f>
        <v>0.44</v>
      </c>
      <c r="EQ30" s="112" t="n">
        <f aca="false">EO30*TAN(RADIANS(ES$7))-(IF($B$4, 9.807, 32.174)*EO30^2)/(2*ER$7^2*COS(RADIANS(ES$7))^2)+$D$7</f>
        <v>3.0079039204928</v>
      </c>
      <c r="ER30" s="123" t="n">
        <f aca="false">MIN($V$5,EQ30)</f>
        <v>3.0079039204928</v>
      </c>
      <c r="ES30" s="112"/>
      <c r="ET30" s="112" t="n">
        <f aca="false">ET29+ET$7/100</f>
        <v>0.44</v>
      </c>
      <c r="EU30" s="122" t="n">
        <f aca="false">ET30-IF($I$3="Forward", $D$9, $G$9)</f>
        <v>0.44</v>
      </c>
      <c r="EV30" s="112" t="n">
        <f aca="false">ET30*TAN(RADIANS(EX$7))-(IF($B$4, 9.807, 32.174)*ET30^2)/(2*EW$7^2*COS(RADIANS(EX$7))^2)+$D$7</f>
        <v>3.0079039204928</v>
      </c>
      <c r="EW30" s="123" t="n">
        <f aca="false">MIN($V$5,EV30)</f>
        <v>3.0079039204928</v>
      </c>
      <c r="EX30" s="112"/>
    </row>
    <row r="31" s="131" customFormat="true" ht="14.45" hidden="false" customHeight="true" outlineLevel="0" collapsed="false">
      <c r="C31" s="111"/>
      <c r="D31" s="111"/>
      <c r="E31" s="111"/>
      <c r="F31" s="111"/>
      <c r="G31" s="111"/>
      <c r="H31" s="111"/>
      <c r="I31" s="111"/>
      <c r="J31" s="111"/>
      <c r="K31" s="111"/>
      <c r="L31" s="111"/>
      <c r="M31" s="111"/>
      <c r="N31" s="111"/>
      <c r="O31" s="111"/>
      <c r="P31" s="111"/>
      <c r="Q31" s="111"/>
      <c r="R31" s="111"/>
      <c r="S31" s="111"/>
      <c r="T31" s="112" t="n">
        <f aca="false">T30+T$7/100</f>
        <v>0.46</v>
      </c>
      <c r="U31" s="122" t="n">
        <f aca="false">T31+IF($I$3="Forward", $D$9, $G$9)</f>
        <v>0.46</v>
      </c>
      <c r="V31" s="112" t="n">
        <f aca="false">T31*TAN(RADIANS(X$7))-(IF($B$4, 9.807, 32.174)*T31^2)/(2*W$7^2*COS(RADIANS(X$7))^2)+$D$7</f>
        <v>3.10438802050859</v>
      </c>
      <c r="W31" s="123" t="n">
        <f aca="false">MIN($V$5,V31)</f>
        <v>3.10438802050859</v>
      </c>
      <c r="X31" s="112"/>
      <c r="Y31" s="112" t="n">
        <f aca="false">Y30+Y$7/100</f>
        <v>0.46</v>
      </c>
      <c r="Z31" s="112" t="n">
        <f aca="false">Y31</f>
        <v>0.46</v>
      </c>
      <c r="AA31" s="112" t="n">
        <f aca="false">Y31*TAN(RADIANS(AC$7))-(IF($B$4, 9.807, 32.174)*Y31^2)/(2*AB$7^2*COS(RADIANS(AC$7))^2)+$D$7</f>
        <v>3.10438802050859</v>
      </c>
      <c r="AB31" s="123" t="n">
        <f aca="false">MIN($V$5,AA31)</f>
        <v>3.10438802050859</v>
      </c>
      <c r="AC31" s="112"/>
      <c r="AD31" s="112" t="n">
        <f aca="false">AD30+AD$7/100</f>
        <v>0.46</v>
      </c>
      <c r="AE31" s="122" t="n">
        <f aca="false">AD31-IF($I$3="Forward", $D$9, $G$9)</f>
        <v>0.46</v>
      </c>
      <c r="AF31" s="112" t="n">
        <f aca="false">AD31*TAN(RADIANS(AH$7))-(IF($B$4, 9.807, 32.174)*AD31^2)/(2*AG$7^2*COS(RADIANS(AH$7))^2)+$D$7</f>
        <v>3.10438802050859</v>
      </c>
      <c r="AG31" s="123" t="n">
        <f aca="false">MIN($V$5,AF31)</f>
        <v>3.10438802050859</v>
      </c>
      <c r="AH31" s="112"/>
      <c r="AI31" s="112" t="n">
        <f aca="false">AI30+AI$7/100</f>
        <v>0.46</v>
      </c>
      <c r="AJ31" s="122" t="n">
        <f aca="false">AI31+IF($I$3="Forward", $D$9, $G$9)</f>
        <v>0.46</v>
      </c>
      <c r="AK31" s="112" t="n">
        <f aca="false">AI31*TAN(RADIANS(AM$7))-(IF($B$4, 9.807, 32.174)*AI31^2)/(2*AL$7^2*COS(RADIANS(AM$7))^2)+$D$7</f>
        <v>3.10438802050859</v>
      </c>
      <c r="AL31" s="123" t="n">
        <f aca="false">MIN($V$5,AK31)</f>
        <v>3.10438802050859</v>
      </c>
      <c r="AM31" s="112"/>
      <c r="AN31" s="112" t="n">
        <f aca="false">AN30+AN$7/100</f>
        <v>0.46</v>
      </c>
      <c r="AO31" s="112" t="n">
        <f aca="false">AN31</f>
        <v>0.46</v>
      </c>
      <c r="AP31" s="112" t="n">
        <f aca="false">AN31*TAN(RADIANS(AR$7))-(IF($B$4, 9.807, 32.174)*AN31^2)/(2*AQ$7^2*COS(RADIANS(AR$7))^2)+$D$7</f>
        <v>3.10438802050859</v>
      </c>
      <c r="AQ31" s="123" t="n">
        <f aca="false">MIN($V$5,AP31)</f>
        <v>3.10438802050859</v>
      </c>
      <c r="AR31" s="112"/>
      <c r="AS31" s="112" t="n">
        <f aca="false">AS30+AS$7/100</f>
        <v>0.46</v>
      </c>
      <c r="AT31" s="122" t="n">
        <f aca="false">AS31-IF($I$3="Forward", $D$9, $G$9)</f>
        <v>0.46</v>
      </c>
      <c r="AU31" s="112" t="n">
        <f aca="false">AS31*TAN(RADIANS(AW$7))-(IF($B$4, 9.807, 32.174)*AS31^2)/(2*AV$7^2*COS(RADIANS(AW$7))^2)+$D$7</f>
        <v>3.10438802050859</v>
      </c>
      <c r="AV31" s="123" t="n">
        <f aca="false">MIN($V$5,AU31)</f>
        <v>3.10438802050859</v>
      </c>
      <c r="AW31" s="112"/>
      <c r="AX31" s="112" t="n">
        <f aca="false">AX30+AX$7/100</f>
        <v>0.46</v>
      </c>
      <c r="AY31" s="122" t="n">
        <f aca="false">AX31+IF($I$3="Forward", $D$9, $G$9)</f>
        <v>0.46</v>
      </c>
      <c r="AZ31" s="112" t="n">
        <f aca="false">AX31*TAN(RADIANS(BB$7))-(IF($B$4, 9.807, 32.174)*AX31^2)/(2*BA$7^2*COS(RADIANS(BB$7))^2)+$D$7</f>
        <v>3.10438802050859</v>
      </c>
      <c r="BA31" s="123" t="n">
        <f aca="false">MIN($V$5,AZ31)</f>
        <v>3.10438802050859</v>
      </c>
      <c r="BB31" s="112"/>
      <c r="BC31" s="112" t="n">
        <f aca="false">BC30+BC$7/100</f>
        <v>0.46</v>
      </c>
      <c r="BD31" s="112" t="n">
        <f aca="false">BC31</f>
        <v>0.46</v>
      </c>
      <c r="BE31" s="112" t="n">
        <f aca="false">BC31*TAN(RADIANS(BG$7))-(IF($B$4, 9.807, 32.174)*BC31^2)/(2*BF$7^2*COS(RADIANS(BG$7))^2)+$D$7</f>
        <v>3.10438802050859</v>
      </c>
      <c r="BF31" s="123" t="n">
        <f aca="false">MIN($V$5,BE31)</f>
        <v>3.10438802050859</v>
      </c>
      <c r="BG31" s="112"/>
      <c r="BH31" s="112" t="n">
        <f aca="false">BH30+BH$7/100</f>
        <v>0.46</v>
      </c>
      <c r="BI31" s="122" t="n">
        <f aca="false">BH31-IF($I$3="Forward", $D$9, $G$9)</f>
        <v>0.46</v>
      </c>
      <c r="BJ31" s="112" t="n">
        <f aca="false">BH31*TAN(RADIANS(BL$7))-(IF($B$4, 9.807, 32.174)*BH31^2)/(2*BK$7^2*COS(RADIANS(BL$7))^2)+$D$7</f>
        <v>3.10438802050859</v>
      </c>
      <c r="BK31" s="123" t="n">
        <f aca="false">MIN($V$5,BJ31)</f>
        <v>3.10438802050859</v>
      </c>
      <c r="BL31" s="112"/>
      <c r="BM31" s="112" t="n">
        <f aca="false">BM30+BM$7/100</f>
        <v>0.46</v>
      </c>
      <c r="BN31" s="122" t="n">
        <f aca="false">BM31+IF($I$3="Forward", $D$9, $G$9)</f>
        <v>0.46</v>
      </c>
      <c r="BO31" s="112" t="n">
        <f aca="false">BM31*TAN(RADIANS(BQ$7))-(IF($B$4, 9.807, 32.174)*BM31^2)/(2*BP$7^2*COS(RADIANS(BQ$7))^2)+$D$7</f>
        <v>3.10438802050859</v>
      </c>
      <c r="BP31" s="123" t="n">
        <f aca="false">MIN($V$5,BO31)</f>
        <v>3.10438802050859</v>
      </c>
      <c r="BQ31" s="112"/>
      <c r="BR31" s="112" t="n">
        <f aca="false">BR30+BR$7/100</f>
        <v>0.46</v>
      </c>
      <c r="BS31" s="112" t="n">
        <f aca="false">BR31</f>
        <v>0.46</v>
      </c>
      <c r="BT31" s="112" t="n">
        <f aca="false">BR31*TAN(RADIANS(BV$7))-(IF($B$4, 9.807, 32.174)*BR31^2)/(2*BU$7^2*COS(RADIANS(BV$7))^2)+$D$7</f>
        <v>3.10438802050859</v>
      </c>
      <c r="BU31" s="123" t="n">
        <f aca="false">MIN($V$5,BT31)</f>
        <v>3.10438802050859</v>
      </c>
      <c r="BV31" s="112"/>
      <c r="BW31" s="112" t="n">
        <f aca="false">BW30+BW$7/100</f>
        <v>0.46</v>
      </c>
      <c r="BX31" s="122" t="n">
        <f aca="false">BW31-IF($I$3="Forward", $D$9, $G$9)</f>
        <v>0.46</v>
      </c>
      <c r="BY31" s="112" t="n">
        <f aca="false">BW31*TAN(RADIANS(CA$7))-(IF($B$4, 9.807, 32.174)*BW31^2)/(2*BZ$7^2*COS(RADIANS(CA$7))^2)+$D$7</f>
        <v>3.10438802050859</v>
      </c>
      <c r="BZ31" s="123" t="n">
        <f aca="false">MIN($V$5,BY31)</f>
        <v>3.10438802050859</v>
      </c>
      <c r="CA31" s="112"/>
      <c r="CB31" s="112" t="n">
        <f aca="false">CB30+CB$7/100</f>
        <v>0.46</v>
      </c>
      <c r="CC31" s="122" t="n">
        <f aca="false">CB31+IF($I$3="Forward", $D$9, $G$9)</f>
        <v>0.46</v>
      </c>
      <c r="CD31" s="112" t="n">
        <f aca="false">CB31*TAN(RADIANS(CF$7))-(IF($B$4, 9.807, 32.174)*CB31^2)/(2*CE$7^2*COS(RADIANS(CF$7))^2)+$D$7</f>
        <v>3.10438802050859</v>
      </c>
      <c r="CE31" s="123" t="n">
        <f aca="false">MIN($V$5,CD31)</f>
        <v>3.10438802050859</v>
      </c>
      <c r="CF31" s="112"/>
      <c r="CG31" s="124" t="n">
        <f aca="false">CG30+CG$7/100</f>
        <v>0.46</v>
      </c>
      <c r="CH31" s="124" t="n">
        <f aca="false">CG31</f>
        <v>0.46</v>
      </c>
      <c r="CI31" s="124" t="n">
        <f aca="false">CG31*TAN(RADIANS(CK$7))-(IF($B$4, 9.807, 32.174)*CG31^2)/(2*CJ$7^2*COS(RADIANS(CK$7))^2)+$D$7</f>
        <v>3.10438802050859</v>
      </c>
      <c r="CJ31" s="123" t="n">
        <f aca="false">MIN($V$5,CI31)</f>
        <v>3.10438802050859</v>
      </c>
      <c r="CK31" s="124"/>
      <c r="CL31" s="112" t="n">
        <f aca="false">CL30+CL$7/100</f>
        <v>0.46</v>
      </c>
      <c r="CM31" s="122" t="n">
        <f aca="false">CL31-IF($I$3="Forward", $D$9, $G$9)</f>
        <v>0.46</v>
      </c>
      <c r="CN31" s="112" t="n">
        <f aca="false">CL31*TAN(RADIANS(CP$7))-(IF($B$4, 9.807, 32.174)*CL31^2)/(2*CO$7^2*COS(RADIANS(CP$7))^2)+$D$7</f>
        <v>3.10438802050859</v>
      </c>
      <c r="CO31" s="123" t="n">
        <f aca="false">MIN($V$5,CN31)</f>
        <v>3.10438802050859</v>
      </c>
      <c r="CP31" s="112"/>
      <c r="CQ31" s="112" t="n">
        <f aca="false">CQ30+CQ$7/100</f>
        <v>0.46</v>
      </c>
      <c r="CR31" s="122" t="n">
        <f aca="false">CQ31+IF($I$3="Forward", $D$9, $G$9)</f>
        <v>0.46</v>
      </c>
      <c r="CS31" s="112" t="n">
        <f aca="false">CQ31*TAN(RADIANS(CU$7))-(IF($B$4, 9.807, 32.174)*CQ31^2)/(2*CT$7^2*COS(RADIANS(CU$7))^2)+$D$7</f>
        <v>3.10438802050859</v>
      </c>
      <c r="CT31" s="123" t="n">
        <f aca="false">MIN($V$5,CS31)</f>
        <v>3.10438802050859</v>
      </c>
      <c r="CU31" s="112"/>
      <c r="CV31" s="112" t="n">
        <f aca="false">CV30+CV$7/100</f>
        <v>0.46</v>
      </c>
      <c r="CW31" s="112" t="n">
        <f aca="false">CV31</f>
        <v>0.46</v>
      </c>
      <c r="CX31" s="112" t="n">
        <f aca="false">CV31*TAN(RADIANS(CZ$7))-(IF($B$4, 9.807, 32.174)*CV31^2)/(2*CY$7^2*COS(RADIANS(CZ$7))^2)+$D$7</f>
        <v>3.10438802050859</v>
      </c>
      <c r="CY31" s="123" t="n">
        <f aca="false">MIN($V$5,CX31)</f>
        <v>3.10438802050859</v>
      </c>
      <c r="CZ31" s="112"/>
      <c r="DA31" s="112" t="n">
        <f aca="false">DA30+DA$7/100</f>
        <v>0.46</v>
      </c>
      <c r="DB31" s="122" t="n">
        <f aca="false">DA31-IF($I$3="Forward", $D$9, $G$9)</f>
        <v>0.46</v>
      </c>
      <c r="DC31" s="112" t="n">
        <f aca="false">DA31*TAN(RADIANS(DE$7))-(IF($B$4, 9.807, 32.174)*DA31^2)/(2*DD$7^2*COS(RADIANS(DE$7))^2)+$D$7</f>
        <v>3.10438802050859</v>
      </c>
      <c r="DD31" s="123" t="n">
        <f aca="false">MIN($V$5,DC31)</f>
        <v>3.10438802050859</v>
      </c>
      <c r="DE31" s="112"/>
      <c r="DF31" s="112" t="n">
        <f aca="false">DF30+DF$7/100</f>
        <v>0.46</v>
      </c>
      <c r="DG31" s="122" t="n">
        <f aca="false">DF31+IF($I$3="Forward", $D$9, $G$9)</f>
        <v>0.46</v>
      </c>
      <c r="DH31" s="112" t="n">
        <f aca="false">DF31*TAN(RADIANS(DJ$7))-(IF($B$4, 9.807, 32.174)*DF31^2)/(2*DI$7^2*COS(RADIANS(DJ$7))^2)+$D$7</f>
        <v>3.10438802050859</v>
      </c>
      <c r="DI31" s="123" t="n">
        <f aca="false">MIN($V$5,DH31)</f>
        <v>3.10438802050859</v>
      </c>
      <c r="DJ31" s="112"/>
      <c r="DK31" s="112" t="n">
        <f aca="false">DK30+DK$7/100</f>
        <v>0.46</v>
      </c>
      <c r="DL31" s="112" t="n">
        <f aca="false">DK31</f>
        <v>0.46</v>
      </c>
      <c r="DM31" s="112" t="n">
        <f aca="false">DK31*TAN(RADIANS(DO$7))-(IF($B$4, 9.807, 32.174)*DK31^2)/(2*DN$7^2*COS(RADIANS(DO$7))^2)+$D$7</f>
        <v>3.10438802050859</v>
      </c>
      <c r="DN31" s="123" t="n">
        <f aca="false">MIN($V$5,DM31)</f>
        <v>3.10438802050859</v>
      </c>
      <c r="DO31" s="112"/>
      <c r="DP31" s="112" t="n">
        <f aca="false">DP30+DP$7/100</f>
        <v>0.46</v>
      </c>
      <c r="DQ31" s="122" t="n">
        <f aca="false">DP31-IF($I$3="Forward", $D$9, $G$9)</f>
        <v>0.46</v>
      </c>
      <c r="DR31" s="112" t="n">
        <f aca="false">DP31*TAN(RADIANS(DT$7))-(IF($B$4, 9.807, 32.174)*DP31^2)/(2*DS$7^2*COS(RADIANS(DT$7))^2)+$D$7</f>
        <v>3.10438802050859</v>
      </c>
      <c r="DS31" s="123" t="n">
        <f aca="false">MIN($V$5,DR31)</f>
        <v>3.10438802050859</v>
      </c>
      <c r="DT31" s="112"/>
      <c r="DU31" s="112" t="n">
        <f aca="false">DU30+DU$7/100</f>
        <v>0.46</v>
      </c>
      <c r="DV31" s="122" t="n">
        <f aca="false">DU31+IF($I$3="Forward", $D$9, $G$9)</f>
        <v>0.46</v>
      </c>
      <c r="DW31" s="112" t="n">
        <f aca="false">DU31*TAN(RADIANS(DY$7))-(IF($B$4, 9.807, 32.174)*DU31^2)/(2*DX$7^2*COS(RADIANS(DY$7))^2)+$D$7</f>
        <v>3.10438802050859</v>
      </c>
      <c r="DX31" s="123" t="n">
        <f aca="false">MIN($V$5,DW31)</f>
        <v>3.10438802050859</v>
      </c>
      <c r="DY31" s="112"/>
      <c r="DZ31" s="112" t="n">
        <f aca="false">DZ30+DZ$7/100</f>
        <v>0.46</v>
      </c>
      <c r="EA31" s="112" t="n">
        <f aca="false">DZ31</f>
        <v>0.46</v>
      </c>
      <c r="EB31" s="112" t="n">
        <f aca="false">DZ31*TAN(RADIANS(ED$7))-(IF($B$4, 9.807, 32.174)*DZ31^2)/(2*EC$7^2*COS(RADIANS(ED$7))^2)+$D$7</f>
        <v>3.10438802050859</v>
      </c>
      <c r="EC31" s="123" t="n">
        <f aca="false">MIN($V$5,EB31)</f>
        <v>3.10438802050859</v>
      </c>
      <c r="ED31" s="112"/>
      <c r="EE31" s="112" t="n">
        <f aca="false">EE30+EE$7/100</f>
        <v>0.46</v>
      </c>
      <c r="EF31" s="122" t="n">
        <f aca="false">EE31-IF($I$3="Forward", $D$9, $G$9)</f>
        <v>0.46</v>
      </c>
      <c r="EG31" s="112" t="n">
        <f aca="false">EE31*TAN(RADIANS(EI$7))-(IF($B$4, 9.807, 32.174)*EE31^2)/(2*EH$7^2*COS(RADIANS(EI$7))^2)+$D$7</f>
        <v>3.10438802050859</v>
      </c>
      <c r="EH31" s="123" t="n">
        <f aca="false">MIN($V$5,EG31)</f>
        <v>3.10438802050859</v>
      </c>
      <c r="EI31" s="112"/>
      <c r="EJ31" s="112" t="n">
        <f aca="false">EJ30+EJ$7/100</f>
        <v>0.46</v>
      </c>
      <c r="EK31" s="122" t="n">
        <f aca="false">EJ31+IF($I$3="Forward", $D$9, $G$9)</f>
        <v>0.46</v>
      </c>
      <c r="EL31" s="112" t="n">
        <f aca="false">EJ31*TAN(RADIANS(EN$7))-(IF($B$4, 9.807, 32.174)*EJ31^2)/(2*EM$7^2*COS(RADIANS(EN$7))^2)+$D$7</f>
        <v>3.10438802050859</v>
      </c>
      <c r="EM31" s="123" t="n">
        <f aca="false">MIN($V$5,EL31)</f>
        <v>3.10438802050859</v>
      </c>
      <c r="EN31" s="112"/>
      <c r="EO31" s="112" t="n">
        <f aca="false">EO30+EO$7/100</f>
        <v>0.46</v>
      </c>
      <c r="EP31" s="112" t="n">
        <f aca="false">EO31</f>
        <v>0.46</v>
      </c>
      <c r="EQ31" s="112" t="n">
        <f aca="false">EO31*TAN(RADIANS(ES$7))-(IF($B$4, 9.807, 32.174)*EO31^2)/(2*ER$7^2*COS(RADIANS(ES$7))^2)+$D$7</f>
        <v>3.10438802050859</v>
      </c>
      <c r="ER31" s="123" t="n">
        <f aca="false">MIN($V$5,EQ31)</f>
        <v>3.10438802050859</v>
      </c>
      <c r="ES31" s="112"/>
      <c r="ET31" s="112" t="n">
        <f aca="false">ET30+ET$7/100</f>
        <v>0.46</v>
      </c>
      <c r="EU31" s="122" t="n">
        <f aca="false">ET31-IF($I$3="Forward", $D$9, $G$9)</f>
        <v>0.46</v>
      </c>
      <c r="EV31" s="112" t="n">
        <f aca="false">ET31*TAN(RADIANS(EX$7))-(IF($B$4, 9.807, 32.174)*ET31^2)/(2*EW$7^2*COS(RADIANS(EX$7))^2)+$D$7</f>
        <v>3.10438802050859</v>
      </c>
      <c r="EW31" s="123" t="n">
        <f aca="false">MIN($V$5,EV31)</f>
        <v>3.10438802050859</v>
      </c>
      <c r="EX31" s="112"/>
    </row>
    <row r="32" s="131" customFormat="true" ht="14.45" hidden="false" customHeight="true" outlineLevel="0" collapsed="false">
      <c r="C32" s="137" t="s">
        <v>133</v>
      </c>
      <c r="D32" s="137"/>
      <c r="E32" s="137"/>
      <c r="F32" s="137"/>
      <c r="G32" s="137"/>
      <c r="H32" s="111"/>
      <c r="I32" s="111"/>
      <c r="J32" s="111"/>
      <c r="K32" s="111"/>
      <c r="L32" s="111"/>
      <c r="M32" s="111"/>
      <c r="N32" s="111"/>
      <c r="O32" s="111"/>
      <c r="P32" s="111"/>
      <c r="Q32" s="111"/>
      <c r="R32" s="111"/>
      <c r="S32" s="111"/>
      <c r="T32" s="112" t="n">
        <f aca="false">T31+T$7/100</f>
        <v>0.48</v>
      </c>
      <c r="U32" s="122" t="n">
        <f aca="false">T32+IF($I$3="Forward", $D$9, $G$9)</f>
        <v>0.48</v>
      </c>
      <c r="V32" s="112" t="n">
        <f aca="false">T32*TAN(RADIANS(X$7))-(IF($B$4, 9.807, 32.174)*T32^2)/(2*W$7^2*COS(RADIANS(X$7))^2)+$D$7</f>
        <v>3.19816360779654</v>
      </c>
      <c r="W32" s="123" t="n">
        <f aca="false">MIN($V$5,V32)</f>
        <v>3.19816360779654</v>
      </c>
      <c r="X32" s="112"/>
      <c r="Y32" s="112" t="n">
        <f aca="false">Y31+Y$7/100</f>
        <v>0.48</v>
      </c>
      <c r="Z32" s="112" t="n">
        <f aca="false">Y32</f>
        <v>0.48</v>
      </c>
      <c r="AA32" s="112" t="n">
        <f aca="false">Y32*TAN(RADIANS(AC$7))-(IF($B$4, 9.807, 32.174)*Y32^2)/(2*AB$7^2*COS(RADIANS(AC$7))^2)+$D$7</f>
        <v>3.19816360779654</v>
      </c>
      <c r="AB32" s="123" t="n">
        <f aca="false">MIN($V$5,AA32)</f>
        <v>3.19816360779654</v>
      </c>
      <c r="AC32" s="112"/>
      <c r="AD32" s="112" t="n">
        <f aca="false">AD31+AD$7/100</f>
        <v>0.48</v>
      </c>
      <c r="AE32" s="122" t="n">
        <f aca="false">AD32-IF($I$3="Forward", $D$9, $G$9)</f>
        <v>0.48</v>
      </c>
      <c r="AF32" s="112" t="n">
        <f aca="false">AD32*TAN(RADIANS(AH$7))-(IF($B$4, 9.807, 32.174)*AD32^2)/(2*AG$7^2*COS(RADIANS(AH$7))^2)+$D$7</f>
        <v>3.19816360779654</v>
      </c>
      <c r="AG32" s="123" t="n">
        <f aca="false">MIN($V$5,AF32)</f>
        <v>3.19816360779654</v>
      </c>
      <c r="AH32" s="112"/>
      <c r="AI32" s="112" t="n">
        <f aca="false">AI31+AI$7/100</f>
        <v>0.48</v>
      </c>
      <c r="AJ32" s="122" t="n">
        <f aca="false">AI32+IF($I$3="Forward", $D$9, $G$9)</f>
        <v>0.48</v>
      </c>
      <c r="AK32" s="112" t="n">
        <f aca="false">AI32*TAN(RADIANS(AM$7))-(IF($B$4, 9.807, 32.174)*AI32^2)/(2*AL$7^2*COS(RADIANS(AM$7))^2)+$D$7</f>
        <v>3.19816360779654</v>
      </c>
      <c r="AL32" s="123" t="n">
        <f aca="false">MIN($V$5,AK32)</f>
        <v>3.19816360779654</v>
      </c>
      <c r="AM32" s="112"/>
      <c r="AN32" s="112" t="n">
        <f aca="false">AN31+AN$7/100</f>
        <v>0.48</v>
      </c>
      <c r="AO32" s="112" t="n">
        <f aca="false">AN32</f>
        <v>0.48</v>
      </c>
      <c r="AP32" s="112" t="n">
        <f aca="false">AN32*TAN(RADIANS(AR$7))-(IF($B$4, 9.807, 32.174)*AN32^2)/(2*AQ$7^2*COS(RADIANS(AR$7))^2)+$D$7</f>
        <v>3.19816360779654</v>
      </c>
      <c r="AQ32" s="123" t="n">
        <f aca="false">MIN($V$5,AP32)</f>
        <v>3.19816360779654</v>
      </c>
      <c r="AR32" s="112"/>
      <c r="AS32" s="112" t="n">
        <f aca="false">AS31+AS$7/100</f>
        <v>0.48</v>
      </c>
      <c r="AT32" s="122" t="n">
        <f aca="false">AS32-IF($I$3="Forward", $D$9, $G$9)</f>
        <v>0.48</v>
      </c>
      <c r="AU32" s="112" t="n">
        <f aca="false">AS32*TAN(RADIANS(AW$7))-(IF($B$4, 9.807, 32.174)*AS32^2)/(2*AV$7^2*COS(RADIANS(AW$7))^2)+$D$7</f>
        <v>3.19816360779654</v>
      </c>
      <c r="AV32" s="123" t="n">
        <f aca="false">MIN($V$5,AU32)</f>
        <v>3.19816360779654</v>
      </c>
      <c r="AW32" s="112"/>
      <c r="AX32" s="112" t="n">
        <f aca="false">AX31+AX$7/100</f>
        <v>0.48</v>
      </c>
      <c r="AY32" s="122" t="n">
        <f aca="false">AX32+IF($I$3="Forward", $D$9, $G$9)</f>
        <v>0.48</v>
      </c>
      <c r="AZ32" s="112" t="n">
        <f aca="false">AX32*TAN(RADIANS(BB$7))-(IF($B$4, 9.807, 32.174)*AX32^2)/(2*BA$7^2*COS(RADIANS(BB$7))^2)+$D$7</f>
        <v>3.19816360779654</v>
      </c>
      <c r="BA32" s="123" t="n">
        <f aca="false">MIN($V$5,AZ32)</f>
        <v>3.19816360779654</v>
      </c>
      <c r="BB32" s="112"/>
      <c r="BC32" s="112" t="n">
        <f aca="false">BC31+BC$7/100</f>
        <v>0.48</v>
      </c>
      <c r="BD32" s="112" t="n">
        <f aca="false">BC32</f>
        <v>0.48</v>
      </c>
      <c r="BE32" s="112" t="n">
        <f aca="false">BC32*TAN(RADIANS(BG$7))-(IF($B$4, 9.807, 32.174)*BC32^2)/(2*BF$7^2*COS(RADIANS(BG$7))^2)+$D$7</f>
        <v>3.19816360779654</v>
      </c>
      <c r="BF32" s="123" t="n">
        <f aca="false">MIN($V$5,BE32)</f>
        <v>3.19816360779654</v>
      </c>
      <c r="BG32" s="112"/>
      <c r="BH32" s="112" t="n">
        <f aca="false">BH31+BH$7/100</f>
        <v>0.48</v>
      </c>
      <c r="BI32" s="122" t="n">
        <f aca="false">BH32-IF($I$3="Forward", $D$9, $G$9)</f>
        <v>0.48</v>
      </c>
      <c r="BJ32" s="112" t="n">
        <f aca="false">BH32*TAN(RADIANS(BL$7))-(IF($B$4, 9.807, 32.174)*BH32^2)/(2*BK$7^2*COS(RADIANS(BL$7))^2)+$D$7</f>
        <v>3.19816360779654</v>
      </c>
      <c r="BK32" s="123" t="n">
        <f aca="false">MIN($V$5,BJ32)</f>
        <v>3.19816360779654</v>
      </c>
      <c r="BL32" s="112"/>
      <c r="BM32" s="112" t="n">
        <f aca="false">BM31+BM$7/100</f>
        <v>0.48</v>
      </c>
      <c r="BN32" s="122" t="n">
        <f aca="false">BM32+IF($I$3="Forward", $D$9, $G$9)</f>
        <v>0.48</v>
      </c>
      <c r="BO32" s="112" t="n">
        <f aca="false">BM32*TAN(RADIANS(BQ$7))-(IF($B$4, 9.807, 32.174)*BM32^2)/(2*BP$7^2*COS(RADIANS(BQ$7))^2)+$D$7</f>
        <v>3.19816360779654</v>
      </c>
      <c r="BP32" s="123" t="n">
        <f aca="false">MIN($V$5,BO32)</f>
        <v>3.19816360779654</v>
      </c>
      <c r="BQ32" s="112"/>
      <c r="BR32" s="112" t="n">
        <f aca="false">BR31+BR$7/100</f>
        <v>0.48</v>
      </c>
      <c r="BS32" s="112" t="n">
        <f aca="false">BR32</f>
        <v>0.48</v>
      </c>
      <c r="BT32" s="112" t="n">
        <f aca="false">BR32*TAN(RADIANS(BV$7))-(IF($B$4, 9.807, 32.174)*BR32^2)/(2*BU$7^2*COS(RADIANS(BV$7))^2)+$D$7</f>
        <v>3.19816360779654</v>
      </c>
      <c r="BU32" s="123" t="n">
        <f aca="false">MIN($V$5,BT32)</f>
        <v>3.19816360779654</v>
      </c>
      <c r="BV32" s="112"/>
      <c r="BW32" s="112" t="n">
        <f aca="false">BW31+BW$7/100</f>
        <v>0.48</v>
      </c>
      <c r="BX32" s="122" t="n">
        <f aca="false">BW32-IF($I$3="Forward", $D$9, $G$9)</f>
        <v>0.48</v>
      </c>
      <c r="BY32" s="112" t="n">
        <f aca="false">BW32*TAN(RADIANS(CA$7))-(IF($B$4, 9.807, 32.174)*BW32^2)/(2*BZ$7^2*COS(RADIANS(CA$7))^2)+$D$7</f>
        <v>3.19816360779654</v>
      </c>
      <c r="BZ32" s="123" t="n">
        <f aca="false">MIN($V$5,BY32)</f>
        <v>3.19816360779654</v>
      </c>
      <c r="CA32" s="112"/>
      <c r="CB32" s="112" t="n">
        <f aca="false">CB31+CB$7/100</f>
        <v>0.48</v>
      </c>
      <c r="CC32" s="122" t="n">
        <f aca="false">CB32+IF($I$3="Forward", $D$9, $G$9)</f>
        <v>0.48</v>
      </c>
      <c r="CD32" s="112" t="n">
        <f aca="false">CB32*TAN(RADIANS(CF$7))-(IF($B$4, 9.807, 32.174)*CB32^2)/(2*CE$7^2*COS(RADIANS(CF$7))^2)+$D$7</f>
        <v>3.19816360779654</v>
      </c>
      <c r="CE32" s="123" t="n">
        <f aca="false">MIN($V$5,CD32)</f>
        <v>3.19816360779654</v>
      </c>
      <c r="CF32" s="112"/>
      <c r="CG32" s="124" t="n">
        <f aca="false">CG31+CG$7/100</f>
        <v>0.48</v>
      </c>
      <c r="CH32" s="124" t="n">
        <f aca="false">CG32</f>
        <v>0.48</v>
      </c>
      <c r="CI32" s="124" t="n">
        <f aca="false">CG32*TAN(RADIANS(CK$7))-(IF($B$4, 9.807, 32.174)*CG32^2)/(2*CJ$7^2*COS(RADIANS(CK$7))^2)+$D$7</f>
        <v>3.19816360779654</v>
      </c>
      <c r="CJ32" s="123" t="n">
        <f aca="false">MIN($V$5,CI32)</f>
        <v>3.19816360779654</v>
      </c>
      <c r="CK32" s="124"/>
      <c r="CL32" s="112" t="n">
        <f aca="false">CL31+CL$7/100</f>
        <v>0.48</v>
      </c>
      <c r="CM32" s="122" t="n">
        <f aca="false">CL32-IF($I$3="Forward", $D$9, $G$9)</f>
        <v>0.48</v>
      </c>
      <c r="CN32" s="112" t="n">
        <f aca="false">CL32*TAN(RADIANS(CP$7))-(IF($B$4, 9.807, 32.174)*CL32^2)/(2*CO$7^2*COS(RADIANS(CP$7))^2)+$D$7</f>
        <v>3.19816360779654</v>
      </c>
      <c r="CO32" s="123" t="n">
        <f aca="false">MIN($V$5,CN32)</f>
        <v>3.19816360779654</v>
      </c>
      <c r="CP32" s="112"/>
      <c r="CQ32" s="112" t="n">
        <f aca="false">CQ31+CQ$7/100</f>
        <v>0.48</v>
      </c>
      <c r="CR32" s="122" t="n">
        <f aca="false">CQ32+IF($I$3="Forward", $D$9, $G$9)</f>
        <v>0.48</v>
      </c>
      <c r="CS32" s="112" t="n">
        <f aca="false">CQ32*TAN(RADIANS(CU$7))-(IF($B$4, 9.807, 32.174)*CQ32^2)/(2*CT$7^2*COS(RADIANS(CU$7))^2)+$D$7</f>
        <v>3.19816360779654</v>
      </c>
      <c r="CT32" s="123" t="n">
        <f aca="false">MIN($V$5,CS32)</f>
        <v>3.19816360779654</v>
      </c>
      <c r="CU32" s="112"/>
      <c r="CV32" s="112" t="n">
        <f aca="false">CV31+CV$7/100</f>
        <v>0.48</v>
      </c>
      <c r="CW32" s="112" t="n">
        <f aca="false">CV32</f>
        <v>0.48</v>
      </c>
      <c r="CX32" s="112" t="n">
        <f aca="false">CV32*TAN(RADIANS(CZ$7))-(IF($B$4, 9.807, 32.174)*CV32^2)/(2*CY$7^2*COS(RADIANS(CZ$7))^2)+$D$7</f>
        <v>3.19816360779654</v>
      </c>
      <c r="CY32" s="123" t="n">
        <f aca="false">MIN($V$5,CX32)</f>
        <v>3.19816360779654</v>
      </c>
      <c r="CZ32" s="112"/>
      <c r="DA32" s="112" t="n">
        <f aca="false">DA31+DA$7/100</f>
        <v>0.48</v>
      </c>
      <c r="DB32" s="122" t="n">
        <f aca="false">DA32-IF($I$3="Forward", $D$9, $G$9)</f>
        <v>0.48</v>
      </c>
      <c r="DC32" s="112" t="n">
        <f aca="false">DA32*TAN(RADIANS(DE$7))-(IF($B$4, 9.807, 32.174)*DA32^2)/(2*DD$7^2*COS(RADIANS(DE$7))^2)+$D$7</f>
        <v>3.19816360779654</v>
      </c>
      <c r="DD32" s="123" t="n">
        <f aca="false">MIN($V$5,DC32)</f>
        <v>3.19816360779654</v>
      </c>
      <c r="DE32" s="112"/>
      <c r="DF32" s="112" t="n">
        <f aca="false">DF31+DF$7/100</f>
        <v>0.48</v>
      </c>
      <c r="DG32" s="122" t="n">
        <f aca="false">DF32+IF($I$3="Forward", $D$9, $G$9)</f>
        <v>0.48</v>
      </c>
      <c r="DH32" s="112" t="n">
        <f aca="false">DF32*TAN(RADIANS(DJ$7))-(IF($B$4, 9.807, 32.174)*DF32^2)/(2*DI$7^2*COS(RADIANS(DJ$7))^2)+$D$7</f>
        <v>3.19816360779654</v>
      </c>
      <c r="DI32" s="123" t="n">
        <f aca="false">MIN($V$5,DH32)</f>
        <v>3.19816360779654</v>
      </c>
      <c r="DJ32" s="112"/>
      <c r="DK32" s="112" t="n">
        <f aca="false">DK31+DK$7/100</f>
        <v>0.48</v>
      </c>
      <c r="DL32" s="112" t="n">
        <f aca="false">DK32</f>
        <v>0.48</v>
      </c>
      <c r="DM32" s="112" t="n">
        <f aca="false">DK32*TAN(RADIANS(DO$7))-(IF($B$4, 9.807, 32.174)*DK32^2)/(2*DN$7^2*COS(RADIANS(DO$7))^2)+$D$7</f>
        <v>3.19816360779654</v>
      </c>
      <c r="DN32" s="123" t="n">
        <f aca="false">MIN($V$5,DM32)</f>
        <v>3.19816360779654</v>
      </c>
      <c r="DO32" s="112"/>
      <c r="DP32" s="112" t="n">
        <f aca="false">DP31+DP$7/100</f>
        <v>0.48</v>
      </c>
      <c r="DQ32" s="122" t="n">
        <f aca="false">DP32-IF($I$3="Forward", $D$9, $G$9)</f>
        <v>0.48</v>
      </c>
      <c r="DR32" s="112" t="n">
        <f aca="false">DP32*TAN(RADIANS(DT$7))-(IF($B$4, 9.807, 32.174)*DP32^2)/(2*DS$7^2*COS(RADIANS(DT$7))^2)+$D$7</f>
        <v>3.19816360779654</v>
      </c>
      <c r="DS32" s="123" t="n">
        <f aca="false">MIN($V$5,DR32)</f>
        <v>3.19816360779654</v>
      </c>
      <c r="DT32" s="112"/>
      <c r="DU32" s="112" t="n">
        <f aca="false">DU31+DU$7/100</f>
        <v>0.48</v>
      </c>
      <c r="DV32" s="122" t="n">
        <f aca="false">DU32+IF($I$3="Forward", $D$9, $G$9)</f>
        <v>0.48</v>
      </c>
      <c r="DW32" s="112" t="n">
        <f aca="false">DU32*TAN(RADIANS(DY$7))-(IF($B$4, 9.807, 32.174)*DU32^2)/(2*DX$7^2*COS(RADIANS(DY$7))^2)+$D$7</f>
        <v>3.19816360779654</v>
      </c>
      <c r="DX32" s="123" t="n">
        <f aca="false">MIN($V$5,DW32)</f>
        <v>3.19816360779654</v>
      </c>
      <c r="DY32" s="112"/>
      <c r="DZ32" s="112" t="n">
        <f aca="false">DZ31+DZ$7/100</f>
        <v>0.48</v>
      </c>
      <c r="EA32" s="112" t="n">
        <f aca="false">DZ32</f>
        <v>0.48</v>
      </c>
      <c r="EB32" s="112" t="n">
        <f aca="false">DZ32*TAN(RADIANS(ED$7))-(IF($B$4, 9.807, 32.174)*DZ32^2)/(2*EC$7^2*COS(RADIANS(ED$7))^2)+$D$7</f>
        <v>3.19816360779654</v>
      </c>
      <c r="EC32" s="123" t="n">
        <f aca="false">MIN($V$5,EB32)</f>
        <v>3.19816360779654</v>
      </c>
      <c r="ED32" s="112"/>
      <c r="EE32" s="112" t="n">
        <f aca="false">EE31+EE$7/100</f>
        <v>0.48</v>
      </c>
      <c r="EF32" s="122" t="n">
        <f aca="false">EE32-IF($I$3="Forward", $D$9, $G$9)</f>
        <v>0.48</v>
      </c>
      <c r="EG32" s="112" t="n">
        <f aca="false">EE32*TAN(RADIANS(EI$7))-(IF($B$4, 9.807, 32.174)*EE32^2)/(2*EH$7^2*COS(RADIANS(EI$7))^2)+$D$7</f>
        <v>3.19816360779654</v>
      </c>
      <c r="EH32" s="123" t="n">
        <f aca="false">MIN($V$5,EG32)</f>
        <v>3.19816360779654</v>
      </c>
      <c r="EI32" s="112"/>
      <c r="EJ32" s="112" t="n">
        <f aca="false">EJ31+EJ$7/100</f>
        <v>0.48</v>
      </c>
      <c r="EK32" s="122" t="n">
        <f aca="false">EJ32+IF($I$3="Forward", $D$9, $G$9)</f>
        <v>0.48</v>
      </c>
      <c r="EL32" s="112" t="n">
        <f aca="false">EJ32*TAN(RADIANS(EN$7))-(IF($B$4, 9.807, 32.174)*EJ32^2)/(2*EM$7^2*COS(RADIANS(EN$7))^2)+$D$7</f>
        <v>3.19816360779654</v>
      </c>
      <c r="EM32" s="123" t="n">
        <f aca="false">MIN($V$5,EL32)</f>
        <v>3.19816360779654</v>
      </c>
      <c r="EN32" s="112"/>
      <c r="EO32" s="112" t="n">
        <f aca="false">EO31+EO$7/100</f>
        <v>0.48</v>
      </c>
      <c r="EP32" s="112" t="n">
        <f aca="false">EO32</f>
        <v>0.48</v>
      </c>
      <c r="EQ32" s="112" t="n">
        <f aca="false">EO32*TAN(RADIANS(ES$7))-(IF($B$4, 9.807, 32.174)*EO32^2)/(2*ER$7^2*COS(RADIANS(ES$7))^2)+$D$7</f>
        <v>3.19816360779654</v>
      </c>
      <c r="ER32" s="123" t="n">
        <f aca="false">MIN($V$5,EQ32)</f>
        <v>3.19816360779654</v>
      </c>
      <c r="ES32" s="112"/>
      <c r="ET32" s="112" t="n">
        <f aca="false">ET31+ET$7/100</f>
        <v>0.48</v>
      </c>
      <c r="EU32" s="122" t="n">
        <f aca="false">ET32-IF($I$3="Forward", $D$9, $G$9)</f>
        <v>0.48</v>
      </c>
      <c r="EV32" s="112" t="n">
        <f aca="false">ET32*TAN(RADIANS(EX$7))-(IF($B$4, 9.807, 32.174)*ET32^2)/(2*EW$7^2*COS(RADIANS(EX$7))^2)+$D$7</f>
        <v>3.19816360779654</v>
      </c>
      <c r="EW32" s="123" t="n">
        <f aca="false">MIN($V$5,EV32)</f>
        <v>3.19816360779654</v>
      </c>
      <c r="EX32" s="112"/>
    </row>
    <row r="33" s="131" customFormat="true" ht="15" hidden="false" customHeight="true" outlineLevel="0" collapsed="false">
      <c r="C33" s="137"/>
      <c r="D33" s="137"/>
      <c r="E33" s="137"/>
      <c r="F33" s="137"/>
      <c r="G33" s="137"/>
      <c r="T33" s="112" t="n">
        <f aca="false">T32+T$7/100</f>
        <v>0.5</v>
      </c>
      <c r="U33" s="122" t="n">
        <f aca="false">T33+IF($I$3="Forward", $D$9, $G$9)</f>
        <v>0.5</v>
      </c>
      <c r="V33" s="112" t="n">
        <f aca="false">T33*TAN(RADIANS(X$7))-(IF($B$4, 9.807, 32.174)*T33^2)/(2*W$7^2*COS(RADIANS(X$7))^2)+$D$7</f>
        <v>3.28923068235664</v>
      </c>
      <c r="W33" s="123" t="n">
        <f aca="false">MIN($V$5,V33)</f>
        <v>3.28923068235664</v>
      </c>
      <c r="X33" s="112"/>
      <c r="Y33" s="112" t="n">
        <f aca="false">Y32+Y$7/100</f>
        <v>0.5</v>
      </c>
      <c r="Z33" s="112" t="n">
        <f aca="false">Y33</f>
        <v>0.5</v>
      </c>
      <c r="AA33" s="112" t="n">
        <f aca="false">Y33*TAN(RADIANS(AC$7))-(IF($B$4, 9.807, 32.174)*Y33^2)/(2*AB$7^2*COS(RADIANS(AC$7))^2)+$D$7</f>
        <v>3.28923068235664</v>
      </c>
      <c r="AB33" s="123" t="n">
        <f aca="false">MIN($V$5,AA33)</f>
        <v>3.28923068235664</v>
      </c>
      <c r="AC33" s="112"/>
      <c r="AD33" s="112" t="n">
        <f aca="false">AD32+AD$7/100</f>
        <v>0.5</v>
      </c>
      <c r="AE33" s="122" t="n">
        <f aca="false">AD33-IF($I$3="Forward", $D$9, $G$9)</f>
        <v>0.5</v>
      </c>
      <c r="AF33" s="112" t="n">
        <f aca="false">AD33*TAN(RADIANS(AH$7))-(IF($B$4, 9.807, 32.174)*AD33^2)/(2*AG$7^2*COS(RADIANS(AH$7))^2)+$D$7</f>
        <v>3.28923068235664</v>
      </c>
      <c r="AG33" s="123" t="n">
        <f aca="false">MIN($V$5,AF33)</f>
        <v>3.28923068235664</v>
      </c>
      <c r="AH33" s="112"/>
      <c r="AI33" s="112" t="n">
        <f aca="false">AI32+AI$7/100</f>
        <v>0.5</v>
      </c>
      <c r="AJ33" s="122" t="n">
        <f aca="false">AI33+IF($I$3="Forward", $D$9, $G$9)</f>
        <v>0.5</v>
      </c>
      <c r="AK33" s="112" t="n">
        <f aca="false">AI33*TAN(RADIANS(AM$7))-(IF($B$4, 9.807, 32.174)*AI33^2)/(2*AL$7^2*COS(RADIANS(AM$7))^2)+$D$7</f>
        <v>3.28923068235664</v>
      </c>
      <c r="AL33" s="123" t="n">
        <f aca="false">MIN($V$5,AK33)</f>
        <v>3.28923068235664</v>
      </c>
      <c r="AM33" s="112"/>
      <c r="AN33" s="112" t="n">
        <f aca="false">AN32+AN$7/100</f>
        <v>0.5</v>
      </c>
      <c r="AO33" s="112" t="n">
        <f aca="false">AN33</f>
        <v>0.5</v>
      </c>
      <c r="AP33" s="112" t="n">
        <f aca="false">AN33*TAN(RADIANS(AR$7))-(IF($B$4, 9.807, 32.174)*AN33^2)/(2*AQ$7^2*COS(RADIANS(AR$7))^2)+$D$7</f>
        <v>3.28923068235664</v>
      </c>
      <c r="AQ33" s="123" t="n">
        <f aca="false">MIN($V$5,AP33)</f>
        <v>3.28923068235664</v>
      </c>
      <c r="AR33" s="112"/>
      <c r="AS33" s="112" t="n">
        <f aca="false">AS32+AS$7/100</f>
        <v>0.5</v>
      </c>
      <c r="AT33" s="122" t="n">
        <f aca="false">AS33-IF($I$3="Forward", $D$9, $G$9)</f>
        <v>0.5</v>
      </c>
      <c r="AU33" s="112" t="n">
        <f aca="false">AS33*TAN(RADIANS(AW$7))-(IF($B$4, 9.807, 32.174)*AS33^2)/(2*AV$7^2*COS(RADIANS(AW$7))^2)+$D$7</f>
        <v>3.28923068235664</v>
      </c>
      <c r="AV33" s="123" t="n">
        <f aca="false">MIN($V$5,AU33)</f>
        <v>3.28923068235664</v>
      </c>
      <c r="AW33" s="112"/>
      <c r="AX33" s="112" t="n">
        <f aca="false">AX32+AX$7/100</f>
        <v>0.5</v>
      </c>
      <c r="AY33" s="122" t="n">
        <f aca="false">AX33+IF($I$3="Forward", $D$9, $G$9)</f>
        <v>0.5</v>
      </c>
      <c r="AZ33" s="112" t="n">
        <f aca="false">AX33*TAN(RADIANS(BB$7))-(IF($B$4, 9.807, 32.174)*AX33^2)/(2*BA$7^2*COS(RADIANS(BB$7))^2)+$D$7</f>
        <v>3.28923068235664</v>
      </c>
      <c r="BA33" s="123" t="n">
        <f aca="false">MIN($V$5,AZ33)</f>
        <v>3.28923068235664</v>
      </c>
      <c r="BB33" s="112"/>
      <c r="BC33" s="112" t="n">
        <f aca="false">BC32+BC$7/100</f>
        <v>0.5</v>
      </c>
      <c r="BD33" s="112" t="n">
        <f aca="false">BC33</f>
        <v>0.5</v>
      </c>
      <c r="BE33" s="112" t="n">
        <f aca="false">BC33*TAN(RADIANS(BG$7))-(IF($B$4, 9.807, 32.174)*BC33^2)/(2*BF$7^2*COS(RADIANS(BG$7))^2)+$D$7</f>
        <v>3.28923068235664</v>
      </c>
      <c r="BF33" s="123" t="n">
        <f aca="false">MIN($V$5,BE33)</f>
        <v>3.28923068235664</v>
      </c>
      <c r="BG33" s="112"/>
      <c r="BH33" s="112" t="n">
        <f aca="false">BH32+BH$7/100</f>
        <v>0.5</v>
      </c>
      <c r="BI33" s="122" t="n">
        <f aca="false">BH33-IF($I$3="Forward", $D$9, $G$9)</f>
        <v>0.5</v>
      </c>
      <c r="BJ33" s="112" t="n">
        <f aca="false">BH33*TAN(RADIANS(BL$7))-(IF($B$4, 9.807, 32.174)*BH33^2)/(2*BK$7^2*COS(RADIANS(BL$7))^2)+$D$7</f>
        <v>3.28923068235664</v>
      </c>
      <c r="BK33" s="123" t="n">
        <f aca="false">MIN($V$5,BJ33)</f>
        <v>3.28923068235664</v>
      </c>
      <c r="BL33" s="112"/>
      <c r="BM33" s="112" t="n">
        <f aca="false">BM32+BM$7/100</f>
        <v>0.5</v>
      </c>
      <c r="BN33" s="122" t="n">
        <f aca="false">BM33+IF($I$3="Forward", $D$9, $G$9)</f>
        <v>0.5</v>
      </c>
      <c r="BO33" s="112" t="n">
        <f aca="false">BM33*TAN(RADIANS(BQ$7))-(IF($B$4, 9.807, 32.174)*BM33^2)/(2*BP$7^2*COS(RADIANS(BQ$7))^2)+$D$7</f>
        <v>3.28923068235664</v>
      </c>
      <c r="BP33" s="123" t="n">
        <f aca="false">MIN($V$5,BO33)</f>
        <v>3.28923068235664</v>
      </c>
      <c r="BQ33" s="112"/>
      <c r="BR33" s="112" t="n">
        <f aca="false">BR32+BR$7/100</f>
        <v>0.5</v>
      </c>
      <c r="BS33" s="112" t="n">
        <f aca="false">BR33</f>
        <v>0.5</v>
      </c>
      <c r="BT33" s="112" t="n">
        <f aca="false">BR33*TAN(RADIANS(BV$7))-(IF($B$4, 9.807, 32.174)*BR33^2)/(2*BU$7^2*COS(RADIANS(BV$7))^2)+$D$7</f>
        <v>3.28923068235664</v>
      </c>
      <c r="BU33" s="123" t="n">
        <f aca="false">MIN($V$5,BT33)</f>
        <v>3.28923068235664</v>
      </c>
      <c r="BV33" s="112"/>
      <c r="BW33" s="112" t="n">
        <f aca="false">BW32+BW$7/100</f>
        <v>0.5</v>
      </c>
      <c r="BX33" s="122" t="n">
        <f aca="false">BW33-IF($I$3="Forward", $D$9, $G$9)</f>
        <v>0.5</v>
      </c>
      <c r="BY33" s="112" t="n">
        <f aca="false">BW33*TAN(RADIANS(CA$7))-(IF($B$4, 9.807, 32.174)*BW33^2)/(2*BZ$7^2*COS(RADIANS(CA$7))^2)+$D$7</f>
        <v>3.28923068235664</v>
      </c>
      <c r="BZ33" s="123" t="n">
        <f aca="false">MIN($V$5,BY33)</f>
        <v>3.28923068235664</v>
      </c>
      <c r="CA33" s="112"/>
      <c r="CB33" s="112" t="n">
        <f aca="false">CB32+CB$7/100</f>
        <v>0.5</v>
      </c>
      <c r="CC33" s="122" t="n">
        <f aca="false">CB33+IF($I$3="Forward", $D$9, $G$9)</f>
        <v>0.5</v>
      </c>
      <c r="CD33" s="112" t="n">
        <f aca="false">CB33*TAN(RADIANS(CF$7))-(IF($B$4, 9.807, 32.174)*CB33^2)/(2*CE$7^2*COS(RADIANS(CF$7))^2)+$D$7</f>
        <v>3.28923068235664</v>
      </c>
      <c r="CE33" s="123" t="n">
        <f aca="false">MIN($V$5,CD33)</f>
        <v>3.28923068235664</v>
      </c>
      <c r="CF33" s="112"/>
      <c r="CG33" s="124" t="n">
        <f aca="false">CG32+CG$7/100</f>
        <v>0.5</v>
      </c>
      <c r="CH33" s="124" t="n">
        <f aca="false">CG33</f>
        <v>0.5</v>
      </c>
      <c r="CI33" s="124" t="n">
        <f aca="false">CG33*TAN(RADIANS(CK$7))-(IF($B$4, 9.807, 32.174)*CG33^2)/(2*CJ$7^2*COS(RADIANS(CK$7))^2)+$D$7</f>
        <v>3.28923068235664</v>
      </c>
      <c r="CJ33" s="123" t="n">
        <f aca="false">MIN($V$5,CI33)</f>
        <v>3.28923068235664</v>
      </c>
      <c r="CK33" s="124"/>
      <c r="CL33" s="112" t="n">
        <f aca="false">CL32+CL$7/100</f>
        <v>0.5</v>
      </c>
      <c r="CM33" s="122" t="n">
        <f aca="false">CL33-IF($I$3="Forward", $D$9, $G$9)</f>
        <v>0.5</v>
      </c>
      <c r="CN33" s="112" t="n">
        <f aca="false">CL33*TAN(RADIANS(CP$7))-(IF($B$4, 9.807, 32.174)*CL33^2)/(2*CO$7^2*COS(RADIANS(CP$7))^2)+$D$7</f>
        <v>3.28923068235664</v>
      </c>
      <c r="CO33" s="123" t="n">
        <f aca="false">MIN($V$5,CN33)</f>
        <v>3.28923068235664</v>
      </c>
      <c r="CP33" s="112"/>
      <c r="CQ33" s="112" t="n">
        <f aca="false">CQ32+CQ$7/100</f>
        <v>0.5</v>
      </c>
      <c r="CR33" s="122" t="n">
        <f aca="false">CQ33+IF($I$3="Forward", $D$9, $G$9)</f>
        <v>0.5</v>
      </c>
      <c r="CS33" s="112" t="n">
        <f aca="false">CQ33*TAN(RADIANS(CU$7))-(IF($B$4, 9.807, 32.174)*CQ33^2)/(2*CT$7^2*COS(RADIANS(CU$7))^2)+$D$7</f>
        <v>3.28923068235664</v>
      </c>
      <c r="CT33" s="123" t="n">
        <f aca="false">MIN($V$5,CS33)</f>
        <v>3.28923068235664</v>
      </c>
      <c r="CU33" s="112"/>
      <c r="CV33" s="112" t="n">
        <f aca="false">CV32+CV$7/100</f>
        <v>0.5</v>
      </c>
      <c r="CW33" s="112" t="n">
        <f aca="false">CV33</f>
        <v>0.5</v>
      </c>
      <c r="CX33" s="112" t="n">
        <f aca="false">CV33*TAN(RADIANS(CZ$7))-(IF($B$4, 9.807, 32.174)*CV33^2)/(2*CY$7^2*COS(RADIANS(CZ$7))^2)+$D$7</f>
        <v>3.28923068235664</v>
      </c>
      <c r="CY33" s="123" t="n">
        <f aca="false">MIN($V$5,CX33)</f>
        <v>3.28923068235664</v>
      </c>
      <c r="CZ33" s="112"/>
      <c r="DA33" s="112" t="n">
        <f aca="false">DA32+DA$7/100</f>
        <v>0.5</v>
      </c>
      <c r="DB33" s="122" t="n">
        <f aca="false">DA33-IF($I$3="Forward", $D$9, $G$9)</f>
        <v>0.5</v>
      </c>
      <c r="DC33" s="112" t="n">
        <f aca="false">DA33*TAN(RADIANS(DE$7))-(IF($B$4, 9.807, 32.174)*DA33^2)/(2*DD$7^2*COS(RADIANS(DE$7))^2)+$D$7</f>
        <v>3.28923068235664</v>
      </c>
      <c r="DD33" s="123" t="n">
        <f aca="false">MIN($V$5,DC33)</f>
        <v>3.28923068235664</v>
      </c>
      <c r="DE33" s="112"/>
      <c r="DF33" s="112" t="n">
        <f aca="false">DF32+DF$7/100</f>
        <v>0.5</v>
      </c>
      <c r="DG33" s="122" t="n">
        <f aca="false">DF33+IF($I$3="Forward", $D$9, $G$9)</f>
        <v>0.5</v>
      </c>
      <c r="DH33" s="112" t="n">
        <f aca="false">DF33*TAN(RADIANS(DJ$7))-(IF($B$4, 9.807, 32.174)*DF33^2)/(2*DI$7^2*COS(RADIANS(DJ$7))^2)+$D$7</f>
        <v>3.28923068235664</v>
      </c>
      <c r="DI33" s="123" t="n">
        <f aca="false">MIN($V$5,DH33)</f>
        <v>3.28923068235664</v>
      </c>
      <c r="DJ33" s="112"/>
      <c r="DK33" s="112" t="n">
        <f aca="false">DK32+DK$7/100</f>
        <v>0.5</v>
      </c>
      <c r="DL33" s="112" t="n">
        <f aca="false">DK33</f>
        <v>0.5</v>
      </c>
      <c r="DM33" s="112" t="n">
        <f aca="false">DK33*TAN(RADIANS(DO$7))-(IF($B$4, 9.807, 32.174)*DK33^2)/(2*DN$7^2*COS(RADIANS(DO$7))^2)+$D$7</f>
        <v>3.28923068235664</v>
      </c>
      <c r="DN33" s="123" t="n">
        <f aca="false">MIN($V$5,DM33)</f>
        <v>3.28923068235664</v>
      </c>
      <c r="DO33" s="112"/>
      <c r="DP33" s="112" t="n">
        <f aca="false">DP32+DP$7/100</f>
        <v>0.5</v>
      </c>
      <c r="DQ33" s="122" t="n">
        <f aca="false">DP33-IF($I$3="Forward", $D$9, $G$9)</f>
        <v>0.5</v>
      </c>
      <c r="DR33" s="112" t="n">
        <f aca="false">DP33*TAN(RADIANS(DT$7))-(IF($B$4, 9.807, 32.174)*DP33^2)/(2*DS$7^2*COS(RADIANS(DT$7))^2)+$D$7</f>
        <v>3.28923068235664</v>
      </c>
      <c r="DS33" s="123" t="n">
        <f aca="false">MIN($V$5,DR33)</f>
        <v>3.28923068235664</v>
      </c>
      <c r="DT33" s="112"/>
      <c r="DU33" s="112" t="n">
        <f aca="false">DU32+DU$7/100</f>
        <v>0.5</v>
      </c>
      <c r="DV33" s="122" t="n">
        <f aca="false">DU33+IF($I$3="Forward", $D$9, $G$9)</f>
        <v>0.5</v>
      </c>
      <c r="DW33" s="112" t="n">
        <f aca="false">DU33*TAN(RADIANS(DY$7))-(IF($B$4, 9.807, 32.174)*DU33^2)/(2*DX$7^2*COS(RADIANS(DY$7))^2)+$D$7</f>
        <v>3.28923068235664</v>
      </c>
      <c r="DX33" s="123" t="n">
        <f aca="false">MIN($V$5,DW33)</f>
        <v>3.28923068235664</v>
      </c>
      <c r="DY33" s="112"/>
      <c r="DZ33" s="112" t="n">
        <f aca="false">DZ32+DZ$7/100</f>
        <v>0.5</v>
      </c>
      <c r="EA33" s="112" t="n">
        <f aca="false">DZ33</f>
        <v>0.5</v>
      </c>
      <c r="EB33" s="112" t="n">
        <f aca="false">DZ33*TAN(RADIANS(ED$7))-(IF($B$4, 9.807, 32.174)*DZ33^2)/(2*EC$7^2*COS(RADIANS(ED$7))^2)+$D$7</f>
        <v>3.28923068235664</v>
      </c>
      <c r="EC33" s="123" t="n">
        <f aca="false">MIN($V$5,EB33)</f>
        <v>3.28923068235664</v>
      </c>
      <c r="ED33" s="112"/>
      <c r="EE33" s="112" t="n">
        <f aca="false">EE32+EE$7/100</f>
        <v>0.5</v>
      </c>
      <c r="EF33" s="122" t="n">
        <f aca="false">EE33-IF($I$3="Forward", $D$9, $G$9)</f>
        <v>0.5</v>
      </c>
      <c r="EG33" s="112" t="n">
        <f aca="false">EE33*TAN(RADIANS(EI$7))-(IF($B$4, 9.807, 32.174)*EE33^2)/(2*EH$7^2*COS(RADIANS(EI$7))^2)+$D$7</f>
        <v>3.28923068235664</v>
      </c>
      <c r="EH33" s="123" t="n">
        <f aca="false">MIN($V$5,EG33)</f>
        <v>3.28923068235664</v>
      </c>
      <c r="EI33" s="112"/>
      <c r="EJ33" s="112" t="n">
        <f aca="false">EJ32+EJ$7/100</f>
        <v>0.5</v>
      </c>
      <c r="EK33" s="122" t="n">
        <f aca="false">EJ33+IF($I$3="Forward", $D$9, $G$9)</f>
        <v>0.5</v>
      </c>
      <c r="EL33" s="112" t="n">
        <f aca="false">EJ33*TAN(RADIANS(EN$7))-(IF($B$4, 9.807, 32.174)*EJ33^2)/(2*EM$7^2*COS(RADIANS(EN$7))^2)+$D$7</f>
        <v>3.28923068235664</v>
      </c>
      <c r="EM33" s="123" t="n">
        <f aca="false">MIN($V$5,EL33)</f>
        <v>3.28923068235664</v>
      </c>
      <c r="EN33" s="112"/>
      <c r="EO33" s="112" t="n">
        <f aca="false">EO32+EO$7/100</f>
        <v>0.5</v>
      </c>
      <c r="EP33" s="112" t="n">
        <f aca="false">EO33</f>
        <v>0.5</v>
      </c>
      <c r="EQ33" s="112" t="n">
        <f aca="false">EO33*TAN(RADIANS(ES$7))-(IF($B$4, 9.807, 32.174)*EO33^2)/(2*ER$7^2*COS(RADIANS(ES$7))^2)+$D$7</f>
        <v>3.28923068235664</v>
      </c>
      <c r="ER33" s="123" t="n">
        <f aca="false">MIN($V$5,EQ33)</f>
        <v>3.28923068235664</v>
      </c>
      <c r="ES33" s="112"/>
      <c r="ET33" s="112" t="n">
        <f aca="false">ET32+ET$7/100</f>
        <v>0.5</v>
      </c>
      <c r="EU33" s="122" t="n">
        <f aca="false">ET33-IF($I$3="Forward", $D$9, $G$9)</f>
        <v>0.5</v>
      </c>
      <c r="EV33" s="112" t="n">
        <f aca="false">ET33*TAN(RADIANS(EX$7))-(IF($B$4, 9.807, 32.174)*ET33^2)/(2*EW$7^2*COS(RADIANS(EX$7))^2)+$D$7</f>
        <v>3.28923068235664</v>
      </c>
      <c r="EW33" s="123" t="n">
        <f aca="false">MIN($V$5,EV33)</f>
        <v>3.28923068235664</v>
      </c>
      <c r="EX33" s="112"/>
    </row>
    <row r="34" s="131" customFormat="true" ht="15" hidden="false" customHeight="true" outlineLevel="0" collapsed="false">
      <c r="C34" s="137"/>
      <c r="D34" s="137"/>
      <c r="E34" s="137"/>
      <c r="F34" s="137"/>
      <c r="G34" s="137"/>
      <c r="T34" s="112" t="n">
        <f aca="false">T33+T$7/100</f>
        <v>0.52</v>
      </c>
      <c r="U34" s="122" t="n">
        <f aca="false">T34+IF($I$3="Forward", $D$9, $G$9)</f>
        <v>0.52</v>
      </c>
      <c r="V34" s="112" t="n">
        <f aca="false">T34*TAN(RADIANS(X$7))-(IF($B$4, 9.807, 32.174)*T34^2)/(2*W$7^2*COS(RADIANS(X$7))^2)+$D$7</f>
        <v>3.3775892441889</v>
      </c>
      <c r="W34" s="123" t="n">
        <f aca="false">MIN($V$5,V34)</f>
        <v>3.3775892441889</v>
      </c>
      <c r="X34" s="112"/>
      <c r="Y34" s="112" t="n">
        <f aca="false">Y33+Y$7/100</f>
        <v>0.52</v>
      </c>
      <c r="Z34" s="112" t="n">
        <f aca="false">Y34</f>
        <v>0.52</v>
      </c>
      <c r="AA34" s="112" t="n">
        <f aca="false">Y34*TAN(RADIANS(AC$7))-(IF($B$4, 9.807, 32.174)*Y34^2)/(2*AB$7^2*COS(RADIANS(AC$7))^2)+$D$7</f>
        <v>3.3775892441889</v>
      </c>
      <c r="AB34" s="123" t="n">
        <f aca="false">MIN($V$5,AA34)</f>
        <v>3.3775892441889</v>
      </c>
      <c r="AC34" s="112"/>
      <c r="AD34" s="112" t="n">
        <f aca="false">AD33+AD$7/100</f>
        <v>0.52</v>
      </c>
      <c r="AE34" s="122" t="n">
        <f aca="false">AD34-IF($I$3="Forward", $D$9, $G$9)</f>
        <v>0.52</v>
      </c>
      <c r="AF34" s="112" t="n">
        <f aca="false">AD34*TAN(RADIANS(AH$7))-(IF($B$4, 9.807, 32.174)*AD34^2)/(2*AG$7^2*COS(RADIANS(AH$7))^2)+$D$7</f>
        <v>3.3775892441889</v>
      </c>
      <c r="AG34" s="123" t="n">
        <f aca="false">MIN($V$5,AF34)</f>
        <v>3.3775892441889</v>
      </c>
      <c r="AH34" s="112"/>
      <c r="AI34" s="112" t="n">
        <f aca="false">AI33+AI$7/100</f>
        <v>0.52</v>
      </c>
      <c r="AJ34" s="122" t="n">
        <f aca="false">AI34+IF($I$3="Forward", $D$9, $G$9)</f>
        <v>0.52</v>
      </c>
      <c r="AK34" s="112" t="n">
        <f aca="false">AI34*TAN(RADIANS(AM$7))-(IF($B$4, 9.807, 32.174)*AI34^2)/(2*AL$7^2*COS(RADIANS(AM$7))^2)+$D$7</f>
        <v>3.3775892441889</v>
      </c>
      <c r="AL34" s="123" t="n">
        <f aca="false">MIN($V$5,AK34)</f>
        <v>3.3775892441889</v>
      </c>
      <c r="AM34" s="112"/>
      <c r="AN34" s="112" t="n">
        <f aca="false">AN33+AN$7/100</f>
        <v>0.52</v>
      </c>
      <c r="AO34" s="112" t="n">
        <f aca="false">AN34</f>
        <v>0.52</v>
      </c>
      <c r="AP34" s="112" t="n">
        <f aca="false">AN34*TAN(RADIANS(AR$7))-(IF($B$4, 9.807, 32.174)*AN34^2)/(2*AQ$7^2*COS(RADIANS(AR$7))^2)+$D$7</f>
        <v>3.3775892441889</v>
      </c>
      <c r="AQ34" s="123" t="n">
        <f aca="false">MIN($V$5,AP34)</f>
        <v>3.3775892441889</v>
      </c>
      <c r="AR34" s="112"/>
      <c r="AS34" s="112" t="n">
        <f aca="false">AS33+AS$7/100</f>
        <v>0.52</v>
      </c>
      <c r="AT34" s="122" t="n">
        <f aca="false">AS34-IF($I$3="Forward", $D$9, $G$9)</f>
        <v>0.52</v>
      </c>
      <c r="AU34" s="112" t="n">
        <f aca="false">AS34*TAN(RADIANS(AW$7))-(IF($B$4, 9.807, 32.174)*AS34^2)/(2*AV$7^2*COS(RADIANS(AW$7))^2)+$D$7</f>
        <v>3.3775892441889</v>
      </c>
      <c r="AV34" s="123" t="n">
        <f aca="false">MIN($V$5,AU34)</f>
        <v>3.3775892441889</v>
      </c>
      <c r="AW34" s="112"/>
      <c r="AX34" s="112" t="n">
        <f aca="false">AX33+AX$7/100</f>
        <v>0.52</v>
      </c>
      <c r="AY34" s="122" t="n">
        <f aca="false">AX34+IF($I$3="Forward", $D$9, $G$9)</f>
        <v>0.52</v>
      </c>
      <c r="AZ34" s="112" t="n">
        <f aca="false">AX34*TAN(RADIANS(BB$7))-(IF($B$4, 9.807, 32.174)*AX34^2)/(2*BA$7^2*COS(RADIANS(BB$7))^2)+$D$7</f>
        <v>3.3775892441889</v>
      </c>
      <c r="BA34" s="123" t="n">
        <f aca="false">MIN($V$5,AZ34)</f>
        <v>3.3775892441889</v>
      </c>
      <c r="BB34" s="112"/>
      <c r="BC34" s="112" t="n">
        <f aca="false">BC33+BC$7/100</f>
        <v>0.52</v>
      </c>
      <c r="BD34" s="112" t="n">
        <f aca="false">BC34</f>
        <v>0.52</v>
      </c>
      <c r="BE34" s="112" t="n">
        <f aca="false">BC34*TAN(RADIANS(BG$7))-(IF($B$4, 9.807, 32.174)*BC34^2)/(2*BF$7^2*COS(RADIANS(BG$7))^2)+$D$7</f>
        <v>3.3775892441889</v>
      </c>
      <c r="BF34" s="123" t="n">
        <f aca="false">MIN($V$5,BE34)</f>
        <v>3.3775892441889</v>
      </c>
      <c r="BG34" s="112"/>
      <c r="BH34" s="112" t="n">
        <f aca="false">BH33+BH$7/100</f>
        <v>0.52</v>
      </c>
      <c r="BI34" s="122" t="n">
        <f aca="false">BH34-IF($I$3="Forward", $D$9, $G$9)</f>
        <v>0.52</v>
      </c>
      <c r="BJ34" s="112" t="n">
        <f aca="false">BH34*TAN(RADIANS(BL$7))-(IF($B$4, 9.807, 32.174)*BH34^2)/(2*BK$7^2*COS(RADIANS(BL$7))^2)+$D$7</f>
        <v>3.3775892441889</v>
      </c>
      <c r="BK34" s="123" t="n">
        <f aca="false">MIN($V$5,BJ34)</f>
        <v>3.3775892441889</v>
      </c>
      <c r="BL34" s="112"/>
      <c r="BM34" s="112" t="n">
        <f aca="false">BM33+BM$7/100</f>
        <v>0.52</v>
      </c>
      <c r="BN34" s="122" t="n">
        <f aca="false">BM34+IF($I$3="Forward", $D$9, $G$9)</f>
        <v>0.52</v>
      </c>
      <c r="BO34" s="112" t="n">
        <f aca="false">BM34*TAN(RADIANS(BQ$7))-(IF($B$4, 9.807, 32.174)*BM34^2)/(2*BP$7^2*COS(RADIANS(BQ$7))^2)+$D$7</f>
        <v>3.3775892441889</v>
      </c>
      <c r="BP34" s="123" t="n">
        <f aca="false">MIN($V$5,BO34)</f>
        <v>3.3775892441889</v>
      </c>
      <c r="BQ34" s="112"/>
      <c r="BR34" s="112" t="n">
        <f aca="false">BR33+BR$7/100</f>
        <v>0.52</v>
      </c>
      <c r="BS34" s="112" t="n">
        <f aca="false">BR34</f>
        <v>0.52</v>
      </c>
      <c r="BT34" s="112" t="n">
        <f aca="false">BR34*TAN(RADIANS(BV$7))-(IF($B$4, 9.807, 32.174)*BR34^2)/(2*BU$7^2*COS(RADIANS(BV$7))^2)+$D$7</f>
        <v>3.3775892441889</v>
      </c>
      <c r="BU34" s="123" t="n">
        <f aca="false">MIN($V$5,BT34)</f>
        <v>3.3775892441889</v>
      </c>
      <c r="BV34" s="112"/>
      <c r="BW34" s="112" t="n">
        <f aca="false">BW33+BW$7/100</f>
        <v>0.52</v>
      </c>
      <c r="BX34" s="122" t="n">
        <f aca="false">BW34-IF($I$3="Forward", $D$9, $G$9)</f>
        <v>0.52</v>
      </c>
      <c r="BY34" s="112" t="n">
        <f aca="false">BW34*TAN(RADIANS(CA$7))-(IF($B$4, 9.807, 32.174)*BW34^2)/(2*BZ$7^2*COS(RADIANS(CA$7))^2)+$D$7</f>
        <v>3.3775892441889</v>
      </c>
      <c r="BZ34" s="123" t="n">
        <f aca="false">MIN($V$5,BY34)</f>
        <v>3.3775892441889</v>
      </c>
      <c r="CA34" s="112"/>
      <c r="CB34" s="112" t="n">
        <f aca="false">CB33+CB$7/100</f>
        <v>0.52</v>
      </c>
      <c r="CC34" s="122" t="n">
        <f aca="false">CB34+IF($I$3="Forward", $D$9, $G$9)</f>
        <v>0.52</v>
      </c>
      <c r="CD34" s="112" t="n">
        <f aca="false">CB34*TAN(RADIANS(CF$7))-(IF($B$4, 9.807, 32.174)*CB34^2)/(2*CE$7^2*COS(RADIANS(CF$7))^2)+$D$7</f>
        <v>3.3775892441889</v>
      </c>
      <c r="CE34" s="123" t="n">
        <f aca="false">MIN($V$5,CD34)</f>
        <v>3.3775892441889</v>
      </c>
      <c r="CF34" s="112"/>
      <c r="CG34" s="124" t="n">
        <f aca="false">CG33+CG$7/100</f>
        <v>0.52</v>
      </c>
      <c r="CH34" s="124" t="n">
        <f aca="false">CG34</f>
        <v>0.52</v>
      </c>
      <c r="CI34" s="124" t="n">
        <f aca="false">CG34*TAN(RADIANS(CK$7))-(IF($B$4, 9.807, 32.174)*CG34^2)/(2*CJ$7^2*COS(RADIANS(CK$7))^2)+$D$7</f>
        <v>3.3775892441889</v>
      </c>
      <c r="CJ34" s="123" t="n">
        <f aca="false">MIN($V$5,CI34)</f>
        <v>3.3775892441889</v>
      </c>
      <c r="CK34" s="124"/>
      <c r="CL34" s="112" t="n">
        <f aca="false">CL33+CL$7/100</f>
        <v>0.52</v>
      </c>
      <c r="CM34" s="122" t="n">
        <f aca="false">CL34-IF($I$3="Forward", $D$9, $G$9)</f>
        <v>0.52</v>
      </c>
      <c r="CN34" s="112" t="n">
        <f aca="false">CL34*TAN(RADIANS(CP$7))-(IF($B$4, 9.807, 32.174)*CL34^2)/(2*CO$7^2*COS(RADIANS(CP$7))^2)+$D$7</f>
        <v>3.3775892441889</v>
      </c>
      <c r="CO34" s="123" t="n">
        <f aca="false">MIN($V$5,CN34)</f>
        <v>3.3775892441889</v>
      </c>
      <c r="CP34" s="112"/>
      <c r="CQ34" s="112" t="n">
        <f aca="false">CQ33+CQ$7/100</f>
        <v>0.52</v>
      </c>
      <c r="CR34" s="122" t="n">
        <f aca="false">CQ34+IF($I$3="Forward", $D$9, $G$9)</f>
        <v>0.52</v>
      </c>
      <c r="CS34" s="112" t="n">
        <f aca="false">CQ34*TAN(RADIANS(CU$7))-(IF($B$4, 9.807, 32.174)*CQ34^2)/(2*CT$7^2*COS(RADIANS(CU$7))^2)+$D$7</f>
        <v>3.3775892441889</v>
      </c>
      <c r="CT34" s="123" t="n">
        <f aca="false">MIN($V$5,CS34)</f>
        <v>3.3775892441889</v>
      </c>
      <c r="CU34" s="112"/>
      <c r="CV34" s="112" t="n">
        <f aca="false">CV33+CV$7/100</f>
        <v>0.52</v>
      </c>
      <c r="CW34" s="112" t="n">
        <f aca="false">CV34</f>
        <v>0.52</v>
      </c>
      <c r="CX34" s="112" t="n">
        <f aca="false">CV34*TAN(RADIANS(CZ$7))-(IF($B$4, 9.807, 32.174)*CV34^2)/(2*CY$7^2*COS(RADIANS(CZ$7))^2)+$D$7</f>
        <v>3.3775892441889</v>
      </c>
      <c r="CY34" s="123" t="n">
        <f aca="false">MIN($V$5,CX34)</f>
        <v>3.3775892441889</v>
      </c>
      <c r="CZ34" s="112"/>
      <c r="DA34" s="112" t="n">
        <f aca="false">DA33+DA$7/100</f>
        <v>0.52</v>
      </c>
      <c r="DB34" s="122" t="n">
        <f aca="false">DA34-IF($I$3="Forward", $D$9, $G$9)</f>
        <v>0.52</v>
      </c>
      <c r="DC34" s="112" t="n">
        <f aca="false">DA34*TAN(RADIANS(DE$7))-(IF($B$4, 9.807, 32.174)*DA34^2)/(2*DD$7^2*COS(RADIANS(DE$7))^2)+$D$7</f>
        <v>3.3775892441889</v>
      </c>
      <c r="DD34" s="123" t="n">
        <f aca="false">MIN($V$5,DC34)</f>
        <v>3.3775892441889</v>
      </c>
      <c r="DE34" s="112"/>
      <c r="DF34" s="112" t="n">
        <f aca="false">DF33+DF$7/100</f>
        <v>0.52</v>
      </c>
      <c r="DG34" s="122" t="n">
        <f aca="false">DF34+IF($I$3="Forward", $D$9, $G$9)</f>
        <v>0.52</v>
      </c>
      <c r="DH34" s="112" t="n">
        <f aca="false">DF34*TAN(RADIANS(DJ$7))-(IF($B$4, 9.807, 32.174)*DF34^2)/(2*DI$7^2*COS(RADIANS(DJ$7))^2)+$D$7</f>
        <v>3.3775892441889</v>
      </c>
      <c r="DI34" s="123" t="n">
        <f aca="false">MIN($V$5,DH34)</f>
        <v>3.3775892441889</v>
      </c>
      <c r="DJ34" s="112"/>
      <c r="DK34" s="112" t="n">
        <f aca="false">DK33+DK$7/100</f>
        <v>0.52</v>
      </c>
      <c r="DL34" s="112" t="n">
        <f aca="false">DK34</f>
        <v>0.52</v>
      </c>
      <c r="DM34" s="112" t="n">
        <f aca="false">DK34*TAN(RADIANS(DO$7))-(IF($B$4, 9.807, 32.174)*DK34^2)/(2*DN$7^2*COS(RADIANS(DO$7))^2)+$D$7</f>
        <v>3.3775892441889</v>
      </c>
      <c r="DN34" s="123" t="n">
        <f aca="false">MIN($V$5,DM34)</f>
        <v>3.3775892441889</v>
      </c>
      <c r="DO34" s="112"/>
      <c r="DP34" s="112" t="n">
        <f aca="false">DP33+DP$7/100</f>
        <v>0.52</v>
      </c>
      <c r="DQ34" s="122" t="n">
        <f aca="false">DP34-IF($I$3="Forward", $D$9, $G$9)</f>
        <v>0.52</v>
      </c>
      <c r="DR34" s="112" t="n">
        <f aca="false">DP34*TAN(RADIANS(DT$7))-(IF($B$4, 9.807, 32.174)*DP34^2)/(2*DS$7^2*COS(RADIANS(DT$7))^2)+$D$7</f>
        <v>3.3775892441889</v>
      </c>
      <c r="DS34" s="123" t="n">
        <f aca="false">MIN($V$5,DR34)</f>
        <v>3.3775892441889</v>
      </c>
      <c r="DT34" s="112"/>
      <c r="DU34" s="112" t="n">
        <f aca="false">DU33+DU$7/100</f>
        <v>0.52</v>
      </c>
      <c r="DV34" s="122" t="n">
        <f aca="false">DU34+IF($I$3="Forward", $D$9, $G$9)</f>
        <v>0.52</v>
      </c>
      <c r="DW34" s="112" t="n">
        <f aca="false">DU34*TAN(RADIANS(DY$7))-(IF($B$4, 9.807, 32.174)*DU34^2)/(2*DX$7^2*COS(RADIANS(DY$7))^2)+$D$7</f>
        <v>3.3775892441889</v>
      </c>
      <c r="DX34" s="123" t="n">
        <f aca="false">MIN($V$5,DW34)</f>
        <v>3.3775892441889</v>
      </c>
      <c r="DY34" s="112"/>
      <c r="DZ34" s="112" t="n">
        <f aca="false">DZ33+DZ$7/100</f>
        <v>0.52</v>
      </c>
      <c r="EA34" s="112" t="n">
        <f aca="false">DZ34</f>
        <v>0.52</v>
      </c>
      <c r="EB34" s="112" t="n">
        <f aca="false">DZ34*TAN(RADIANS(ED$7))-(IF($B$4, 9.807, 32.174)*DZ34^2)/(2*EC$7^2*COS(RADIANS(ED$7))^2)+$D$7</f>
        <v>3.3775892441889</v>
      </c>
      <c r="EC34" s="123" t="n">
        <f aca="false">MIN($V$5,EB34)</f>
        <v>3.3775892441889</v>
      </c>
      <c r="ED34" s="112"/>
      <c r="EE34" s="112" t="n">
        <f aca="false">EE33+EE$7/100</f>
        <v>0.52</v>
      </c>
      <c r="EF34" s="122" t="n">
        <f aca="false">EE34-IF($I$3="Forward", $D$9, $G$9)</f>
        <v>0.52</v>
      </c>
      <c r="EG34" s="112" t="n">
        <f aca="false">EE34*TAN(RADIANS(EI$7))-(IF($B$4, 9.807, 32.174)*EE34^2)/(2*EH$7^2*COS(RADIANS(EI$7))^2)+$D$7</f>
        <v>3.3775892441889</v>
      </c>
      <c r="EH34" s="123" t="n">
        <f aca="false">MIN($V$5,EG34)</f>
        <v>3.3775892441889</v>
      </c>
      <c r="EI34" s="112"/>
      <c r="EJ34" s="112" t="n">
        <f aca="false">EJ33+EJ$7/100</f>
        <v>0.52</v>
      </c>
      <c r="EK34" s="122" t="n">
        <f aca="false">EJ34+IF($I$3="Forward", $D$9, $G$9)</f>
        <v>0.52</v>
      </c>
      <c r="EL34" s="112" t="n">
        <f aca="false">EJ34*TAN(RADIANS(EN$7))-(IF($B$4, 9.807, 32.174)*EJ34^2)/(2*EM$7^2*COS(RADIANS(EN$7))^2)+$D$7</f>
        <v>3.3775892441889</v>
      </c>
      <c r="EM34" s="123" t="n">
        <f aca="false">MIN($V$5,EL34)</f>
        <v>3.3775892441889</v>
      </c>
      <c r="EN34" s="112"/>
      <c r="EO34" s="112" t="n">
        <f aca="false">EO33+EO$7/100</f>
        <v>0.52</v>
      </c>
      <c r="EP34" s="112" t="n">
        <f aca="false">EO34</f>
        <v>0.52</v>
      </c>
      <c r="EQ34" s="112" t="n">
        <f aca="false">EO34*TAN(RADIANS(ES$7))-(IF($B$4, 9.807, 32.174)*EO34^2)/(2*ER$7^2*COS(RADIANS(ES$7))^2)+$D$7</f>
        <v>3.3775892441889</v>
      </c>
      <c r="ER34" s="123" t="n">
        <f aca="false">MIN($V$5,EQ34)</f>
        <v>3.3775892441889</v>
      </c>
      <c r="ES34" s="112"/>
      <c r="ET34" s="112" t="n">
        <f aca="false">ET33+ET$7/100</f>
        <v>0.52</v>
      </c>
      <c r="EU34" s="122" t="n">
        <f aca="false">ET34-IF($I$3="Forward", $D$9, $G$9)</f>
        <v>0.52</v>
      </c>
      <c r="EV34" s="112" t="n">
        <f aca="false">ET34*TAN(RADIANS(EX$7))-(IF($B$4, 9.807, 32.174)*ET34^2)/(2*EW$7^2*COS(RADIANS(EX$7))^2)+$D$7</f>
        <v>3.3775892441889</v>
      </c>
      <c r="EW34" s="123" t="n">
        <f aca="false">MIN($V$5,EV34)</f>
        <v>3.3775892441889</v>
      </c>
      <c r="EX34" s="112"/>
    </row>
    <row r="35" s="131" customFormat="true" ht="15" hidden="false" customHeight="false" outlineLevel="0" collapsed="false">
      <c r="C35" s="137"/>
      <c r="D35" s="137"/>
      <c r="E35" s="137"/>
      <c r="F35" s="137"/>
      <c r="G35" s="137"/>
      <c r="T35" s="112" t="n">
        <f aca="false">T34+T$7/100</f>
        <v>0.54</v>
      </c>
      <c r="U35" s="122" t="n">
        <f aca="false">T35+IF($I$3="Forward", $D$9, $G$9)</f>
        <v>0.54</v>
      </c>
      <c r="V35" s="112" t="n">
        <f aca="false">T35*TAN(RADIANS(X$7))-(IF($B$4, 9.807, 32.174)*T35^2)/(2*W$7^2*COS(RADIANS(X$7))^2)+$D$7</f>
        <v>3.4632392932933</v>
      </c>
      <c r="W35" s="123" t="n">
        <f aca="false">MIN($V$5,V35)</f>
        <v>3.4632392932933</v>
      </c>
      <c r="X35" s="112"/>
      <c r="Y35" s="112" t="n">
        <f aca="false">Y34+Y$7/100</f>
        <v>0.54</v>
      </c>
      <c r="Z35" s="112" t="n">
        <f aca="false">Y35</f>
        <v>0.54</v>
      </c>
      <c r="AA35" s="112" t="n">
        <f aca="false">Y35*TAN(RADIANS(AC$7))-(IF($B$4, 9.807, 32.174)*Y35^2)/(2*AB$7^2*COS(RADIANS(AC$7))^2)+$D$7</f>
        <v>3.4632392932933</v>
      </c>
      <c r="AB35" s="123" t="n">
        <f aca="false">MIN($V$5,AA35)</f>
        <v>3.4632392932933</v>
      </c>
      <c r="AC35" s="112"/>
      <c r="AD35" s="112" t="n">
        <f aca="false">AD34+AD$7/100</f>
        <v>0.54</v>
      </c>
      <c r="AE35" s="122" t="n">
        <f aca="false">AD35-IF($I$3="Forward", $D$9, $G$9)</f>
        <v>0.54</v>
      </c>
      <c r="AF35" s="112" t="n">
        <f aca="false">AD35*TAN(RADIANS(AH$7))-(IF($B$4, 9.807, 32.174)*AD35^2)/(2*AG$7^2*COS(RADIANS(AH$7))^2)+$D$7</f>
        <v>3.4632392932933</v>
      </c>
      <c r="AG35" s="123" t="n">
        <f aca="false">MIN($V$5,AF35)</f>
        <v>3.4632392932933</v>
      </c>
      <c r="AH35" s="112"/>
      <c r="AI35" s="112" t="n">
        <f aca="false">AI34+AI$7/100</f>
        <v>0.54</v>
      </c>
      <c r="AJ35" s="122" t="n">
        <f aca="false">AI35+IF($I$3="Forward", $D$9, $G$9)</f>
        <v>0.54</v>
      </c>
      <c r="AK35" s="112" t="n">
        <f aca="false">AI35*TAN(RADIANS(AM$7))-(IF($B$4, 9.807, 32.174)*AI35^2)/(2*AL$7^2*COS(RADIANS(AM$7))^2)+$D$7</f>
        <v>3.4632392932933</v>
      </c>
      <c r="AL35" s="123" t="n">
        <f aca="false">MIN($V$5,AK35)</f>
        <v>3.4632392932933</v>
      </c>
      <c r="AM35" s="112"/>
      <c r="AN35" s="112" t="n">
        <f aca="false">AN34+AN$7/100</f>
        <v>0.54</v>
      </c>
      <c r="AO35" s="112" t="n">
        <f aca="false">AN35</f>
        <v>0.54</v>
      </c>
      <c r="AP35" s="112" t="n">
        <f aca="false">AN35*TAN(RADIANS(AR$7))-(IF($B$4, 9.807, 32.174)*AN35^2)/(2*AQ$7^2*COS(RADIANS(AR$7))^2)+$D$7</f>
        <v>3.4632392932933</v>
      </c>
      <c r="AQ35" s="123" t="n">
        <f aca="false">MIN($V$5,AP35)</f>
        <v>3.4632392932933</v>
      </c>
      <c r="AR35" s="112"/>
      <c r="AS35" s="112" t="n">
        <f aca="false">AS34+AS$7/100</f>
        <v>0.54</v>
      </c>
      <c r="AT35" s="122" t="n">
        <f aca="false">AS35-IF($I$3="Forward", $D$9, $G$9)</f>
        <v>0.54</v>
      </c>
      <c r="AU35" s="112" t="n">
        <f aca="false">AS35*TAN(RADIANS(AW$7))-(IF($B$4, 9.807, 32.174)*AS35^2)/(2*AV$7^2*COS(RADIANS(AW$7))^2)+$D$7</f>
        <v>3.4632392932933</v>
      </c>
      <c r="AV35" s="123" t="n">
        <f aca="false">MIN($V$5,AU35)</f>
        <v>3.4632392932933</v>
      </c>
      <c r="AW35" s="112"/>
      <c r="AX35" s="112" t="n">
        <f aca="false">AX34+AX$7/100</f>
        <v>0.54</v>
      </c>
      <c r="AY35" s="122" t="n">
        <f aca="false">AX35+IF($I$3="Forward", $D$9, $G$9)</f>
        <v>0.54</v>
      </c>
      <c r="AZ35" s="112" t="n">
        <f aca="false">AX35*TAN(RADIANS(BB$7))-(IF($B$4, 9.807, 32.174)*AX35^2)/(2*BA$7^2*COS(RADIANS(BB$7))^2)+$D$7</f>
        <v>3.4632392932933</v>
      </c>
      <c r="BA35" s="123" t="n">
        <f aca="false">MIN($V$5,AZ35)</f>
        <v>3.4632392932933</v>
      </c>
      <c r="BB35" s="112"/>
      <c r="BC35" s="112" t="n">
        <f aca="false">BC34+BC$7/100</f>
        <v>0.54</v>
      </c>
      <c r="BD35" s="112" t="n">
        <f aca="false">BC35</f>
        <v>0.54</v>
      </c>
      <c r="BE35" s="112" t="n">
        <f aca="false">BC35*TAN(RADIANS(BG$7))-(IF($B$4, 9.807, 32.174)*BC35^2)/(2*BF$7^2*COS(RADIANS(BG$7))^2)+$D$7</f>
        <v>3.4632392932933</v>
      </c>
      <c r="BF35" s="123" t="n">
        <f aca="false">MIN($V$5,BE35)</f>
        <v>3.4632392932933</v>
      </c>
      <c r="BG35" s="112"/>
      <c r="BH35" s="112" t="n">
        <f aca="false">BH34+BH$7/100</f>
        <v>0.54</v>
      </c>
      <c r="BI35" s="122" t="n">
        <f aca="false">BH35-IF($I$3="Forward", $D$9, $G$9)</f>
        <v>0.54</v>
      </c>
      <c r="BJ35" s="112" t="n">
        <f aca="false">BH35*TAN(RADIANS(BL$7))-(IF($B$4, 9.807, 32.174)*BH35^2)/(2*BK$7^2*COS(RADIANS(BL$7))^2)+$D$7</f>
        <v>3.4632392932933</v>
      </c>
      <c r="BK35" s="123" t="n">
        <f aca="false">MIN($V$5,BJ35)</f>
        <v>3.4632392932933</v>
      </c>
      <c r="BL35" s="112"/>
      <c r="BM35" s="112" t="n">
        <f aca="false">BM34+BM$7/100</f>
        <v>0.54</v>
      </c>
      <c r="BN35" s="122" t="n">
        <f aca="false">BM35+IF($I$3="Forward", $D$9, $G$9)</f>
        <v>0.54</v>
      </c>
      <c r="BO35" s="112" t="n">
        <f aca="false">BM35*TAN(RADIANS(BQ$7))-(IF($B$4, 9.807, 32.174)*BM35^2)/(2*BP$7^2*COS(RADIANS(BQ$7))^2)+$D$7</f>
        <v>3.4632392932933</v>
      </c>
      <c r="BP35" s="123" t="n">
        <f aca="false">MIN($V$5,BO35)</f>
        <v>3.4632392932933</v>
      </c>
      <c r="BQ35" s="112"/>
      <c r="BR35" s="112" t="n">
        <f aca="false">BR34+BR$7/100</f>
        <v>0.54</v>
      </c>
      <c r="BS35" s="112" t="n">
        <f aca="false">BR35</f>
        <v>0.54</v>
      </c>
      <c r="BT35" s="112" t="n">
        <f aca="false">BR35*TAN(RADIANS(BV$7))-(IF($B$4, 9.807, 32.174)*BR35^2)/(2*BU$7^2*COS(RADIANS(BV$7))^2)+$D$7</f>
        <v>3.4632392932933</v>
      </c>
      <c r="BU35" s="123" t="n">
        <f aca="false">MIN($V$5,BT35)</f>
        <v>3.4632392932933</v>
      </c>
      <c r="BV35" s="112"/>
      <c r="BW35" s="112" t="n">
        <f aca="false">BW34+BW$7/100</f>
        <v>0.54</v>
      </c>
      <c r="BX35" s="122" t="n">
        <f aca="false">BW35-IF($I$3="Forward", $D$9, $G$9)</f>
        <v>0.54</v>
      </c>
      <c r="BY35" s="112" t="n">
        <f aca="false">BW35*TAN(RADIANS(CA$7))-(IF($B$4, 9.807, 32.174)*BW35^2)/(2*BZ$7^2*COS(RADIANS(CA$7))^2)+$D$7</f>
        <v>3.4632392932933</v>
      </c>
      <c r="BZ35" s="123" t="n">
        <f aca="false">MIN($V$5,BY35)</f>
        <v>3.4632392932933</v>
      </c>
      <c r="CA35" s="112"/>
      <c r="CB35" s="112" t="n">
        <f aca="false">CB34+CB$7/100</f>
        <v>0.54</v>
      </c>
      <c r="CC35" s="122" t="n">
        <f aca="false">CB35+IF($I$3="Forward", $D$9, $G$9)</f>
        <v>0.54</v>
      </c>
      <c r="CD35" s="112" t="n">
        <f aca="false">CB35*TAN(RADIANS(CF$7))-(IF($B$4, 9.807, 32.174)*CB35^2)/(2*CE$7^2*COS(RADIANS(CF$7))^2)+$D$7</f>
        <v>3.4632392932933</v>
      </c>
      <c r="CE35" s="123" t="n">
        <f aca="false">MIN($V$5,CD35)</f>
        <v>3.4632392932933</v>
      </c>
      <c r="CF35" s="112"/>
      <c r="CG35" s="124" t="n">
        <f aca="false">CG34+CG$7/100</f>
        <v>0.54</v>
      </c>
      <c r="CH35" s="124" t="n">
        <f aca="false">CG35</f>
        <v>0.54</v>
      </c>
      <c r="CI35" s="124" t="n">
        <f aca="false">CG35*TAN(RADIANS(CK$7))-(IF($B$4, 9.807, 32.174)*CG35^2)/(2*CJ$7^2*COS(RADIANS(CK$7))^2)+$D$7</f>
        <v>3.4632392932933</v>
      </c>
      <c r="CJ35" s="123" t="n">
        <f aca="false">MIN($V$5,CI35)</f>
        <v>3.4632392932933</v>
      </c>
      <c r="CK35" s="124"/>
      <c r="CL35" s="112" t="n">
        <f aca="false">CL34+CL$7/100</f>
        <v>0.54</v>
      </c>
      <c r="CM35" s="122" t="n">
        <f aca="false">CL35-IF($I$3="Forward", $D$9, $G$9)</f>
        <v>0.54</v>
      </c>
      <c r="CN35" s="112" t="n">
        <f aca="false">CL35*TAN(RADIANS(CP$7))-(IF($B$4, 9.807, 32.174)*CL35^2)/(2*CO$7^2*COS(RADIANS(CP$7))^2)+$D$7</f>
        <v>3.4632392932933</v>
      </c>
      <c r="CO35" s="123" t="n">
        <f aca="false">MIN($V$5,CN35)</f>
        <v>3.4632392932933</v>
      </c>
      <c r="CP35" s="112"/>
      <c r="CQ35" s="112" t="n">
        <f aca="false">CQ34+CQ$7/100</f>
        <v>0.54</v>
      </c>
      <c r="CR35" s="122" t="n">
        <f aca="false">CQ35+IF($I$3="Forward", $D$9, $G$9)</f>
        <v>0.54</v>
      </c>
      <c r="CS35" s="112" t="n">
        <f aca="false">CQ35*TAN(RADIANS(CU$7))-(IF($B$4, 9.807, 32.174)*CQ35^2)/(2*CT$7^2*COS(RADIANS(CU$7))^2)+$D$7</f>
        <v>3.4632392932933</v>
      </c>
      <c r="CT35" s="123" t="n">
        <f aca="false">MIN($V$5,CS35)</f>
        <v>3.4632392932933</v>
      </c>
      <c r="CU35" s="112"/>
      <c r="CV35" s="112" t="n">
        <f aca="false">CV34+CV$7/100</f>
        <v>0.54</v>
      </c>
      <c r="CW35" s="112" t="n">
        <f aca="false">CV35</f>
        <v>0.54</v>
      </c>
      <c r="CX35" s="112" t="n">
        <f aca="false">CV35*TAN(RADIANS(CZ$7))-(IF($B$4, 9.807, 32.174)*CV35^2)/(2*CY$7^2*COS(RADIANS(CZ$7))^2)+$D$7</f>
        <v>3.4632392932933</v>
      </c>
      <c r="CY35" s="123" t="n">
        <f aca="false">MIN($V$5,CX35)</f>
        <v>3.4632392932933</v>
      </c>
      <c r="CZ35" s="112"/>
      <c r="DA35" s="112" t="n">
        <f aca="false">DA34+DA$7/100</f>
        <v>0.54</v>
      </c>
      <c r="DB35" s="122" t="n">
        <f aca="false">DA35-IF($I$3="Forward", $D$9, $G$9)</f>
        <v>0.54</v>
      </c>
      <c r="DC35" s="112" t="n">
        <f aca="false">DA35*TAN(RADIANS(DE$7))-(IF($B$4, 9.807, 32.174)*DA35^2)/(2*DD$7^2*COS(RADIANS(DE$7))^2)+$D$7</f>
        <v>3.4632392932933</v>
      </c>
      <c r="DD35" s="123" t="n">
        <f aca="false">MIN($V$5,DC35)</f>
        <v>3.4632392932933</v>
      </c>
      <c r="DE35" s="112"/>
      <c r="DF35" s="112" t="n">
        <f aca="false">DF34+DF$7/100</f>
        <v>0.54</v>
      </c>
      <c r="DG35" s="122" t="n">
        <f aca="false">DF35+IF($I$3="Forward", $D$9, $G$9)</f>
        <v>0.54</v>
      </c>
      <c r="DH35" s="112" t="n">
        <f aca="false">DF35*TAN(RADIANS(DJ$7))-(IF($B$4, 9.807, 32.174)*DF35^2)/(2*DI$7^2*COS(RADIANS(DJ$7))^2)+$D$7</f>
        <v>3.4632392932933</v>
      </c>
      <c r="DI35" s="123" t="n">
        <f aca="false">MIN($V$5,DH35)</f>
        <v>3.4632392932933</v>
      </c>
      <c r="DJ35" s="112"/>
      <c r="DK35" s="112" t="n">
        <f aca="false">DK34+DK$7/100</f>
        <v>0.54</v>
      </c>
      <c r="DL35" s="112" t="n">
        <f aca="false">DK35</f>
        <v>0.54</v>
      </c>
      <c r="DM35" s="112" t="n">
        <f aca="false">DK35*TAN(RADIANS(DO$7))-(IF($B$4, 9.807, 32.174)*DK35^2)/(2*DN$7^2*COS(RADIANS(DO$7))^2)+$D$7</f>
        <v>3.4632392932933</v>
      </c>
      <c r="DN35" s="123" t="n">
        <f aca="false">MIN($V$5,DM35)</f>
        <v>3.4632392932933</v>
      </c>
      <c r="DO35" s="112"/>
      <c r="DP35" s="112" t="n">
        <f aca="false">DP34+DP$7/100</f>
        <v>0.54</v>
      </c>
      <c r="DQ35" s="122" t="n">
        <f aca="false">DP35-IF($I$3="Forward", $D$9, $G$9)</f>
        <v>0.54</v>
      </c>
      <c r="DR35" s="112" t="n">
        <f aca="false">DP35*TAN(RADIANS(DT$7))-(IF($B$4, 9.807, 32.174)*DP35^2)/(2*DS$7^2*COS(RADIANS(DT$7))^2)+$D$7</f>
        <v>3.4632392932933</v>
      </c>
      <c r="DS35" s="123" t="n">
        <f aca="false">MIN($V$5,DR35)</f>
        <v>3.4632392932933</v>
      </c>
      <c r="DT35" s="112"/>
      <c r="DU35" s="112" t="n">
        <f aca="false">DU34+DU$7/100</f>
        <v>0.54</v>
      </c>
      <c r="DV35" s="122" t="n">
        <f aca="false">DU35+IF($I$3="Forward", $D$9, $G$9)</f>
        <v>0.54</v>
      </c>
      <c r="DW35" s="112" t="n">
        <f aca="false">DU35*TAN(RADIANS(DY$7))-(IF($B$4, 9.807, 32.174)*DU35^2)/(2*DX$7^2*COS(RADIANS(DY$7))^2)+$D$7</f>
        <v>3.4632392932933</v>
      </c>
      <c r="DX35" s="123" t="n">
        <f aca="false">MIN($V$5,DW35)</f>
        <v>3.4632392932933</v>
      </c>
      <c r="DY35" s="112"/>
      <c r="DZ35" s="112" t="n">
        <f aca="false">DZ34+DZ$7/100</f>
        <v>0.54</v>
      </c>
      <c r="EA35" s="112" t="n">
        <f aca="false">DZ35</f>
        <v>0.54</v>
      </c>
      <c r="EB35" s="112" t="n">
        <f aca="false">DZ35*TAN(RADIANS(ED$7))-(IF($B$4, 9.807, 32.174)*DZ35^2)/(2*EC$7^2*COS(RADIANS(ED$7))^2)+$D$7</f>
        <v>3.4632392932933</v>
      </c>
      <c r="EC35" s="123" t="n">
        <f aca="false">MIN($V$5,EB35)</f>
        <v>3.4632392932933</v>
      </c>
      <c r="ED35" s="112"/>
      <c r="EE35" s="112" t="n">
        <f aca="false">EE34+EE$7/100</f>
        <v>0.54</v>
      </c>
      <c r="EF35" s="122" t="n">
        <f aca="false">EE35-IF($I$3="Forward", $D$9, $G$9)</f>
        <v>0.54</v>
      </c>
      <c r="EG35" s="112" t="n">
        <f aca="false">EE35*TAN(RADIANS(EI$7))-(IF($B$4, 9.807, 32.174)*EE35^2)/(2*EH$7^2*COS(RADIANS(EI$7))^2)+$D$7</f>
        <v>3.4632392932933</v>
      </c>
      <c r="EH35" s="123" t="n">
        <f aca="false">MIN($V$5,EG35)</f>
        <v>3.4632392932933</v>
      </c>
      <c r="EI35" s="112"/>
      <c r="EJ35" s="112" t="n">
        <f aca="false">EJ34+EJ$7/100</f>
        <v>0.54</v>
      </c>
      <c r="EK35" s="122" t="n">
        <f aca="false">EJ35+IF($I$3="Forward", $D$9, $G$9)</f>
        <v>0.54</v>
      </c>
      <c r="EL35" s="112" t="n">
        <f aca="false">EJ35*TAN(RADIANS(EN$7))-(IF($B$4, 9.807, 32.174)*EJ35^2)/(2*EM$7^2*COS(RADIANS(EN$7))^2)+$D$7</f>
        <v>3.4632392932933</v>
      </c>
      <c r="EM35" s="123" t="n">
        <f aca="false">MIN($V$5,EL35)</f>
        <v>3.4632392932933</v>
      </c>
      <c r="EN35" s="112"/>
      <c r="EO35" s="112" t="n">
        <f aca="false">EO34+EO$7/100</f>
        <v>0.54</v>
      </c>
      <c r="EP35" s="112" t="n">
        <f aca="false">EO35</f>
        <v>0.54</v>
      </c>
      <c r="EQ35" s="112" t="n">
        <f aca="false">EO35*TAN(RADIANS(ES$7))-(IF($B$4, 9.807, 32.174)*EO35^2)/(2*ER$7^2*COS(RADIANS(ES$7))^2)+$D$7</f>
        <v>3.4632392932933</v>
      </c>
      <c r="ER35" s="123" t="n">
        <f aca="false">MIN($V$5,EQ35)</f>
        <v>3.4632392932933</v>
      </c>
      <c r="ES35" s="112"/>
      <c r="ET35" s="112" t="n">
        <f aca="false">ET34+ET$7/100</f>
        <v>0.54</v>
      </c>
      <c r="EU35" s="122" t="n">
        <f aca="false">ET35-IF($I$3="Forward", $D$9, $G$9)</f>
        <v>0.54</v>
      </c>
      <c r="EV35" s="112" t="n">
        <f aca="false">ET35*TAN(RADIANS(EX$7))-(IF($B$4, 9.807, 32.174)*ET35^2)/(2*EW$7^2*COS(RADIANS(EX$7))^2)+$D$7</f>
        <v>3.4632392932933</v>
      </c>
      <c r="EW35" s="123" t="n">
        <f aca="false">MIN($V$5,EV35)</f>
        <v>3.4632392932933</v>
      </c>
      <c r="EX35" s="112"/>
    </row>
    <row r="36" s="131" customFormat="true" ht="15" hidden="false" customHeight="false" outlineLevel="0" collapsed="false">
      <c r="T36" s="112" t="n">
        <f aca="false">T35+T$7/100</f>
        <v>0.56</v>
      </c>
      <c r="U36" s="122" t="n">
        <f aca="false">T36+IF($I$3="Forward", $D$9, $G$9)</f>
        <v>0.56</v>
      </c>
      <c r="V36" s="112" t="n">
        <f aca="false">T36*TAN(RADIANS(X$7))-(IF($B$4, 9.807, 32.174)*T36^2)/(2*W$7^2*COS(RADIANS(X$7))^2)+$D$7</f>
        <v>3.54618082966986</v>
      </c>
      <c r="W36" s="123" t="n">
        <f aca="false">MIN($V$5,V36)</f>
        <v>3.54618082966986</v>
      </c>
      <c r="X36" s="112"/>
      <c r="Y36" s="112" t="n">
        <f aca="false">Y35+Y$7/100</f>
        <v>0.56</v>
      </c>
      <c r="Z36" s="112" t="n">
        <f aca="false">Y36</f>
        <v>0.56</v>
      </c>
      <c r="AA36" s="112" t="n">
        <f aca="false">Y36*TAN(RADIANS(AC$7))-(IF($B$4, 9.807, 32.174)*Y36^2)/(2*AB$7^2*COS(RADIANS(AC$7))^2)+$D$7</f>
        <v>3.54618082966986</v>
      </c>
      <c r="AB36" s="123" t="n">
        <f aca="false">MIN($V$5,AA36)</f>
        <v>3.54618082966986</v>
      </c>
      <c r="AC36" s="112"/>
      <c r="AD36" s="112" t="n">
        <f aca="false">AD35+AD$7/100</f>
        <v>0.56</v>
      </c>
      <c r="AE36" s="122" t="n">
        <f aca="false">AD36-IF($I$3="Forward", $D$9, $G$9)</f>
        <v>0.56</v>
      </c>
      <c r="AF36" s="112" t="n">
        <f aca="false">AD36*TAN(RADIANS(AH$7))-(IF($B$4, 9.807, 32.174)*AD36^2)/(2*AG$7^2*COS(RADIANS(AH$7))^2)+$D$7</f>
        <v>3.54618082966986</v>
      </c>
      <c r="AG36" s="123" t="n">
        <f aca="false">MIN($V$5,AF36)</f>
        <v>3.54618082966986</v>
      </c>
      <c r="AH36" s="112"/>
      <c r="AI36" s="112" t="n">
        <f aca="false">AI35+AI$7/100</f>
        <v>0.56</v>
      </c>
      <c r="AJ36" s="122" t="n">
        <f aca="false">AI36+IF($I$3="Forward", $D$9, $G$9)</f>
        <v>0.56</v>
      </c>
      <c r="AK36" s="112" t="n">
        <f aca="false">AI36*TAN(RADIANS(AM$7))-(IF($B$4, 9.807, 32.174)*AI36^2)/(2*AL$7^2*COS(RADIANS(AM$7))^2)+$D$7</f>
        <v>3.54618082966986</v>
      </c>
      <c r="AL36" s="123" t="n">
        <f aca="false">MIN($V$5,AK36)</f>
        <v>3.54618082966986</v>
      </c>
      <c r="AM36" s="112"/>
      <c r="AN36" s="112" t="n">
        <f aca="false">AN35+AN$7/100</f>
        <v>0.56</v>
      </c>
      <c r="AO36" s="112" t="n">
        <f aca="false">AN36</f>
        <v>0.56</v>
      </c>
      <c r="AP36" s="112" t="n">
        <f aca="false">AN36*TAN(RADIANS(AR$7))-(IF($B$4, 9.807, 32.174)*AN36^2)/(2*AQ$7^2*COS(RADIANS(AR$7))^2)+$D$7</f>
        <v>3.54618082966986</v>
      </c>
      <c r="AQ36" s="123" t="n">
        <f aca="false">MIN($V$5,AP36)</f>
        <v>3.54618082966986</v>
      </c>
      <c r="AR36" s="112"/>
      <c r="AS36" s="112" t="n">
        <f aca="false">AS35+AS$7/100</f>
        <v>0.56</v>
      </c>
      <c r="AT36" s="122" t="n">
        <f aca="false">AS36-IF($I$3="Forward", $D$9, $G$9)</f>
        <v>0.56</v>
      </c>
      <c r="AU36" s="112" t="n">
        <f aca="false">AS36*TAN(RADIANS(AW$7))-(IF($B$4, 9.807, 32.174)*AS36^2)/(2*AV$7^2*COS(RADIANS(AW$7))^2)+$D$7</f>
        <v>3.54618082966986</v>
      </c>
      <c r="AV36" s="123" t="n">
        <f aca="false">MIN($V$5,AU36)</f>
        <v>3.54618082966986</v>
      </c>
      <c r="AW36" s="112"/>
      <c r="AX36" s="112" t="n">
        <f aca="false">AX35+AX$7/100</f>
        <v>0.56</v>
      </c>
      <c r="AY36" s="122" t="n">
        <f aca="false">AX36+IF($I$3="Forward", $D$9, $G$9)</f>
        <v>0.56</v>
      </c>
      <c r="AZ36" s="112" t="n">
        <f aca="false">AX36*TAN(RADIANS(BB$7))-(IF($B$4, 9.807, 32.174)*AX36^2)/(2*BA$7^2*COS(RADIANS(BB$7))^2)+$D$7</f>
        <v>3.54618082966986</v>
      </c>
      <c r="BA36" s="123" t="n">
        <f aca="false">MIN($V$5,AZ36)</f>
        <v>3.54618082966986</v>
      </c>
      <c r="BB36" s="112"/>
      <c r="BC36" s="112" t="n">
        <f aca="false">BC35+BC$7/100</f>
        <v>0.56</v>
      </c>
      <c r="BD36" s="112" t="n">
        <f aca="false">BC36</f>
        <v>0.56</v>
      </c>
      <c r="BE36" s="112" t="n">
        <f aca="false">BC36*TAN(RADIANS(BG$7))-(IF($B$4, 9.807, 32.174)*BC36^2)/(2*BF$7^2*COS(RADIANS(BG$7))^2)+$D$7</f>
        <v>3.54618082966986</v>
      </c>
      <c r="BF36" s="123" t="n">
        <f aca="false">MIN($V$5,BE36)</f>
        <v>3.54618082966986</v>
      </c>
      <c r="BG36" s="112"/>
      <c r="BH36" s="112" t="n">
        <f aca="false">BH35+BH$7/100</f>
        <v>0.56</v>
      </c>
      <c r="BI36" s="122" t="n">
        <f aca="false">BH36-IF($I$3="Forward", $D$9, $G$9)</f>
        <v>0.56</v>
      </c>
      <c r="BJ36" s="112" t="n">
        <f aca="false">BH36*TAN(RADIANS(BL$7))-(IF($B$4, 9.807, 32.174)*BH36^2)/(2*BK$7^2*COS(RADIANS(BL$7))^2)+$D$7</f>
        <v>3.54618082966986</v>
      </c>
      <c r="BK36" s="123" t="n">
        <f aca="false">MIN($V$5,BJ36)</f>
        <v>3.54618082966986</v>
      </c>
      <c r="BL36" s="112"/>
      <c r="BM36" s="112" t="n">
        <f aca="false">BM35+BM$7/100</f>
        <v>0.56</v>
      </c>
      <c r="BN36" s="122" t="n">
        <f aca="false">BM36+IF($I$3="Forward", $D$9, $G$9)</f>
        <v>0.56</v>
      </c>
      <c r="BO36" s="112" t="n">
        <f aca="false">BM36*TAN(RADIANS(BQ$7))-(IF($B$4, 9.807, 32.174)*BM36^2)/(2*BP$7^2*COS(RADIANS(BQ$7))^2)+$D$7</f>
        <v>3.54618082966986</v>
      </c>
      <c r="BP36" s="123" t="n">
        <f aca="false">MIN($V$5,BO36)</f>
        <v>3.54618082966986</v>
      </c>
      <c r="BQ36" s="112"/>
      <c r="BR36" s="112" t="n">
        <f aca="false">BR35+BR$7/100</f>
        <v>0.56</v>
      </c>
      <c r="BS36" s="112" t="n">
        <f aca="false">BR36</f>
        <v>0.56</v>
      </c>
      <c r="BT36" s="112" t="n">
        <f aca="false">BR36*TAN(RADIANS(BV$7))-(IF($B$4, 9.807, 32.174)*BR36^2)/(2*BU$7^2*COS(RADIANS(BV$7))^2)+$D$7</f>
        <v>3.54618082966986</v>
      </c>
      <c r="BU36" s="123" t="n">
        <f aca="false">MIN($V$5,BT36)</f>
        <v>3.54618082966986</v>
      </c>
      <c r="BV36" s="112"/>
      <c r="BW36" s="112" t="n">
        <f aca="false">BW35+BW$7/100</f>
        <v>0.56</v>
      </c>
      <c r="BX36" s="122" t="n">
        <f aca="false">BW36-IF($I$3="Forward", $D$9, $G$9)</f>
        <v>0.56</v>
      </c>
      <c r="BY36" s="112" t="n">
        <f aca="false">BW36*TAN(RADIANS(CA$7))-(IF($B$4, 9.807, 32.174)*BW36^2)/(2*BZ$7^2*COS(RADIANS(CA$7))^2)+$D$7</f>
        <v>3.54618082966986</v>
      </c>
      <c r="BZ36" s="123" t="n">
        <f aca="false">MIN($V$5,BY36)</f>
        <v>3.54618082966986</v>
      </c>
      <c r="CA36" s="112"/>
      <c r="CB36" s="112" t="n">
        <f aca="false">CB35+CB$7/100</f>
        <v>0.56</v>
      </c>
      <c r="CC36" s="122" t="n">
        <f aca="false">CB36+IF($I$3="Forward", $D$9, $G$9)</f>
        <v>0.56</v>
      </c>
      <c r="CD36" s="112" t="n">
        <f aca="false">CB36*TAN(RADIANS(CF$7))-(IF($B$4, 9.807, 32.174)*CB36^2)/(2*CE$7^2*COS(RADIANS(CF$7))^2)+$D$7</f>
        <v>3.54618082966986</v>
      </c>
      <c r="CE36" s="123" t="n">
        <f aca="false">MIN($V$5,CD36)</f>
        <v>3.54618082966986</v>
      </c>
      <c r="CF36" s="112"/>
      <c r="CG36" s="124" t="n">
        <f aca="false">CG35+CG$7/100</f>
        <v>0.56</v>
      </c>
      <c r="CH36" s="124" t="n">
        <f aca="false">CG36</f>
        <v>0.56</v>
      </c>
      <c r="CI36" s="124" t="n">
        <f aca="false">CG36*TAN(RADIANS(CK$7))-(IF($B$4, 9.807, 32.174)*CG36^2)/(2*CJ$7^2*COS(RADIANS(CK$7))^2)+$D$7</f>
        <v>3.54618082966986</v>
      </c>
      <c r="CJ36" s="123" t="n">
        <f aca="false">MIN($V$5,CI36)</f>
        <v>3.54618082966986</v>
      </c>
      <c r="CK36" s="124"/>
      <c r="CL36" s="112" t="n">
        <f aca="false">CL35+CL$7/100</f>
        <v>0.56</v>
      </c>
      <c r="CM36" s="122" t="n">
        <f aca="false">CL36-IF($I$3="Forward", $D$9, $G$9)</f>
        <v>0.56</v>
      </c>
      <c r="CN36" s="112" t="n">
        <f aca="false">CL36*TAN(RADIANS(CP$7))-(IF($B$4, 9.807, 32.174)*CL36^2)/(2*CO$7^2*COS(RADIANS(CP$7))^2)+$D$7</f>
        <v>3.54618082966986</v>
      </c>
      <c r="CO36" s="123" t="n">
        <f aca="false">MIN($V$5,CN36)</f>
        <v>3.54618082966986</v>
      </c>
      <c r="CP36" s="112"/>
      <c r="CQ36" s="112" t="n">
        <f aca="false">CQ35+CQ$7/100</f>
        <v>0.56</v>
      </c>
      <c r="CR36" s="122" t="n">
        <f aca="false">CQ36+IF($I$3="Forward", $D$9, $G$9)</f>
        <v>0.56</v>
      </c>
      <c r="CS36" s="112" t="n">
        <f aca="false">CQ36*TAN(RADIANS(CU$7))-(IF($B$4, 9.807, 32.174)*CQ36^2)/(2*CT$7^2*COS(RADIANS(CU$7))^2)+$D$7</f>
        <v>3.54618082966986</v>
      </c>
      <c r="CT36" s="123" t="n">
        <f aca="false">MIN($V$5,CS36)</f>
        <v>3.54618082966986</v>
      </c>
      <c r="CU36" s="112"/>
      <c r="CV36" s="112" t="n">
        <f aca="false">CV35+CV$7/100</f>
        <v>0.56</v>
      </c>
      <c r="CW36" s="112" t="n">
        <f aca="false">CV36</f>
        <v>0.56</v>
      </c>
      <c r="CX36" s="112" t="n">
        <f aca="false">CV36*TAN(RADIANS(CZ$7))-(IF($B$4, 9.807, 32.174)*CV36^2)/(2*CY$7^2*COS(RADIANS(CZ$7))^2)+$D$7</f>
        <v>3.54618082966986</v>
      </c>
      <c r="CY36" s="123" t="n">
        <f aca="false">MIN($V$5,CX36)</f>
        <v>3.54618082966986</v>
      </c>
      <c r="CZ36" s="112"/>
      <c r="DA36" s="112" t="n">
        <f aca="false">DA35+DA$7/100</f>
        <v>0.56</v>
      </c>
      <c r="DB36" s="122" t="n">
        <f aca="false">DA36-IF($I$3="Forward", $D$9, $G$9)</f>
        <v>0.56</v>
      </c>
      <c r="DC36" s="112" t="n">
        <f aca="false">DA36*TAN(RADIANS(DE$7))-(IF($B$4, 9.807, 32.174)*DA36^2)/(2*DD$7^2*COS(RADIANS(DE$7))^2)+$D$7</f>
        <v>3.54618082966986</v>
      </c>
      <c r="DD36" s="123" t="n">
        <f aca="false">MIN($V$5,DC36)</f>
        <v>3.54618082966986</v>
      </c>
      <c r="DE36" s="112"/>
      <c r="DF36" s="112" t="n">
        <f aca="false">DF35+DF$7/100</f>
        <v>0.56</v>
      </c>
      <c r="DG36" s="122" t="n">
        <f aca="false">DF36+IF($I$3="Forward", $D$9, $G$9)</f>
        <v>0.56</v>
      </c>
      <c r="DH36" s="112" t="n">
        <f aca="false">DF36*TAN(RADIANS(DJ$7))-(IF($B$4, 9.807, 32.174)*DF36^2)/(2*DI$7^2*COS(RADIANS(DJ$7))^2)+$D$7</f>
        <v>3.54618082966986</v>
      </c>
      <c r="DI36" s="123" t="n">
        <f aca="false">MIN($V$5,DH36)</f>
        <v>3.54618082966986</v>
      </c>
      <c r="DJ36" s="112"/>
      <c r="DK36" s="112" t="n">
        <f aca="false">DK35+DK$7/100</f>
        <v>0.56</v>
      </c>
      <c r="DL36" s="112" t="n">
        <f aca="false">DK36</f>
        <v>0.56</v>
      </c>
      <c r="DM36" s="112" t="n">
        <f aca="false">DK36*TAN(RADIANS(DO$7))-(IF($B$4, 9.807, 32.174)*DK36^2)/(2*DN$7^2*COS(RADIANS(DO$7))^2)+$D$7</f>
        <v>3.54618082966986</v>
      </c>
      <c r="DN36" s="123" t="n">
        <f aca="false">MIN($V$5,DM36)</f>
        <v>3.54618082966986</v>
      </c>
      <c r="DO36" s="112"/>
      <c r="DP36" s="112" t="n">
        <f aca="false">DP35+DP$7/100</f>
        <v>0.56</v>
      </c>
      <c r="DQ36" s="122" t="n">
        <f aca="false">DP36-IF($I$3="Forward", $D$9, $G$9)</f>
        <v>0.56</v>
      </c>
      <c r="DR36" s="112" t="n">
        <f aca="false">DP36*TAN(RADIANS(DT$7))-(IF($B$4, 9.807, 32.174)*DP36^2)/(2*DS$7^2*COS(RADIANS(DT$7))^2)+$D$7</f>
        <v>3.54618082966986</v>
      </c>
      <c r="DS36" s="123" t="n">
        <f aca="false">MIN($V$5,DR36)</f>
        <v>3.54618082966986</v>
      </c>
      <c r="DT36" s="112"/>
      <c r="DU36" s="112" t="n">
        <f aca="false">DU35+DU$7/100</f>
        <v>0.56</v>
      </c>
      <c r="DV36" s="122" t="n">
        <f aca="false">DU36+IF($I$3="Forward", $D$9, $G$9)</f>
        <v>0.56</v>
      </c>
      <c r="DW36" s="112" t="n">
        <f aca="false">DU36*TAN(RADIANS(DY$7))-(IF($B$4, 9.807, 32.174)*DU36^2)/(2*DX$7^2*COS(RADIANS(DY$7))^2)+$D$7</f>
        <v>3.54618082966986</v>
      </c>
      <c r="DX36" s="123" t="n">
        <f aca="false">MIN($V$5,DW36)</f>
        <v>3.54618082966986</v>
      </c>
      <c r="DY36" s="112"/>
      <c r="DZ36" s="112" t="n">
        <f aca="false">DZ35+DZ$7/100</f>
        <v>0.56</v>
      </c>
      <c r="EA36" s="112" t="n">
        <f aca="false">DZ36</f>
        <v>0.56</v>
      </c>
      <c r="EB36" s="112" t="n">
        <f aca="false">DZ36*TAN(RADIANS(ED$7))-(IF($B$4, 9.807, 32.174)*DZ36^2)/(2*EC$7^2*COS(RADIANS(ED$7))^2)+$D$7</f>
        <v>3.54618082966986</v>
      </c>
      <c r="EC36" s="123" t="n">
        <f aca="false">MIN($V$5,EB36)</f>
        <v>3.54618082966986</v>
      </c>
      <c r="ED36" s="112"/>
      <c r="EE36" s="112" t="n">
        <f aca="false">EE35+EE$7/100</f>
        <v>0.56</v>
      </c>
      <c r="EF36" s="122" t="n">
        <f aca="false">EE36-IF($I$3="Forward", $D$9, $G$9)</f>
        <v>0.56</v>
      </c>
      <c r="EG36" s="112" t="n">
        <f aca="false">EE36*TAN(RADIANS(EI$7))-(IF($B$4, 9.807, 32.174)*EE36^2)/(2*EH$7^2*COS(RADIANS(EI$7))^2)+$D$7</f>
        <v>3.54618082966986</v>
      </c>
      <c r="EH36" s="123" t="n">
        <f aca="false">MIN($V$5,EG36)</f>
        <v>3.54618082966986</v>
      </c>
      <c r="EI36" s="112"/>
      <c r="EJ36" s="112" t="n">
        <f aca="false">EJ35+EJ$7/100</f>
        <v>0.56</v>
      </c>
      <c r="EK36" s="122" t="n">
        <f aca="false">EJ36+IF($I$3="Forward", $D$9, $G$9)</f>
        <v>0.56</v>
      </c>
      <c r="EL36" s="112" t="n">
        <f aca="false">EJ36*TAN(RADIANS(EN$7))-(IF($B$4, 9.807, 32.174)*EJ36^2)/(2*EM$7^2*COS(RADIANS(EN$7))^2)+$D$7</f>
        <v>3.54618082966986</v>
      </c>
      <c r="EM36" s="123" t="n">
        <f aca="false">MIN($V$5,EL36)</f>
        <v>3.54618082966986</v>
      </c>
      <c r="EN36" s="112"/>
      <c r="EO36" s="112" t="n">
        <f aca="false">EO35+EO$7/100</f>
        <v>0.56</v>
      </c>
      <c r="EP36" s="112" t="n">
        <f aca="false">EO36</f>
        <v>0.56</v>
      </c>
      <c r="EQ36" s="112" t="n">
        <f aca="false">EO36*TAN(RADIANS(ES$7))-(IF($B$4, 9.807, 32.174)*EO36^2)/(2*ER$7^2*COS(RADIANS(ES$7))^2)+$D$7</f>
        <v>3.54618082966986</v>
      </c>
      <c r="ER36" s="123" t="n">
        <f aca="false">MIN($V$5,EQ36)</f>
        <v>3.54618082966986</v>
      </c>
      <c r="ES36" s="112"/>
      <c r="ET36" s="112" t="n">
        <f aca="false">ET35+ET$7/100</f>
        <v>0.56</v>
      </c>
      <c r="EU36" s="122" t="n">
        <f aca="false">ET36-IF($I$3="Forward", $D$9, $G$9)</f>
        <v>0.56</v>
      </c>
      <c r="EV36" s="112" t="n">
        <f aca="false">ET36*TAN(RADIANS(EX$7))-(IF($B$4, 9.807, 32.174)*ET36^2)/(2*EW$7^2*COS(RADIANS(EX$7))^2)+$D$7</f>
        <v>3.54618082966986</v>
      </c>
      <c r="EW36" s="123" t="n">
        <f aca="false">MIN($V$5,EV36)</f>
        <v>3.54618082966986</v>
      </c>
      <c r="EX36" s="112"/>
    </row>
    <row r="37" s="131" customFormat="true" ht="15" hidden="false" customHeight="false" outlineLevel="0" collapsed="false">
      <c r="T37" s="112" t="n">
        <f aca="false">T36+T$7/100</f>
        <v>0.58</v>
      </c>
      <c r="U37" s="122" t="n">
        <f aca="false">T37+IF($I$3="Forward", $D$9, $G$9)</f>
        <v>0.58</v>
      </c>
      <c r="V37" s="112" t="n">
        <f aca="false">T37*TAN(RADIANS(X$7))-(IF($B$4, 9.807, 32.174)*T37^2)/(2*W$7^2*COS(RADIANS(X$7))^2)+$D$7</f>
        <v>3.62641385331857</v>
      </c>
      <c r="W37" s="123" t="n">
        <f aca="false">MIN($V$5,V37)</f>
        <v>3.62641385331857</v>
      </c>
      <c r="X37" s="112"/>
      <c r="Y37" s="112" t="n">
        <f aca="false">Y36+Y$7/100</f>
        <v>0.58</v>
      </c>
      <c r="Z37" s="112" t="n">
        <f aca="false">Y37</f>
        <v>0.58</v>
      </c>
      <c r="AA37" s="112" t="n">
        <f aca="false">Y37*TAN(RADIANS(AC$7))-(IF($B$4, 9.807, 32.174)*Y37^2)/(2*AB$7^2*COS(RADIANS(AC$7))^2)+$D$7</f>
        <v>3.62641385331857</v>
      </c>
      <c r="AB37" s="123" t="n">
        <f aca="false">MIN($V$5,AA37)</f>
        <v>3.62641385331857</v>
      </c>
      <c r="AC37" s="112"/>
      <c r="AD37" s="112" t="n">
        <f aca="false">AD36+AD$7/100</f>
        <v>0.58</v>
      </c>
      <c r="AE37" s="122" t="n">
        <f aca="false">AD37-IF($I$3="Forward", $D$9, $G$9)</f>
        <v>0.58</v>
      </c>
      <c r="AF37" s="112" t="n">
        <f aca="false">AD37*TAN(RADIANS(AH$7))-(IF($B$4, 9.807, 32.174)*AD37^2)/(2*AG$7^2*COS(RADIANS(AH$7))^2)+$D$7</f>
        <v>3.62641385331857</v>
      </c>
      <c r="AG37" s="123" t="n">
        <f aca="false">MIN($V$5,AF37)</f>
        <v>3.62641385331857</v>
      </c>
      <c r="AH37" s="112"/>
      <c r="AI37" s="112" t="n">
        <f aca="false">AI36+AI$7/100</f>
        <v>0.58</v>
      </c>
      <c r="AJ37" s="122" t="n">
        <f aca="false">AI37+IF($I$3="Forward", $D$9, $G$9)</f>
        <v>0.58</v>
      </c>
      <c r="AK37" s="112" t="n">
        <f aca="false">AI37*TAN(RADIANS(AM$7))-(IF($B$4, 9.807, 32.174)*AI37^2)/(2*AL$7^2*COS(RADIANS(AM$7))^2)+$D$7</f>
        <v>3.62641385331857</v>
      </c>
      <c r="AL37" s="123" t="n">
        <f aca="false">MIN($V$5,AK37)</f>
        <v>3.62641385331857</v>
      </c>
      <c r="AM37" s="112"/>
      <c r="AN37" s="112" t="n">
        <f aca="false">AN36+AN$7/100</f>
        <v>0.58</v>
      </c>
      <c r="AO37" s="112" t="n">
        <f aca="false">AN37</f>
        <v>0.58</v>
      </c>
      <c r="AP37" s="112" t="n">
        <f aca="false">AN37*TAN(RADIANS(AR$7))-(IF($B$4, 9.807, 32.174)*AN37^2)/(2*AQ$7^2*COS(RADIANS(AR$7))^2)+$D$7</f>
        <v>3.62641385331857</v>
      </c>
      <c r="AQ37" s="123" t="n">
        <f aca="false">MIN($V$5,AP37)</f>
        <v>3.62641385331857</v>
      </c>
      <c r="AR37" s="112"/>
      <c r="AS37" s="112" t="n">
        <f aca="false">AS36+AS$7/100</f>
        <v>0.58</v>
      </c>
      <c r="AT37" s="122" t="n">
        <f aca="false">AS37-IF($I$3="Forward", $D$9, $G$9)</f>
        <v>0.58</v>
      </c>
      <c r="AU37" s="112" t="n">
        <f aca="false">AS37*TAN(RADIANS(AW$7))-(IF($B$4, 9.807, 32.174)*AS37^2)/(2*AV$7^2*COS(RADIANS(AW$7))^2)+$D$7</f>
        <v>3.62641385331857</v>
      </c>
      <c r="AV37" s="123" t="n">
        <f aca="false">MIN($V$5,AU37)</f>
        <v>3.62641385331857</v>
      </c>
      <c r="AW37" s="112"/>
      <c r="AX37" s="112" t="n">
        <f aca="false">AX36+AX$7/100</f>
        <v>0.58</v>
      </c>
      <c r="AY37" s="122" t="n">
        <f aca="false">AX37+IF($I$3="Forward", $D$9, $G$9)</f>
        <v>0.58</v>
      </c>
      <c r="AZ37" s="112" t="n">
        <f aca="false">AX37*TAN(RADIANS(BB$7))-(IF($B$4, 9.807, 32.174)*AX37^2)/(2*BA$7^2*COS(RADIANS(BB$7))^2)+$D$7</f>
        <v>3.62641385331857</v>
      </c>
      <c r="BA37" s="123" t="n">
        <f aca="false">MIN($V$5,AZ37)</f>
        <v>3.62641385331857</v>
      </c>
      <c r="BB37" s="112"/>
      <c r="BC37" s="112" t="n">
        <f aca="false">BC36+BC$7/100</f>
        <v>0.58</v>
      </c>
      <c r="BD37" s="112" t="n">
        <f aca="false">BC37</f>
        <v>0.58</v>
      </c>
      <c r="BE37" s="112" t="n">
        <f aca="false">BC37*TAN(RADIANS(BG$7))-(IF($B$4, 9.807, 32.174)*BC37^2)/(2*BF$7^2*COS(RADIANS(BG$7))^2)+$D$7</f>
        <v>3.62641385331857</v>
      </c>
      <c r="BF37" s="123" t="n">
        <f aca="false">MIN($V$5,BE37)</f>
        <v>3.62641385331857</v>
      </c>
      <c r="BG37" s="112"/>
      <c r="BH37" s="112" t="n">
        <f aca="false">BH36+BH$7/100</f>
        <v>0.58</v>
      </c>
      <c r="BI37" s="122" t="n">
        <f aca="false">BH37-IF($I$3="Forward", $D$9, $G$9)</f>
        <v>0.58</v>
      </c>
      <c r="BJ37" s="112" t="n">
        <f aca="false">BH37*TAN(RADIANS(BL$7))-(IF($B$4, 9.807, 32.174)*BH37^2)/(2*BK$7^2*COS(RADIANS(BL$7))^2)+$D$7</f>
        <v>3.62641385331857</v>
      </c>
      <c r="BK37" s="123" t="n">
        <f aca="false">MIN($V$5,BJ37)</f>
        <v>3.62641385331857</v>
      </c>
      <c r="BL37" s="112"/>
      <c r="BM37" s="112" t="n">
        <f aca="false">BM36+BM$7/100</f>
        <v>0.58</v>
      </c>
      <c r="BN37" s="122" t="n">
        <f aca="false">BM37+IF($I$3="Forward", $D$9, $G$9)</f>
        <v>0.58</v>
      </c>
      <c r="BO37" s="112" t="n">
        <f aca="false">BM37*TAN(RADIANS(BQ$7))-(IF($B$4, 9.807, 32.174)*BM37^2)/(2*BP$7^2*COS(RADIANS(BQ$7))^2)+$D$7</f>
        <v>3.62641385331857</v>
      </c>
      <c r="BP37" s="123" t="n">
        <f aca="false">MIN($V$5,BO37)</f>
        <v>3.62641385331857</v>
      </c>
      <c r="BQ37" s="112"/>
      <c r="BR37" s="112" t="n">
        <f aca="false">BR36+BR$7/100</f>
        <v>0.58</v>
      </c>
      <c r="BS37" s="112" t="n">
        <f aca="false">BR37</f>
        <v>0.58</v>
      </c>
      <c r="BT37" s="112" t="n">
        <f aca="false">BR37*TAN(RADIANS(BV$7))-(IF($B$4, 9.807, 32.174)*BR37^2)/(2*BU$7^2*COS(RADIANS(BV$7))^2)+$D$7</f>
        <v>3.62641385331857</v>
      </c>
      <c r="BU37" s="123" t="n">
        <f aca="false">MIN($V$5,BT37)</f>
        <v>3.62641385331857</v>
      </c>
      <c r="BV37" s="112"/>
      <c r="BW37" s="112" t="n">
        <f aca="false">BW36+BW$7/100</f>
        <v>0.58</v>
      </c>
      <c r="BX37" s="122" t="n">
        <f aca="false">BW37-IF($I$3="Forward", $D$9, $G$9)</f>
        <v>0.58</v>
      </c>
      <c r="BY37" s="112" t="n">
        <f aca="false">BW37*TAN(RADIANS(CA$7))-(IF($B$4, 9.807, 32.174)*BW37^2)/(2*BZ$7^2*COS(RADIANS(CA$7))^2)+$D$7</f>
        <v>3.62641385331857</v>
      </c>
      <c r="BZ37" s="123" t="n">
        <f aca="false">MIN($V$5,BY37)</f>
        <v>3.62641385331857</v>
      </c>
      <c r="CA37" s="112"/>
      <c r="CB37" s="112" t="n">
        <f aca="false">CB36+CB$7/100</f>
        <v>0.58</v>
      </c>
      <c r="CC37" s="122" t="n">
        <f aca="false">CB37+IF($I$3="Forward", $D$9, $G$9)</f>
        <v>0.58</v>
      </c>
      <c r="CD37" s="112" t="n">
        <f aca="false">CB37*TAN(RADIANS(CF$7))-(IF($B$4, 9.807, 32.174)*CB37^2)/(2*CE$7^2*COS(RADIANS(CF$7))^2)+$D$7</f>
        <v>3.62641385331857</v>
      </c>
      <c r="CE37" s="123" t="n">
        <f aca="false">MIN($V$5,CD37)</f>
        <v>3.62641385331857</v>
      </c>
      <c r="CF37" s="112"/>
      <c r="CG37" s="124" t="n">
        <f aca="false">CG36+CG$7/100</f>
        <v>0.58</v>
      </c>
      <c r="CH37" s="124" t="n">
        <f aca="false">CG37</f>
        <v>0.58</v>
      </c>
      <c r="CI37" s="124" t="n">
        <f aca="false">CG37*TAN(RADIANS(CK$7))-(IF($B$4, 9.807, 32.174)*CG37^2)/(2*CJ$7^2*COS(RADIANS(CK$7))^2)+$D$7</f>
        <v>3.62641385331857</v>
      </c>
      <c r="CJ37" s="123" t="n">
        <f aca="false">MIN($V$5,CI37)</f>
        <v>3.62641385331857</v>
      </c>
      <c r="CK37" s="124"/>
      <c r="CL37" s="112" t="n">
        <f aca="false">CL36+CL$7/100</f>
        <v>0.58</v>
      </c>
      <c r="CM37" s="122" t="n">
        <f aca="false">CL37-IF($I$3="Forward", $D$9, $G$9)</f>
        <v>0.58</v>
      </c>
      <c r="CN37" s="112" t="n">
        <f aca="false">CL37*TAN(RADIANS(CP$7))-(IF($B$4, 9.807, 32.174)*CL37^2)/(2*CO$7^2*COS(RADIANS(CP$7))^2)+$D$7</f>
        <v>3.62641385331857</v>
      </c>
      <c r="CO37" s="123" t="n">
        <f aca="false">MIN($V$5,CN37)</f>
        <v>3.62641385331857</v>
      </c>
      <c r="CP37" s="112"/>
      <c r="CQ37" s="112" t="n">
        <f aca="false">CQ36+CQ$7/100</f>
        <v>0.58</v>
      </c>
      <c r="CR37" s="122" t="n">
        <f aca="false">CQ37+IF($I$3="Forward", $D$9, $G$9)</f>
        <v>0.58</v>
      </c>
      <c r="CS37" s="112" t="n">
        <f aca="false">CQ37*TAN(RADIANS(CU$7))-(IF($B$4, 9.807, 32.174)*CQ37^2)/(2*CT$7^2*COS(RADIANS(CU$7))^2)+$D$7</f>
        <v>3.62641385331857</v>
      </c>
      <c r="CT37" s="123" t="n">
        <f aca="false">MIN($V$5,CS37)</f>
        <v>3.62641385331857</v>
      </c>
      <c r="CU37" s="112"/>
      <c r="CV37" s="112" t="n">
        <f aca="false">CV36+CV$7/100</f>
        <v>0.58</v>
      </c>
      <c r="CW37" s="112" t="n">
        <f aca="false">CV37</f>
        <v>0.58</v>
      </c>
      <c r="CX37" s="112" t="n">
        <f aca="false">CV37*TAN(RADIANS(CZ$7))-(IF($B$4, 9.807, 32.174)*CV37^2)/(2*CY$7^2*COS(RADIANS(CZ$7))^2)+$D$7</f>
        <v>3.62641385331857</v>
      </c>
      <c r="CY37" s="123" t="n">
        <f aca="false">MIN($V$5,CX37)</f>
        <v>3.62641385331857</v>
      </c>
      <c r="CZ37" s="112"/>
      <c r="DA37" s="112" t="n">
        <f aca="false">DA36+DA$7/100</f>
        <v>0.58</v>
      </c>
      <c r="DB37" s="122" t="n">
        <f aca="false">DA37-IF($I$3="Forward", $D$9, $G$9)</f>
        <v>0.58</v>
      </c>
      <c r="DC37" s="112" t="n">
        <f aca="false">DA37*TAN(RADIANS(DE$7))-(IF($B$4, 9.807, 32.174)*DA37^2)/(2*DD$7^2*COS(RADIANS(DE$7))^2)+$D$7</f>
        <v>3.62641385331857</v>
      </c>
      <c r="DD37" s="123" t="n">
        <f aca="false">MIN($V$5,DC37)</f>
        <v>3.62641385331857</v>
      </c>
      <c r="DE37" s="112"/>
      <c r="DF37" s="112" t="n">
        <f aca="false">DF36+DF$7/100</f>
        <v>0.58</v>
      </c>
      <c r="DG37" s="122" t="n">
        <f aca="false">DF37+IF($I$3="Forward", $D$9, $G$9)</f>
        <v>0.58</v>
      </c>
      <c r="DH37" s="112" t="n">
        <f aca="false">DF37*TAN(RADIANS(DJ$7))-(IF($B$4, 9.807, 32.174)*DF37^2)/(2*DI$7^2*COS(RADIANS(DJ$7))^2)+$D$7</f>
        <v>3.62641385331857</v>
      </c>
      <c r="DI37" s="123" t="n">
        <f aca="false">MIN($V$5,DH37)</f>
        <v>3.62641385331857</v>
      </c>
      <c r="DJ37" s="112"/>
      <c r="DK37" s="112" t="n">
        <f aca="false">DK36+DK$7/100</f>
        <v>0.58</v>
      </c>
      <c r="DL37" s="112" t="n">
        <f aca="false">DK37</f>
        <v>0.58</v>
      </c>
      <c r="DM37" s="112" t="n">
        <f aca="false">DK37*TAN(RADIANS(DO$7))-(IF($B$4, 9.807, 32.174)*DK37^2)/(2*DN$7^2*COS(RADIANS(DO$7))^2)+$D$7</f>
        <v>3.62641385331857</v>
      </c>
      <c r="DN37" s="123" t="n">
        <f aca="false">MIN($V$5,DM37)</f>
        <v>3.62641385331857</v>
      </c>
      <c r="DO37" s="112"/>
      <c r="DP37" s="112" t="n">
        <f aca="false">DP36+DP$7/100</f>
        <v>0.58</v>
      </c>
      <c r="DQ37" s="122" t="n">
        <f aca="false">DP37-IF($I$3="Forward", $D$9, $G$9)</f>
        <v>0.58</v>
      </c>
      <c r="DR37" s="112" t="n">
        <f aca="false">DP37*TAN(RADIANS(DT$7))-(IF($B$4, 9.807, 32.174)*DP37^2)/(2*DS$7^2*COS(RADIANS(DT$7))^2)+$D$7</f>
        <v>3.62641385331857</v>
      </c>
      <c r="DS37" s="123" t="n">
        <f aca="false">MIN($V$5,DR37)</f>
        <v>3.62641385331857</v>
      </c>
      <c r="DT37" s="112"/>
      <c r="DU37" s="112" t="n">
        <f aca="false">DU36+DU$7/100</f>
        <v>0.58</v>
      </c>
      <c r="DV37" s="122" t="n">
        <f aca="false">DU37+IF($I$3="Forward", $D$9, $G$9)</f>
        <v>0.58</v>
      </c>
      <c r="DW37" s="112" t="n">
        <f aca="false">DU37*TAN(RADIANS(DY$7))-(IF($B$4, 9.807, 32.174)*DU37^2)/(2*DX$7^2*COS(RADIANS(DY$7))^2)+$D$7</f>
        <v>3.62641385331857</v>
      </c>
      <c r="DX37" s="123" t="n">
        <f aca="false">MIN($V$5,DW37)</f>
        <v>3.62641385331857</v>
      </c>
      <c r="DY37" s="112"/>
      <c r="DZ37" s="112" t="n">
        <f aca="false">DZ36+DZ$7/100</f>
        <v>0.58</v>
      </c>
      <c r="EA37" s="112" t="n">
        <f aca="false">DZ37</f>
        <v>0.58</v>
      </c>
      <c r="EB37" s="112" t="n">
        <f aca="false">DZ37*TAN(RADIANS(ED$7))-(IF($B$4, 9.807, 32.174)*DZ37^2)/(2*EC$7^2*COS(RADIANS(ED$7))^2)+$D$7</f>
        <v>3.62641385331857</v>
      </c>
      <c r="EC37" s="123" t="n">
        <f aca="false">MIN($V$5,EB37)</f>
        <v>3.62641385331857</v>
      </c>
      <c r="ED37" s="112"/>
      <c r="EE37" s="112" t="n">
        <f aca="false">EE36+EE$7/100</f>
        <v>0.58</v>
      </c>
      <c r="EF37" s="122" t="n">
        <f aca="false">EE37-IF($I$3="Forward", $D$9, $G$9)</f>
        <v>0.58</v>
      </c>
      <c r="EG37" s="112" t="n">
        <f aca="false">EE37*TAN(RADIANS(EI$7))-(IF($B$4, 9.807, 32.174)*EE37^2)/(2*EH$7^2*COS(RADIANS(EI$7))^2)+$D$7</f>
        <v>3.62641385331857</v>
      </c>
      <c r="EH37" s="123" t="n">
        <f aca="false">MIN($V$5,EG37)</f>
        <v>3.62641385331857</v>
      </c>
      <c r="EI37" s="112"/>
      <c r="EJ37" s="112" t="n">
        <f aca="false">EJ36+EJ$7/100</f>
        <v>0.58</v>
      </c>
      <c r="EK37" s="122" t="n">
        <f aca="false">EJ37+IF($I$3="Forward", $D$9, $G$9)</f>
        <v>0.58</v>
      </c>
      <c r="EL37" s="112" t="n">
        <f aca="false">EJ37*TAN(RADIANS(EN$7))-(IF($B$4, 9.807, 32.174)*EJ37^2)/(2*EM$7^2*COS(RADIANS(EN$7))^2)+$D$7</f>
        <v>3.62641385331857</v>
      </c>
      <c r="EM37" s="123" t="n">
        <f aca="false">MIN($V$5,EL37)</f>
        <v>3.62641385331857</v>
      </c>
      <c r="EN37" s="112"/>
      <c r="EO37" s="112" t="n">
        <f aca="false">EO36+EO$7/100</f>
        <v>0.58</v>
      </c>
      <c r="EP37" s="112" t="n">
        <f aca="false">EO37</f>
        <v>0.58</v>
      </c>
      <c r="EQ37" s="112" t="n">
        <f aca="false">EO37*TAN(RADIANS(ES$7))-(IF($B$4, 9.807, 32.174)*EO37^2)/(2*ER$7^2*COS(RADIANS(ES$7))^2)+$D$7</f>
        <v>3.62641385331857</v>
      </c>
      <c r="ER37" s="123" t="n">
        <f aca="false">MIN($V$5,EQ37)</f>
        <v>3.62641385331857</v>
      </c>
      <c r="ES37" s="112"/>
      <c r="ET37" s="112" t="n">
        <f aca="false">ET36+ET$7/100</f>
        <v>0.58</v>
      </c>
      <c r="EU37" s="122" t="n">
        <f aca="false">ET37-IF($I$3="Forward", $D$9, $G$9)</f>
        <v>0.58</v>
      </c>
      <c r="EV37" s="112" t="n">
        <f aca="false">ET37*TAN(RADIANS(EX$7))-(IF($B$4, 9.807, 32.174)*ET37^2)/(2*EW$7^2*COS(RADIANS(EX$7))^2)+$D$7</f>
        <v>3.62641385331857</v>
      </c>
      <c r="EW37" s="123" t="n">
        <f aca="false">MIN($V$5,EV37)</f>
        <v>3.62641385331857</v>
      </c>
      <c r="EX37" s="112"/>
    </row>
    <row r="38" s="131" customFormat="true" ht="15" hidden="false" customHeight="false" outlineLevel="0" collapsed="false">
      <c r="T38" s="112" t="n">
        <f aca="false">T37+T$7/100</f>
        <v>0.6</v>
      </c>
      <c r="U38" s="122" t="n">
        <f aca="false">T38+IF($I$3="Forward", $D$9, $G$9)</f>
        <v>0.6</v>
      </c>
      <c r="V38" s="112" t="n">
        <f aca="false">T38*TAN(RADIANS(X$7))-(IF($B$4, 9.807, 32.174)*T38^2)/(2*W$7^2*COS(RADIANS(X$7))^2)+$D$7</f>
        <v>3.70393836423944</v>
      </c>
      <c r="W38" s="123" t="n">
        <f aca="false">MIN($V$5,V38)</f>
        <v>3.70393836423944</v>
      </c>
      <c r="X38" s="112"/>
      <c r="Y38" s="112" t="n">
        <f aca="false">Y37+Y$7/100</f>
        <v>0.6</v>
      </c>
      <c r="Z38" s="112" t="n">
        <f aca="false">Y38</f>
        <v>0.6</v>
      </c>
      <c r="AA38" s="112" t="n">
        <f aca="false">Y38*TAN(RADIANS(AC$7))-(IF($B$4, 9.807, 32.174)*Y38^2)/(2*AB$7^2*COS(RADIANS(AC$7))^2)+$D$7</f>
        <v>3.70393836423944</v>
      </c>
      <c r="AB38" s="123" t="n">
        <f aca="false">MIN($V$5,AA38)</f>
        <v>3.70393836423944</v>
      </c>
      <c r="AC38" s="112"/>
      <c r="AD38" s="112" t="n">
        <f aca="false">AD37+AD$7/100</f>
        <v>0.6</v>
      </c>
      <c r="AE38" s="122" t="n">
        <f aca="false">AD38-IF($I$3="Forward", $D$9, $G$9)</f>
        <v>0.6</v>
      </c>
      <c r="AF38" s="112" t="n">
        <f aca="false">AD38*TAN(RADIANS(AH$7))-(IF($B$4, 9.807, 32.174)*AD38^2)/(2*AG$7^2*COS(RADIANS(AH$7))^2)+$D$7</f>
        <v>3.70393836423944</v>
      </c>
      <c r="AG38" s="123" t="n">
        <f aca="false">MIN($V$5,AF38)</f>
        <v>3.70393836423944</v>
      </c>
      <c r="AH38" s="112"/>
      <c r="AI38" s="112" t="n">
        <f aca="false">AI37+AI$7/100</f>
        <v>0.6</v>
      </c>
      <c r="AJ38" s="122" t="n">
        <f aca="false">AI38+IF($I$3="Forward", $D$9, $G$9)</f>
        <v>0.6</v>
      </c>
      <c r="AK38" s="112" t="n">
        <f aca="false">AI38*TAN(RADIANS(AM$7))-(IF($B$4, 9.807, 32.174)*AI38^2)/(2*AL$7^2*COS(RADIANS(AM$7))^2)+$D$7</f>
        <v>3.70393836423944</v>
      </c>
      <c r="AL38" s="123" t="n">
        <f aca="false">MIN($V$5,AK38)</f>
        <v>3.70393836423944</v>
      </c>
      <c r="AM38" s="112"/>
      <c r="AN38" s="112" t="n">
        <f aca="false">AN37+AN$7/100</f>
        <v>0.6</v>
      </c>
      <c r="AO38" s="112" t="n">
        <f aca="false">AN38</f>
        <v>0.6</v>
      </c>
      <c r="AP38" s="112" t="n">
        <f aca="false">AN38*TAN(RADIANS(AR$7))-(IF($B$4, 9.807, 32.174)*AN38^2)/(2*AQ$7^2*COS(RADIANS(AR$7))^2)+$D$7</f>
        <v>3.70393836423944</v>
      </c>
      <c r="AQ38" s="123" t="n">
        <f aca="false">MIN($V$5,AP38)</f>
        <v>3.70393836423944</v>
      </c>
      <c r="AR38" s="112"/>
      <c r="AS38" s="112" t="n">
        <f aca="false">AS37+AS$7/100</f>
        <v>0.6</v>
      </c>
      <c r="AT38" s="122" t="n">
        <f aca="false">AS38-IF($I$3="Forward", $D$9, $G$9)</f>
        <v>0.6</v>
      </c>
      <c r="AU38" s="112" t="n">
        <f aca="false">AS38*TAN(RADIANS(AW$7))-(IF($B$4, 9.807, 32.174)*AS38^2)/(2*AV$7^2*COS(RADIANS(AW$7))^2)+$D$7</f>
        <v>3.70393836423944</v>
      </c>
      <c r="AV38" s="123" t="n">
        <f aca="false">MIN($V$5,AU38)</f>
        <v>3.70393836423944</v>
      </c>
      <c r="AW38" s="112"/>
      <c r="AX38" s="112" t="n">
        <f aca="false">AX37+AX$7/100</f>
        <v>0.6</v>
      </c>
      <c r="AY38" s="122" t="n">
        <f aca="false">AX38+IF($I$3="Forward", $D$9, $G$9)</f>
        <v>0.6</v>
      </c>
      <c r="AZ38" s="112" t="n">
        <f aca="false">AX38*TAN(RADIANS(BB$7))-(IF($B$4, 9.807, 32.174)*AX38^2)/(2*BA$7^2*COS(RADIANS(BB$7))^2)+$D$7</f>
        <v>3.70393836423944</v>
      </c>
      <c r="BA38" s="123" t="n">
        <f aca="false">MIN($V$5,AZ38)</f>
        <v>3.70393836423944</v>
      </c>
      <c r="BB38" s="112"/>
      <c r="BC38" s="112" t="n">
        <f aca="false">BC37+BC$7/100</f>
        <v>0.6</v>
      </c>
      <c r="BD38" s="112" t="n">
        <f aca="false">BC38</f>
        <v>0.6</v>
      </c>
      <c r="BE38" s="112" t="n">
        <f aca="false">BC38*TAN(RADIANS(BG$7))-(IF($B$4, 9.807, 32.174)*BC38^2)/(2*BF$7^2*COS(RADIANS(BG$7))^2)+$D$7</f>
        <v>3.70393836423944</v>
      </c>
      <c r="BF38" s="123" t="n">
        <f aca="false">MIN($V$5,BE38)</f>
        <v>3.70393836423944</v>
      </c>
      <c r="BG38" s="112"/>
      <c r="BH38" s="112" t="n">
        <f aca="false">BH37+BH$7/100</f>
        <v>0.6</v>
      </c>
      <c r="BI38" s="122" t="n">
        <f aca="false">BH38-IF($I$3="Forward", $D$9, $G$9)</f>
        <v>0.6</v>
      </c>
      <c r="BJ38" s="112" t="n">
        <f aca="false">BH38*TAN(RADIANS(BL$7))-(IF($B$4, 9.807, 32.174)*BH38^2)/(2*BK$7^2*COS(RADIANS(BL$7))^2)+$D$7</f>
        <v>3.70393836423944</v>
      </c>
      <c r="BK38" s="123" t="n">
        <f aca="false">MIN($V$5,BJ38)</f>
        <v>3.70393836423944</v>
      </c>
      <c r="BL38" s="112"/>
      <c r="BM38" s="112" t="n">
        <f aca="false">BM37+BM$7/100</f>
        <v>0.6</v>
      </c>
      <c r="BN38" s="122" t="n">
        <f aca="false">BM38+IF($I$3="Forward", $D$9, $G$9)</f>
        <v>0.6</v>
      </c>
      <c r="BO38" s="112" t="n">
        <f aca="false">BM38*TAN(RADIANS(BQ$7))-(IF($B$4, 9.807, 32.174)*BM38^2)/(2*BP$7^2*COS(RADIANS(BQ$7))^2)+$D$7</f>
        <v>3.70393836423944</v>
      </c>
      <c r="BP38" s="123" t="n">
        <f aca="false">MIN($V$5,BO38)</f>
        <v>3.70393836423944</v>
      </c>
      <c r="BQ38" s="112"/>
      <c r="BR38" s="112" t="n">
        <f aca="false">BR37+BR$7/100</f>
        <v>0.6</v>
      </c>
      <c r="BS38" s="112" t="n">
        <f aca="false">BR38</f>
        <v>0.6</v>
      </c>
      <c r="BT38" s="112" t="n">
        <f aca="false">BR38*TAN(RADIANS(BV$7))-(IF($B$4, 9.807, 32.174)*BR38^2)/(2*BU$7^2*COS(RADIANS(BV$7))^2)+$D$7</f>
        <v>3.70393836423944</v>
      </c>
      <c r="BU38" s="123" t="n">
        <f aca="false">MIN($V$5,BT38)</f>
        <v>3.70393836423944</v>
      </c>
      <c r="BV38" s="112"/>
      <c r="BW38" s="112" t="n">
        <f aca="false">BW37+BW$7/100</f>
        <v>0.6</v>
      </c>
      <c r="BX38" s="122" t="n">
        <f aca="false">BW38-IF($I$3="Forward", $D$9, $G$9)</f>
        <v>0.6</v>
      </c>
      <c r="BY38" s="112" t="n">
        <f aca="false">BW38*TAN(RADIANS(CA$7))-(IF($B$4, 9.807, 32.174)*BW38^2)/(2*BZ$7^2*COS(RADIANS(CA$7))^2)+$D$7</f>
        <v>3.70393836423944</v>
      </c>
      <c r="BZ38" s="123" t="n">
        <f aca="false">MIN($V$5,BY38)</f>
        <v>3.70393836423944</v>
      </c>
      <c r="CA38" s="112"/>
      <c r="CB38" s="112" t="n">
        <f aca="false">CB37+CB$7/100</f>
        <v>0.6</v>
      </c>
      <c r="CC38" s="122" t="n">
        <f aca="false">CB38+IF($I$3="Forward", $D$9, $G$9)</f>
        <v>0.6</v>
      </c>
      <c r="CD38" s="112" t="n">
        <f aca="false">CB38*TAN(RADIANS(CF$7))-(IF($B$4, 9.807, 32.174)*CB38^2)/(2*CE$7^2*COS(RADIANS(CF$7))^2)+$D$7</f>
        <v>3.70393836423944</v>
      </c>
      <c r="CE38" s="123" t="n">
        <f aca="false">MIN($V$5,CD38)</f>
        <v>3.70393836423944</v>
      </c>
      <c r="CF38" s="112"/>
      <c r="CG38" s="124" t="n">
        <f aca="false">CG37+CG$7/100</f>
        <v>0.6</v>
      </c>
      <c r="CH38" s="124" t="n">
        <f aca="false">CG38</f>
        <v>0.6</v>
      </c>
      <c r="CI38" s="124" t="n">
        <f aca="false">CG38*TAN(RADIANS(CK$7))-(IF($B$4, 9.807, 32.174)*CG38^2)/(2*CJ$7^2*COS(RADIANS(CK$7))^2)+$D$7</f>
        <v>3.70393836423944</v>
      </c>
      <c r="CJ38" s="123" t="n">
        <f aca="false">MIN($V$5,CI38)</f>
        <v>3.70393836423944</v>
      </c>
      <c r="CK38" s="124"/>
      <c r="CL38" s="112" t="n">
        <f aca="false">CL37+CL$7/100</f>
        <v>0.6</v>
      </c>
      <c r="CM38" s="122" t="n">
        <f aca="false">CL38-IF($I$3="Forward", $D$9, $G$9)</f>
        <v>0.6</v>
      </c>
      <c r="CN38" s="112" t="n">
        <f aca="false">CL38*TAN(RADIANS(CP$7))-(IF($B$4, 9.807, 32.174)*CL38^2)/(2*CO$7^2*COS(RADIANS(CP$7))^2)+$D$7</f>
        <v>3.70393836423944</v>
      </c>
      <c r="CO38" s="123" t="n">
        <f aca="false">MIN($V$5,CN38)</f>
        <v>3.70393836423944</v>
      </c>
      <c r="CP38" s="112"/>
      <c r="CQ38" s="112" t="n">
        <f aca="false">CQ37+CQ$7/100</f>
        <v>0.6</v>
      </c>
      <c r="CR38" s="122" t="n">
        <f aca="false">CQ38+IF($I$3="Forward", $D$9, $G$9)</f>
        <v>0.6</v>
      </c>
      <c r="CS38" s="112" t="n">
        <f aca="false">CQ38*TAN(RADIANS(CU$7))-(IF($B$4, 9.807, 32.174)*CQ38^2)/(2*CT$7^2*COS(RADIANS(CU$7))^2)+$D$7</f>
        <v>3.70393836423944</v>
      </c>
      <c r="CT38" s="123" t="n">
        <f aca="false">MIN($V$5,CS38)</f>
        <v>3.70393836423944</v>
      </c>
      <c r="CU38" s="112"/>
      <c r="CV38" s="112" t="n">
        <f aca="false">CV37+CV$7/100</f>
        <v>0.6</v>
      </c>
      <c r="CW38" s="112" t="n">
        <f aca="false">CV38</f>
        <v>0.6</v>
      </c>
      <c r="CX38" s="112" t="n">
        <f aca="false">CV38*TAN(RADIANS(CZ$7))-(IF($B$4, 9.807, 32.174)*CV38^2)/(2*CY$7^2*COS(RADIANS(CZ$7))^2)+$D$7</f>
        <v>3.70393836423944</v>
      </c>
      <c r="CY38" s="123" t="n">
        <f aca="false">MIN($V$5,CX38)</f>
        <v>3.70393836423944</v>
      </c>
      <c r="CZ38" s="112"/>
      <c r="DA38" s="112" t="n">
        <f aca="false">DA37+DA$7/100</f>
        <v>0.6</v>
      </c>
      <c r="DB38" s="122" t="n">
        <f aca="false">DA38-IF($I$3="Forward", $D$9, $G$9)</f>
        <v>0.6</v>
      </c>
      <c r="DC38" s="112" t="n">
        <f aca="false">DA38*TAN(RADIANS(DE$7))-(IF($B$4, 9.807, 32.174)*DA38^2)/(2*DD$7^2*COS(RADIANS(DE$7))^2)+$D$7</f>
        <v>3.70393836423944</v>
      </c>
      <c r="DD38" s="123" t="n">
        <f aca="false">MIN($V$5,DC38)</f>
        <v>3.70393836423944</v>
      </c>
      <c r="DE38" s="112"/>
      <c r="DF38" s="112" t="n">
        <f aca="false">DF37+DF$7/100</f>
        <v>0.6</v>
      </c>
      <c r="DG38" s="122" t="n">
        <f aca="false">DF38+IF($I$3="Forward", $D$9, $G$9)</f>
        <v>0.6</v>
      </c>
      <c r="DH38" s="112" t="n">
        <f aca="false">DF38*TAN(RADIANS(DJ$7))-(IF($B$4, 9.807, 32.174)*DF38^2)/(2*DI$7^2*COS(RADIANS(DJ$7))^2)+$D$7</f>
        <v>3.70393836423944</v>
      </c>
      <c r="DI38" s="123" t="n">
        <f aca="false">MIN($V$5,DH38)</f>
        <v>3.70393836423944</v>
      </c>
      <c r="DJ38" s="112"/>
      <c r="DK38" s="112" t="n">
        <f aca="false">DK37+DK$7/100</f>
        <v>0.6</v>
      </c>
      <c r="DL38" s="112" t="n">
        <f aca="false">DK38</f>
        <v>0.6</v>
      </c>
      <c r="DM38" s="112" t="n">
        <f aca="false">DK38*TAN(RADIANS(DO$7))-(IF($B$4, 9.807, 32.174)*DK38^2)/(2*DN$7^2*COS(RADIANS(DO$7))^2)+$D$7</f>
        <v>3.70393836423944</v>
      </c>
      <c r="DN38" s="123" t="n">
        <f aca="false">MIN($V$5,DM38)</f>
        <v>3.70393836423944</v>
      </c>
      <c r="DO38" s="112"/>
      <c r="DP38" s="112" t="n">
        <f aca="false">DP37+DP$7/100</f>
        <v>0.6</v>
      </c>
      <c r="DQ38" s="122" t="n">
        <f aca="false">DP38-IF($I$3="Forward", $D$9, $G$9)</f>
        <v>0.6</v>
      </c>
      <c r="DR38" s="112" t="n">
        <f aca="false">DP38*TAN(RADIANS(DT$7))-(IF($B$4, 9.807, 32.174)*DP38^2)/(2*DS$7^2*COS(RADIANS(DT$7))^2)+$D$7</f>
        <v>3.70393836423944</v>
      </c>
      <c r="DS38" s="123" t="n">
        <f aca="false">MIN($V$5,DR38)</f>
        <v>3.70393836423944</v>
      </c>
      <c r="DT38" s="112"/>
      <c r="DU38" s="112" t="n">
        <f aca="false">DU37+DU$7/100</f>
        <v>0.6</v>
      </c>
      <c r="DV38" s="122" t="n">
        <f aca="false">DU38+IF($I$3="Forward", $D$9, $G$9)</f>
        <v>0.6</v>
      </c>
      <c r="DW38" s="112" t="n">
        <f aca="false">DU38*TAN(RADIANS(DY$7))-(IF($B$4, 9.807, 32.174)*DU38^2)/(2*DX$7^2*COS(RADIANS(DY$7))^2)+$D$7</f>
        <v>3.70393836423944</v>
      </c>
      <c r="DX38" s="123" t="n">
        <f aca="false">MIN($V$5,DW38)</f>
        <v>3.70393836423944</v>
      </c>
      <c r="DY38" s="112"/>
      <c r="DZ38" s="112" t="n">
        <f aca="false">DZ37+DZ$7/100</f>
        <v>0.6</v>
      </c>
      <c r="EA38" s="112" t="n">
        <f aca="false">DZ38</f>
        <v>0.6</v>
      </c>
      <c r="EB38" s="112" t="n">
        <f aca="false">DZ38*TAN(RADIANS(ED$7))-(IF($B$4, 9.807, 32.174)*DZ38^2)/(2*EC$7^2*COS(RADIANS(ED$7))^2)+$D$7</f>
        <v>3.70393836423944</v>
      </c>
      <c r="EC38" s="123" t="n">
        <f aca="false">MIN($V$5,EB38)</f>
        <v>3.70393836423944</v>
      </c>
      <c r="ED38" s="112"/>
      <c r="EE38" s="112" t="n">
        <f aca="false">EE37+EE$7/100</f>
        <v>0.6</v>
      </c>
      <c r="EF38" s="122" t="n">
        <f aca="false">EE38-IF($I$3="Forward", $D$9, $G$9)</f>
        <v>0.6</v>
      </c>
      <c r="EG38" s="112" t="n">
        <f aca="false">EE38*TAN(RADIANS(EI$7))-(IF($B$4, 9.807, 32.174)*EE38^2)/(2*EH$7^2*COS(RADIANS(EI$7))^2)+$D$7</f>
        <v>3.70393836423944</v>
      </c>
      <c r="EH38" s="123" t="n">
        <f aca="false">MIN($V$5,EG38)</f>
        <v>3.70393836423944</v>
      </c>
      <c r="EI38" s="112"/>
      <c r="EJ38" s="112" t="n">
        <f aca="false">EJ37+EJ$7/100</f>
        <v>0.6</v>
      </c>
      <c r="EK38" s="122" t="n">
        <f aca="false">EJ38+IF($I$3="Forward", $D$9, $G$9)</f>
        <v>0.6</v>
      </c>
      <c r="EL38" s="112" t="n">
        <f aca="false">EJ38*TAN(RADIANS(EN$7))-(IF($B$4, 9.807, 32.174)*EJ38^2)/(2*EM$7^2*COS(RADIANS(EN$7))^2)+$D$7</f>
        <v>3.70393836423944</v>
      </c>
      <c r="EM38" s="123" t="n">
        <f aca="false">MIN($V$5,EL38)</f>
        <v>3.70393836423944</v>
      </c>
      <c r="EN38" s="112"/>
      <c r="EO38" s="112" t="n">
        <f aca="false">EO37+EO$7/100</f>
        <v>0.6</v>
      </c>
      <c r="EP38" s="112" t="n">
        <f aca="false">EO38</f>
        <v>0.6</v>
      </c>
      <c r="EQ38" s="112" t="n">
        <f aca="false">EO38*TAN(RADIANS(ES$7))-(IF($B$4, 9.807, 32.174)*EO38^2)/(2*ER$7^2*COS(RADIANS(ES$7))^2)+$D$7</f>
        <v>3.70393836423944</v>
      </c>
      <c r="ER38" s="123" t="n">
        <f aca="false">MIN($V$5,EQ38)</f>
        <v>3.70393836423944</v>
      </c>
      <c r="ES38" s="112"/>
      <c r="ET38" s="112" t="n">
        <f aca="false">ET37+ET$7/100</f>
        <v>0.6</v>
      </c>
      <c r="EU38" s="122" t="n">
        <f aca="false">ET38-IF($I$3="Forward", $D$9, $G$9)</f>
        <v>0.6</v>
      </c>
      <c r="EV38" s="112" t="n">
        <f aca="false">ET38*TAN(RADIANS(EX$7))-(IF($B$4, 9.807, 32.174)*ET38^2)/(2*EW$7^2*COS(RADIANS(EX$7))^2)+$D$7</f>
        <v>3.70393836423944</v>
      </c>
      <c r="EW38" s="123" t="n">
        <f aca="false">MIN($V$5,EV38)</f>
        <v>3.70393836423944</v>
      </c>
      <c r="EX38" s="112"/>
    </row>
    <row r="39" s="131" customFormat="true" ht="15" hidden="false" customHeight="false" outlineLevel="0" collapsed="false">
      <c r="T39" s="112" t="n">
        <f aca="false">T38+T$7/100</f>
        <v>0.62</v>
      </c>
      <c r="U39" s="122" t="n">
        <f aca="false">T39+IF($I$3="Forward", $D$9, $G$9)</f>
        <v>0.62</v>
      </c>
      <c r="V39" s="112" t="n">
        <f aca="false">T39*TAN(RADIANS(X$7))-(IF($B$4, 9.807, 32.174)*T39^2)/(2*W$7^2*COS(RADIANS(X$7))^2)+$D$7</f>
        <v>3.77875436243246</v>
      </c>
      <c r="W39" s="123" t="n">
        <f aca="false">MIN($V$5,V39)</f>
        <v>3.77875436243246</v>
      </c>
      <c r="X39" s="112"/>
      <c r="Y39" s="112" t="n">
        <f aca="false">Y38+Y$7/100</f>
        <v>0.62</v>
      </c>
      <c r="Z39" s="112" t="n">
        <f aca="false">Y39</f>
        <v>0.62</v>
      </c>
      <c r="AA39" s="112" t="n">
        <f aca="false">Y39*TAN(RADIANS(AC$7))-(IF($B$4, 9.807, 32.174)*Y39^2)/(2*AB$7^2*COS(RADIANS(AC$7))^2)+$D$7</f>
        <v>3.77875436243246</v>
      </c>
      <c r="AB39" s="123" t="n">
        <f aca="false">MIN($V$5,AA39)</f>
        <v>3.77875436243246</v>
      </c>
      <c r="AC39" s="112"/>
      <c r="AD39" s="112" t="n">
        <f aca="false">AD38+AD$7/100</f>
        <v>0.62</v>
      </c>
      <c r="AE39" s="122" t="n">
        <f aca="false">AD39-IF($I$3="Forward", $D$9, $G$9)</f>
        <v>0.62</v>
      </c>
      <c r="AF39" s="112" t="n">
        <f aca="false">AD39*TAN(RADIANS(AH$7))-(IF($B$4, 9.807, 32.174)*AD39^2)/(2*AG$7^2*COS(RADIANS(AH$7))^2)+$D$7</f>
        <v>3.77875436243246</v>
      </c>
      <c r="AG39" s="123" t="n">
        <f aca="false">MIN($V$5,AF39)</f>
        <v>3.77875436243246</v>
      </c>
      <c r="AH39" s="112"/>
      <c r="AI39" s="112" t="n">
        <f aca="false">AI38+AI$7/100</f>
        <v>0.62</v>
      </c>
      <c r="AJ39" s="122" t="n">
        <f aca="false">AI39+IF($I$3="Forward", $D$9, $G$9)</f>
        <v>0.62</v>
      </c>
      <c r="AK39" s="112" t="n">
        <f aca="false">AI39*TAN(RADIANS(AM$7))-(IF($B$4, 9.807, 32.174)*AI39^2)/(2*AL$7^2*COS(RADIANS(AM$7))^2)+$D$7</f>
        <v>3.77875436243246</v>
      </c>
      <c r="AL39" s="123" t="n">
        <f aca="false">MIN($V$5,AK39)</f>
        <v>3.77875436243246</v>
      </c>
      <c r="AM39" s="112"/>
      <c r="AN39" s="112" t="n">
        <f aca="false">AN38+AN$7/100</f>
        <v>0.62</v>
      </c>
      <c r="AO39" s="112" t="n">
        <f aca="false">AN39</f>
        <v>0.62</v>
      </c>
      <c r="AP39" s="112" t="n">
        <f aca="false">AN39*TAN(RADIANS(AR$7))-(IF($B$4, 9.807, 32.174)*AN39^2)/(2*AQ$7^2*COS(RADIANS(AR$7))^2)+$D$7</f>
        <v>3.77875436243246</v>
      </c>
      <c r="AQ39" s="123" t="n">
        <f aca="false">MIN($V$5,AP39)</f>
        <v>3.77875436243246</v>
      </c>
      <c r="AR39" s="112"/>
      <c r="AS39" s="112" t="n">
        <f aca="false">AS38+AS$7/100</f>
        <v>0.62</v>
      </c>
      <c r="AT39" s="122" t="n">
        <f aca="false">AS39-IF($I$3="Forward", $D$9, $G$9)</f>
        <v>0.62</v>
      </c>
      <c r="AU39" s="112" t="n">
        <f aca="false">AS39*TAN(RADIANS(AW$7))-(IF($B$4, 9.807, 32.174)*AS39^2)/(2*AV$7^2*COS(RADIANS(AW$7))^2)+$D$7</f>
        <v>3.77875436243246</v>
      </c>
      <c r="AV39" s="123" t="n">
        <f aca="false">MIN($V$5,AU39)</f>
        <v>3.77875436243246</v>
      </c>
      <c r="AW39" s="112"/>
      <c r="AX39" s="112" t="n">
        <f aca="false">AX38+AX$7/100</f>
        <v>0.62</v>
      </c>
      <c r="AY39" s="122" t="n">
        <f aca="false">AX39+IF($I$3="Forward", $D$9, $G$9)</f>
        <v>0.62</v>
      </c>
      <c r="AZ39" s="112" t="n">
        <f aca="false">AX39*TAN(RADIANS(BB$7))-(IF($B$4, 9.807, 32.174)*AX39^2)/(2*BA$7^2*COS(RADIANS(BB$7))^2)+$D$7</f>
        <v>3.77875436243246</v>
      </c>
      <c r="BA39" s="123" t="n">
        <f aca="false">MIN($V$5,AZ39)</f>
        <v>3.77875436243246</v>
      </c>
      <c r="BB39" s="112"/>
      <c r="BC39" s="112" t="n">
        <f aca="false">BC38+BC$7/100</f>
        <v>0.62</v>
      </c>
      <c r="BD39" s="112" t="n">
        <f aca="false">BC39</f>
        <v>0.62</v>
      </c>
      <c r="BE39" s="112" t="n">
        <f aca="false">BC39*TAN(RADIANS(BG$7))-(IF($B$4, 9.807, 32.174)*BC39^2)/(2*BF$7^2*COS(RADIANS(BG$7))^2)+$D$7</f>
        <v>3.77875436243246</v>
      </c>
      <c r="BF39" s="123" t="n">
        <f aca="false">MIN($V$5,BE39)</f>
        <v>3.77875436243246</v>
      </c>
      <c r="BG39" s="112"/>
      <c r="BH39" s="112" t="n">
        <f aca="false">BH38+BH$7/100</f>
        <v>0.62</v>
      </c>
      <c r="BI39" s="122" t="n">
        <f aca="false">BH39-IF($I$3="Forward", $D$9, $G$9)</f>
        <v>0.62</v>
      </c>
      <c r="BJ39" s="112" t="n">
        <f aca="false">BH39*TAN(RADIANS(BL$7))-(IF($B$4, 9.807, 32.174)*BH39^2)/(2*BK$7^2*COS(RADIANS(BL$7))^2)+$D$7</f>
        <v>3.77875436243246</v>
      </c>
      <c r="BK39" s="123" t="n">
        <f aca="false">MIN($V$5,BJ39)</f>
        <v>3.77875436243246</v>
      </c>
      <c r="BL39" s="112"/>
      <c r="BM39" s="112" t="n">
        <f aca="false">BM38+BM$7/100</f>
        <v>0.62</v>
      </c>
      <c r="BN39" s="122" t="n">
        <f aca="false">BM39+IF($I$3="Forward", $D$9, $G$9)</f>
        <v>0.62</v>
      </c>
      <c r="BO39" s="112" t="n">
        <f aca="false">BM39*TAN(RADIANS(BQ$7))-(IF($B$4, 9.807, 32.174)*BM39^2)/(2*BP$7^2*COS(RADIANS(BQ$7))^2)+$D$7</f>
        <v>3.77875436243246</v>
      </c>
      <c r="BP39" s="123" t="n">
        <f aca="false">MIN($V$5,BO39)</f>
        <v>3.77875436243246</v>
      </c>
      <c r="BQ39" s="112"/>
      <c r="BR39" s="112" t="n">
        <f aca="false">BR38+BR$7/100</f>
        <v>0.62</v>
      </c>
      <c r="BS39" s="112" t="n">
        <f aca="false">BR39</f>
        <v>0.62</v>
      </c>
      <c r="BT39" s="112" t="n">
        <f aca="false">BR39*TAN(RADIANS(BV$7))-(IF($B$4, 9.807, 32.174)*BR39^2)/(2*BU$7^2*COS(RADIANS(BV$7))^2)+$D$7</f>
        <v>3.77875436243246</v>
      </c>
      <c r="BU39" s="123" t="n">
        <f aca="false">MIN($V$5,BT39)</f>
        <v>3.77875436243246</v>
      </c>
      <c r="BV39" s="112"/>
      <c r="BW39" s="112" t="n">
        <f aca="false">BW38+BW$7/100</f>
        <v>0.62</v>
      </c>
      <c r="BX39" s="122" t="n">
        <f aca="false">BW39-IF($I$3="Forward", $D$9, $G$9)</f>
        <v>0.62</v>
      </c>
      <c r="BY39" s="112" t="n">
        <f aca="false">BW39*TAN(RADIANS(CA$7))-(IF($B$4, 9.807, 32.174)*BW39^2)/(2*BZ$7^2*COS(RADIANS(CA$7))^2)+$D$7</f>
        <v>3.77875436243246</v>
      </c>
      <c r="BZ39" s="123" t="n">
        <f aca="false">MIN($V$5,BY39)</f>
        <v>3.77875436243246</v>
      </c>
      <c r="CA39" s="112"/>
      <c r="CB39" s="112" t="n">
        <f aca="false">CB38+CB$7/100</f>
        <v>0.62</v>
      </c>
      <c r="CC39" s="122" t="n">
        <f aca="false">CB39+IF($I$3="Forward", $D$9, $G$9)</f>
        <v>0.62</v>
      </c>
      <c r="CD39" s="112" t="n">
        <f aca="false">CB39*TAN(RADIANS(CF$7))-(IF($B$4, 9.807, 32.174)*CB39^2)/(2*CE$7^2*COS(RADIANS(CF$7))^2)+$D$7</f>
        <v>3.77875436243246</v>
      </c>
      <c r="CE39" s="123" t="n">
        <f aca="false">MIN($V$5,CD39)</f>
        <v>3.77875436243246</v>
      </c>
      <c r="CF39" s="112"/>
      <c r="CG39" s="124" t="n">
        <f aca="false">CG38+CG$7/100</f>
        <v>0.62</v>
      </c>
      <c r="CH39" s="124" t="n">
        <f aca="false">CG39</f>
        <v>0.62</v>
      </c>
      <c r="CI39" s="124" t="n">
        <f aca="false">CG39*TAN(RADIANS(CK$7))-(IF($B$4, 9.807, 32.174)*CG39^2)/(2*CJ$7^2*COS(RADIANS(CK$7))^2)+$D$7</f>
        <v>3.77875436243246</v>
      </c>
      <c r="CJ39" s="123" t="n">
        <f aca="false">MIN($V$5,CI39)</f>
        <v>3.77875436243246</v>
      </c>
      <c r="CK39" s="124"/>
      <c r="CL39" s="112" t="n">
        <f aca="false">CL38+CL$7/100</f>
        <v>0.62</v>
      </c>
      <c r="CM39" s="122" t="n">
        <f aca="false">CL39-IF($I$3="Forward", $D$9, $G$9)</f>
        <v>0.62</v>
      </c>
      <c r="CN39" s="112" t="n">
        <f aca="false">CL39*TAN(RADIANS(CP$7))-(IF($B$4, 9.807, 32.174)*CL39^2)/(2*CO$7^2*COS(RADIANS(CP$7))^2)+$D$7</f>
        <v>3.77875436243246</v>
      </c>
      <c r="CO39" s="123" t="n">
        <f aca="false">MIN($V$5,CN39)</f>
        <v>3.77875436243246</v>
      </c>
      <c r="CP39" s="112"/>
      <c r="CQ39" s="112" t="n">
        <f aca="false">CQ38+CQ$7/100</f>
        <v>0.62</v>
      </c>
      <c r="CR39" s="122" t="n">
        <f aca="false">CQ39+IF($I$3="Forward", $D$9, $G$9)</f>
        <v>0.62</v>
      </c>
      <c r="CS39" s="112" t="n">
        <f aca="false">CQ39*TAN(RADIANS(CU$7))-(IF($B$4, 9.807, 32.174)*CQ39^2)/(2*CT$7^2*COS(RADIANS(CU$7))^2)+$D$7</f>
        <v>3.77875436243246</v>
      </c>
      <c r="CT39" s="123" t="n">
        <f aca="false">MIN($V$5,CS39)</f>
        <v>3.77875436243246</v>
      </c>
      <c r="CU39" s="112"/>
      <c r="CV39" s="112" t="n">
        <f aca="false">CV38+CV$7/100</f>
        <v>0.62</v>
      </c>
      <c r="CW39" s="112" t="n">
        <f aca="false">CV39</f>
        <v>0.62</v>
      </c>
      <c r="CX39" s="112" t="n">
        <f aca="false">CV39*TAN(RADIANS(CZ$7))-(IF($B$4, 9.807, 32.174)*CV39^2)/(2*CY$7^2*COS(RADIANS(CZ$7))^2)+$D$7</f>
        <v>3.77875436243246</v>
      </c>
      <c r="CY39" s="123" t="n">
        <f aca="false">MIN($V$5,CX39)</f>
        <v>3.77875436243246</v>
      </c>
      <c r="CZ39" s="112"/>
      <c r="DA39" s="112" t="n">
        <f aca="false">DA38+DA$7/100</f>
        <v>0.62</v>
      </c>
      <c r="DB39" s="122" t="n">
        <f aca="false">DA39-IF($I$3="Forward", $D$9, $G$9)</f>
        <v>0.62</v>
      </c>
      <c r="DC39" s="112" t="n">
        <f aca="false">DA39*TAN(RADIANS(DE$7))-(IF($B$4, 9.807, 32.174)*DA39^2)/(2*DD$7^2*COS(RADIANS(DE$7))^2)+$D$7</f>
        <v>3.77875436243246</v>
      </c>
      <c r="DD39" s="123" t="n">
        <f aca="false">MIN($V$5,DC39)</f>
        <v>3.77875436243246</v>
      </c>
      <c r="DE39" s="112"/>
      <c r="DF39" s="112" t="n">
        <f aca="false">DF38+DF$7/100</f>
        <v>0.62</v>
      </c>
      <c r="DG39" s="122" t="n">
        <f aca="false">DF39+IF($I$3="Forward", $D$9, $G$9)</f>
        <v>0.62</v>
      </c>
      <c r="DH39" s="112" t="n">
        <f aca="false">DF39*TAN(RADIANS(DJ$7))-(IF($B$4, 9.807, 32.174)*DF39^2)/(2*DI$7^2*COS(RADIANS(DJ$7))^2)+$D$7</f>
        <v>3.77875436243246</v>
      </c>
      <c r="DI39" s="123" t="n">
        <f aca="false">MIN($V$5,DH39)</f>
        <v>3.77875436243246</v>
      </c>
      <c r="DJ39" s="112"/>
      <c r="DK39" s="112" t="n">
        <f aca="false">DK38+DK$7/100</f>
        <v>0.62</v>
      </c>
      <c r="DL39" s="112" t="n">
        <f aca="false">DK39</f>
        <v>0.62</v>
      </c>
      <c r="DM39" s="112" t="n">
        <f aca="false">DK39*TAN(RADIANS(DO$7))-(IF($B$4, 9.807, 32.174)*DK39^2)/(2*DN$7^2*COS(RADIANS(DO$7))^2)+$D$7</f>
        <v>3.77875436243246</v>
      </c>
      <c r="DN39" s="123" t="n">
        <f aca="false">MIN($V$5,DM39)</f>
        <v>3.77875436243246</v>
      </c>
      <c r="DO39" s="112"/>
      <c r="DP39" s="112" t="n">
        <f aca="false">DP38+DP$7/100</f>
        <v>0.62</v>
      </c>
      <c r="DQ39" s="122" t="n">
        <f aca="false">DP39-IF($I$3="Forward", $D$9, $G$9)</f>
        <v>0.62</v>
      </c>
      <c r="DR39" s="112" t="n">
        <f aca="false">DP39*TAN(RADIANS(DT$7))-(IF($B$4, 9.807, 32.174)*DP39^2)/(2*DS$7^2*COS(RADIANS(DT$7))^2)+$D$7</f>
        <v>3.77875436243246</v>
      </c>
      <c r="DS39" s="123" t="n">
        <f aca="false">MIN($V$5,DR39)</f>
        <v>3.77875436243246</v>
      </c>
      <c r="DT39" s="112"/>
      <c r="DU39" s="112" t="n">
        <f aca="false">DU38+DU$7/100</f>
        <v>0.62</v>
      </c>
      <c r="DV39" s="122" t="n">
        <f aca="false">DU39+IF($I$3="Forward", $D$9, $G$9)</f>
        <v>0.62</v>
      </c>
      <c r="DW39" s="112" t="n">
        <f aca="false">DU39*TAN(RADIANS(DY$7))-(IF($B$4, 9.807, 32.174)*DU39^2)/(2*DX$7^2*COS(RADIANS(DY$7))^2)+$D$7</f>
        <v>3.77875436243246</v>
      </c>
      <c r="DX39" s="123" t="n">
        <f aca="false">MIN($V$5,DW39)</f>
        <v>3.77875436243246</v>
      </c>
      <c r="DY39" s="112"/>
      <c r="DZ39" s="112" t="n">
        <f aca="false">DZ38+DZ$7/100</f>
        <v>0.62</v>
      </c>
      <c r="EA39" s="112" t="n">
        <f aca="false">DZ39</f>
        <v>0.62</v>
      </c>
      <c r="EB39" s="112" t="n">
        <f aca="false">DZ39*TAN(RADIANS(ED$7))-(IF($B$4, 9.807, 32.174)*DZ39^2)/(2*EC$7^2*COS(RADIANS(ED$7))^2)+$D$7</f>
        <v>3.77875436243246</v>
      </c>
      <c r="EC39" s="123" t="n">
        <f aca="false">MIN($V$5,EB39)</f>
        <v>3.77875436243246</v>
      </c>
      <c r="ED39" s="112"/>
      <c r="EE39" s="112" t="n">
        <f aca="false">EE38+EE$7/100</f>
        <v>0.62</v>
      </c>
      <c r="EF39" s="122" t="n">
        <f aca="false">EE39-IF($I$3="Forward", $D$9, $G$9)</f>
        <v>0.62</v>
      </c>
      <c r="EG39" s="112" t="n">
        <f aca="false">EE39*TAN(RADIANS(EI$7))-(IF($B$4, 9.807, 32.174)*EE39^2)/(2*EH$7^2*COS(RADIANS(EI$7))^2)+$D$7</f>
        <v>3.77875436243246</v>
      </c>
      <c r="EH39" s="123" t="n">
        <f aca="false">MIN($V$5,EG39)</f>
        <v>3.77875436243246</v>
      </c>
      <c r="EI39" s="112"/>
      <c r="EJ39" s="112" t="n">
        <f aca="false">EJ38+EJ$7/100</f>
        <v>0.62</v>
      </c>
      <c r="EK39" s="122" t="n">
        <f aca="false">EJ39+IF($I$3="Forward", $D$9, $G$9)</f>
        <v>0.62</v>
      </c>
      <c r="EL39" s="112" t="n">
        <f aca="false">EJ39*TAN(RADIANS(EN$7))-(IF($B$4, 9.807, 32.174)*EJ39^2)/(2*EM$7^2*COS(RADIANS(EN$7))^2)+$D$7</f>
        <v>3.77875436243246</v>
      </c>
      <c r="EM39" s="123" t="n">
        <f aca="false">MIN($V$5,EL39)</f>
        <v>3.77875436243246</v>
      </c>
      <c r="EN39" s="112"/>
      <c r="EO39" s="112" t="n">
        <f aca="false">EO38+EO$7/100</f>
        <v>0.62</v>
      </c>
      <c r="EP39" s="112" t="n">
        <f aca="false">EO39</f>
        <v>0.62</v>
      </c>
      <c r="EQ39" s="112" t="n">
        <f aca="false">EO39*TAN(RADIANS(ES$7))-(IF($B$4, 9.807, 32.174)*EO39^2)/(2*ER$7^2*COS(RADIANS(ES$7))^2)+$D$7</f>
        <v>3.77875436243246</v>
      </c>
      <c r="ER39" s="123" t="n">
        <f aca="false">MIN($V$5,EQ39)</f>
        <v>3.77875436243246</v>
      </c>
      <c r="ES39" s="112"/>
      <c r="ET39" s="112" t="n">
        <f aca="false">ET38+ET$7/100</f>
        <v>0.62</v>
      </c>
      <c r="EU39" s="122" t="n">
        <f aca="false">ET39-IF($I$3="Forward", $D$9, $G$9)</f>
        <v>0.62</v>
      </c>
      <c r="EV39" s="112" t="n">
        <f aca="false">ET39*TAN(RADIANS(EX$7))-(IF($B$4, 9.807, 32.174)*ET39^2)/(2*EW$7^2*COS(RADIANS(EX$7))^2)+$D$7</f>
        <v>3.77875436243246</v>
      </c>
      <c r="EW39" s="123" t="n">
        <f aca="false">MIN($V$5,EV39)</f>
        <v>3.77875436243246</v>
      </c>
      <c r="EX39" s="112"/>
    </row>
    <row r="40" s="131" customFormat="true" ht="15" hidden="false" customHeight="false" outlineLevel="0" collapsed="false">
      <c r="T40" s="112" t="n">
        <f aca="false">T39+T$7/100</f>
        <v>0.64</v>
      </c>
      <c r="U40" s="122" t="n">
        <f aca="false">T40+IF($I$3="Forward", $D$9, $G$9)</f>
        <v>0.64</v>
      </c>
      <c r="V40" s="112" t="n">
        <f aca="false">T40*TAN(RADIANS(X$7))-(IF($B$4, 9.807, 32.174)*T40^2)/(2*W$7^2*COS(RADIANS(X$7))^2)+$D$7</f>
        <v>3.85086184789763</v>
      </c>
      <c r="W40" s="123" t="n">
        <f aca="false">MIN($V$5,V40)</f>
        <v>3.85086184789763</v>
      </c>
      <c r="X40" s="112"/>
      <c r="Y40" s="112" t="n">
        <f aca="false">Y39+Y$7/100</f>
        <v>0.64</v>
      </c>
      <c r="Z40" s="112" t="n">
        <f aca="false">Y40</f>
        <v>0.64</v>
      </c>
      <c r="AA40" s="112" t="n">
        <f aca="false">Y40*TAN(RADIANS(AC$7))-(IF($B$4, 9.807, 32.174)*Y40^2)/(2*AB$7^2*COS(RADIANS(AC$7))^2)+$D$7</f>
        <v>3.85086184789763</v>
      </c>
      <c r="AB40" s="123" t="n">
        <f aca="false">MIN($V$5,AA40)</f>
        <v>3.85086184789763</v>
      </c>
      <c r="AC40" s="112"/>
      <c r="AD40" s="112" t="n">
        <f aca="false">AD39+AD$7/100</f>
        <v>0.64</v>
      </c>
      <c r="AE40" s="122" t="n">
        <f aca="false">AD40-IF($I$3="Forward", $D$9, $G$9)</f>
        <v>0.64</v>
      </c>
      <c r="AF40" s="112" t="n">
        <f aca="false">AD40*TAN(RADIANS(AH$7))-(IF($B$4, 9.807, 32.174)*AD40^2)/(2*AG$7^2*COS(RADIANS(AH$7))^2)+$D$7</f>
        <v>3.85086184789763</v>
      </c>
      <c r="AG40" s="123" t="n">
        <f aca="false">MIN($V$5,AF40)</f>
        <v>3.85086184789763</v>
      </c>
      <c r="AH40" s="112"/>
      <c r="AI40" s="112" t="n">
        <f aca="false">AI39+AI$7/100</f>
        <v>0.64</v>
      </c>
      <c r="AJ40" s="122" t="n">
        <f aca="false">AI40+IF($I$3="Forward", $D$9, $G$9)</f>
        <v>0.64</v>
      </c>
      <c r="AK40" s="112" t="n">
        <f aca="false">AI40*TAN(RADIANS(AM$7))-(IF($B$4, 9.807, 32.174)*AI40^2)/(2*AL$7^2*COS(RADIANS(AM$7))^2)+$D$7</f>
        <v>3.85086184789763</v>
      </c>
      <c r="AL40" s="123" t="n">
        <f aca="false">MIN($V$5,AK40)</f>
        <v>3.85086184789763</v>
      </c>
      <c r="AM40" s="112"/>
      <c r="AN40" s="112" t="n">
        <f aca="false">AN39+AN$7/100</f>
        <v>0.64</v>
      </c>
      <c r="AO40" s="112" t="n">
        <f aca="false">AN40</f>
        <v>0.64</v>
      </c>
      <c r="AP40" s="112" t="n">
        <f aca="false">AN40*TAN(RADIANS(AR$7))-(IF($B$4, 9.807, 32.174)*AN40^2)/(2*AQ$7^2*COS(RADIANS(AR$7))^2)+$D$7</f>
        <v>3.85086184789763</v>
      </c>
      <c r="AQ40" s="123" t="n">
        <f aca="false">MIN($V$5,AP40)</f>
        <v>3.85086184789763</v>
      </c>
      <c r="AR40" s="112"/>
      <c r="AS40" s="112" t="n">
        <f aca="false">AS39+AS$7/100</f>
        <v>0.64</v>
      </c>
      <c r="AT40" s="122" t="n">
        <f aca="false">AS40-IF($I$3="Forward", $D$9, $G$9)</f>
        <v>0.64</v>
      </c>
      <c r="AU40" s="112" t="n">
        <f aca="false">AS40*TAN(RADIANS(AW$7))-(IF($B$4, 9.807, 32.174)*AS40^2)/(2*AV$7^2*COS(RADIANS(AW$7))^2)+$D$7</f>
        <v>3.85086184789763</v>
      </c>
      <c r="AV40" s="123" t="n">
        <f aca="false">MIN($V$5,AU40)</f>
        <v>3.85086184789763</v>
      </c>
      <c r="AW40" s="112"/>
      <c r="AX40" s="112" t="n">
        <f aca="false">AX39+AX$7/100</f>
        <v>0.64</v>
      </c>
      <c r="AY40" s="122" t="n">
        <f aca="false">AX40+IF($I$3="Forward", $D$9, $G$9)</f>
        <v>0.64</v>
      </c>
      <c r="AZ40" s="112" t="n">
        <f aca="false">AX40*TAN(RADIANS(BB$7))-(IF($B$4, 9.807, 32.174)*AX40^2)/(2*BA$7^2*COS(RADIANS(BB$7))^2)+$D$7</f>
        <v>3.85086184789763</v>
      </c>
      <c r="BA40" s="123" t="n">
        <f aca="false">MIN($V$5,AZ40)</f>
        <v>3.85086184789763</v>
      </c>
      <c r="BB40" s="112"/>
      <c r="BC40" s="112" t="n">
        <f aca="false">BC39+BC$7/100</f>
        <v>0.64</v>
      </c>
      <c r="BD40" s="112" t="n">
        <f aca="false">BC40</f>
        <v>0.64</v>
      </c>
      <c r="BE40" s="112" t="n">
        <f aca="false">BC40*TAN(RADIANS(BG$7))-(IF($B$4, 9.807, 32.174)*BC40^2)/(2*BF$7^2*COS(RADIANS(BG$7))^2)+$D$7</f>
        <v>3.85086184789763</v>
      </c>
      <c r="BF40" s="123" t="n">
        <f aca="false">MIN($V$5,BE40)</f>
        <v>3.85086184789763</v>
      </c>
      <c r="BG40" s="112"/>
      <c r="BH40" s="112" t="n">
        <f aca="false">BH39+BH$7/100</f>
        <v>0.64</v>
      </c>
      <c r="BI40" s="122" t="n">
        <f aca="false">BH40-IF($I$3="Forward", $D$9, $G$9)</f>
        <v>0.64</v>
      </c>
      <c r="BJ40" s="112" t="n">
        <f aca="false">BH40*TAN(RADIANS(BL$7))-(IF($B$4, 9.807, 32.174)*BH40^2)/(2*BK$7^2*COS(RADIANS(BL$7))^2)+$D$7</f>
        <v>3.85086184789763</v>
      </c>
      <c r="BK40" s="123" t="n">
        <f aca="false">MIN($V$5,BJ40)</f>
        <v>3.85086184789763</v>
      </c>
      <c r="BL40" s="112"/>
      <c r="BM40" s="112" t="n">
        <f aca="false">BM39+BM$7/100</f>
        <v>0.64</v>
      </c>
      <c r="BN40" s="122" t="n">
        <f aca="false">BM40+IF($I$3="Forward", $D$9, $G$9)</f>
        <v>0.64</v>
      </c>
      <c r="BO40" s="112" t="n">
        <f aca="false">BM40*TAN(RADIANS(BQ$7))-(IF($B$4, 9.807, 32.174)*BM40^2)/(2*BP$7^2*COS(RADIANS(BQ$7))^2)+$D$7</f>
        <v>3.85086184789763</v>
      </c>
      <c r="BP40" s="123" t="n">
        <f aca="false">MIN($V$5,BO40)</f>
        <v>3.85086184789763</v>
      </c>
      <c r="BQ40" s="112"/>
      <c r="BR40" s="112" t="n">
        <f aca="false">BR39+BR$7/100</f>
        <v>0.64</v>
      </c>
      <c r="BS40" s="112" t="n">
        <f aca="false">BR40</f>
        <v>0.64</v>
      </c>
      <c r="BT40" s="112" t="n">
        <f aca="false">BR40*TAN(RADIANS(BV$7))-(IF($B$4, 9.807, 32.174)*BR40^2)/(2*BU$7^2*COS(RADIANS(BV$7))^2)+$D$7</f>
        <v>3.85086184789763</v>
      </c>
      <c r="BU40" s="123" t="n">
        <f aca="false">MIN($V$5,BT40)</f>
        <v>3.85086184789763</v>
      </c>
      <c r="BV40" s="112"/>
      <c r="BW40" s="112" t="n">
        <f aca="false">BW39+BW$7/100</f>
        <v>0.64</v>
      </c>
      <c r="BX40" s="122" t="n">
        <f aca="false">BW40-IF($I$3="Forward", $D$9, $G$9)</f>
        <v>0.64</v>
      </c>
      <c r="BY40" s="112" t="n">
        <f aca="false">BW40*TAN(RADIANS(CA$7))-(IF($B$4, 9.807, 32.174)*BW40^2)/(2*BZ$7^2*COS(RADIANS(CA$7))^2)+$D$7</f>
        <v>3.85086184789763</v>
      </c>
      <c r="BZ40" s="123" t="n">
        <f aca="false">MIN($V$5,BY40)</f>
        <v>3.85086184789763</v>
      </c>
      <c r="CA40" s="112"/>
      <c r="CB40" s="112" t="n">
        <f aca="false">CB39+CB$7/100</f>
        <v>0.64</v>
      </c>
      <c r="CC40" s="122" t="n">
        <f aca="false">CB40+IF($I$3="Forward", $D$9, $G$9)</f>
        <v>0.64</v>
      </c>
      <c r="CD40" s="112" t="n">
        <f aca="false">CB40*TAN(RADIANS(CF$7))-(IF($B$4, 9.807, 32.174)*CB40^2)/(2*CE$7^2*COS(RADIANS(CF$7))^2)+$D$7</f>
        <v>3.85086184789763</v>
      </c>
      <c r="CE40" s="123" t="n">
        <f aca="false">MIN($V$5,CD40)</f>
        <v>3.85086184789763</v>
      </c>
      <c r="CF40" s="112"/>
      <c r="CG40" s="124" t="n">
        <f aca="false">CG39+CG$7/100</f>
        <v>0.64</v>
      </c>
      <c r="CH40" s="124" t="n">
        <f aca="false">CG40</f>
        <v>0.64</v>
      </c>
      <c r="CI40" s="124" t="n">
        <f aca="false">CG40*TAN(RADIANS(CK$7))-(IF($B$4, 9.807, 32.174)*CG40^2)/(2*CJ$7^2*COS(RADIANS(CK$7))^2)+$D$7</f>
        <v>3.85086184789763</v>
      </c>
      <c r="CJ40" s="123" t="n">
        <f aca="false">MIN($V$5,CI40)</f>
        <v>3.85086184789763</v>
      </c>
      <c r="CK40" s="124"/>
      <c r="CL40" s="112" t="n">
        <f aca="false">CL39+CL$7/100</f>
        <v>0.64</v>
      </c>
      <c r="CM40" s="122" t="n">
        <f aca="false">CL40-IF($I$3="Forward", $D$9, $G$9)</f>
        <v>0.64</v>
      </c>
      <c r="CN40" s="112" t="n">
        <f aca="false">CL40*TAN(RADIANS(CP$7))-(IF($B$4, 9.807, 32.174)*CL40^2)/(2*CO$7^2*COS(RADIANS(CP$7))^2)+$D$7</f>
        <v>3.85086184789763</v>
      </c>
      <c r="CO40" s="123" t="n">
        <f aca="false">MIN($V$5,CN40)</f>
        <v>3.85086184789763</v>
      </c>
      <c r="CP40" s="112"/>
      <c r="CQ40" s="112" t="n">
        <f aca="false">CQ39+CQ$7/100</f>
        <v>0.64</v>
      </c>
      <c r="CR40" s="122" t="n">
        <f aca="false">CQ40+IF($I$3="Forward", $D$9, $G$9)</f>
        <v>0.64</v>
      </c>
      <c r="CS40" s="112" t="n">
        <f aca="false">CQ40*TAN(RADIANS(CU$7))-(IF($B$4, 9.807, 32.174)*CQ40^2)/(2*CT$7^2*COS(RADIANS(CU$7))^2)+$D$7</f>
        <v>3.85086184789763</v>
      </c>
      <c r="CT40" s="123" t="n">
        <f aca="false">MIN($V$5,CS40)</f>
        <v>3.85086184789763</v>
      </c>
      <c r="CU40" s="112"/>
      <c r="CV40" s="112" t="n">
        <f aca="false">CV39+CV$7/100</f>
        <v>0.64</v>
      </c>
      <c r="CW40" s="112" t="n">
        <f aca="false">CV40</f>
        <v>0.64</v>
      </c>
      <c r="CX40" s="112" t="n">
        <f aca="false">CV40*TAN(RADIANS(CZ$7))-(IF($B$4, 9.807, 32.174)*CV40^2)/(2*CY$7^2*COS(RADIANS(CZ$7))^2)+$D$7</f>
        <v>3.85086184789763</v>
      </c>
      <c r="CY40" s="123" t="n">
        <f aca="false">MIN($V$5,CX40)</f>
        <v>3.85086184789763</v>
      </c>
      <c r="CZ40" s="112"/>
      <c r="DA40" s="112" t="n">
        <f aca="false">DA39+DA$7/100</f>
        <v>0.64</v>
      </c>
      <c r="DB40" s="122" t="n">
        <f aca="false">DA40-IF($I$3="Forward", $D$9, $G$9)</f>
        <v>0.64</v>
      </c>
      <c r="DC40" s="112" t="n">
        <f aca="false">DA40*TAN(RADIANS(DE$7))-(IF($B$4, 9.807, 32.174)*DA40^2)/(2*DD$7^2*COS(RADIANS(DE$7))^2)+$D$7</f>
        <v>3.85086184789763</v>
      </c>
      <c r="DD40" s="123" t="n">
        <f aca="false">MIN($V$5,DC40)</f>
        <v>3.85086184789763</v>
      </c>
      <c r="DE40" s="112"/>
      <c r="DF40" s="112" t="n">
        <f aca="false">DF39+DF$7/100</f>
        <v>0.64</v>
      </c>
      <c r="DG40" s="122" t="n">
        <f aca="false">DF40+IF($I$3="Forward", $D$9, $G$9)</f>
        <v>0.64</v>
      </c>
      <c r="DH40" s="112" t="n">
        <f aca="false">DF40*TAN(RADIANS(DJ$7))-(IF($B$4, 9.807, 32.174)*DF40^2)/(2*DI$7^2*COS(RADIANS(DJ$7))^2)+$D$7</f>
        <v>3.85086184789763</v>
      </c>
      <c r="DI40" s="123" t="n">
        <f aca="false">MIN($V$5,DH40)</f>
        <v>3.85086184789763</v>
      </c>
      <c r="DJ40" s="112"/>
      <c r="DK40" s="112" t="n">
        <f aca="false">DK39+DK$7/100</f>
        <v>0.64</v>
      </c>
      <c r="DL40" s="112" t="n">
        <f aca="false">DK40</f>
        <v>0.64</v>
      </c>
      <c r="DM40" s="112" t="n">
        <f aca="false">DK40*TAN(RADIANS(DO$7))-(IF($B$4, 9.807, 32.174)*DK40^2)/(2*DN$7^2*COS(RADIANS(DO$7))^2)+$D$7</f>
        <v>3.85086184789763</v>
      </c>
      <c r="DN40" s="123" t="n">
        <f aca="false">MIN($V$5,DM40)</f>
        <v>3.85086184789763</v>
      </c>
      <c r="DO40" s="112"/>
      <c r="DP40" s="112" t="n">
        <f aca="false">DP39+DP$7/100</f>
        <v>0.64</v>
      </c>
      <c r="DQ40" s="122" t="n">
        <f aca="false">DP40-IF($I$3="Forward", $D$9, $G$9)</f>
        <v>0.64</v>
      </c>
      <c r="DR40" s="112" t="n">
        <f aca="false">DP40*TAN(RADIANS(DT$7))-(IF($B$4, 9.807, 32.174)*DP40^2)/(2*DS$7^2*COS(RADIANS(DT$7))^2)+$D$7</f>
        <v>3.85086184789763</v>
      </c>
      <c r="DS40" s="123" t="n">
        <f aca="false">MIN($V$5,DR40)</f>
        <v>3.85086184789763</v>
      </c>
      <c r="DT40" s="112"/>
      <c r="DU40" s="112" t="n">
        <f aca="false">DU39+DU$7/100</f>
        <v>0.64</v>
      </c>
      <c r="DV40" s="122" t="n">
        <f aca="false">DU40+IF($I$3="Forward", $D$9, $G$9)</f>
        <v>0.64</v>
      </c>
      <c r="DW40" s="112" t="n">
        <f aca="false">DU40*TAN(RADIANS(DY$7))-(IF($B$4, 9.807, 32.174)*DU40^2)/(2*DX$7^2*COS(RADIANS(DY$7))^2)+$D$7</f>
        <v>3.85086184789763</v>
      </c>
      <c r="DX40" s="123" t="n">
        <f aca="false">MIN($V$5,DW40)</f>
        <v>3.85086184789763</v>
      </c>
      <c r="DY40" s="112"/>
      <c r="DZ40" s="112" t="n">
        <f aca="false">DZ39+DZ$7/100</f>
        <v>0.64</v>
      </c>
      <c r="EA40" s="112" t="n">
        <f aca="false">DZ40</f>
        <v>0.64</v>
      </c>
      <c r="EB40" s="112" t="n">
        <f aca="false">DZ40*TAN(RADIANS(ED$7))-(IF($B$4, 9.807, 32.174)*DZ40^2)/(2*EC$7^2*COS(RADIANS(ED$7))^2)+$D$7</f>
        <v>3.85086184789763</v>
      </c>
      <c r="EC40" s="123" t="n">
        <f aca="false">MIN($V$5,EB40)</f>
        <v>3.85086184789763</v>
      </c>
      <c r="ED40" s="112"/>
      <c r="EE40" s="112" t="n">
        <f aca="false">EE39+EE$7/100</f>
        <v>0.64</v>
      </c>
      <c r="EF40" s="122" t="n">
        <f aca="false">EE40-IF($I$3="Forward", $D$9, $G$9)</f>
        <v>0.64</v>
      </c>
      <c r="EG40" s="112" t="n">
        <f aca="false">EE40*TAN(RADIANS(EI$7))-(IF($B$4, 9.807, 32.174)*EE40^2)/(2*EH$7^2*COS(RADIANS(EI$7))^2)+$D$7</f>
        <v>3.85086184789763</v>
      </c>
      <c r="EH40" s="123" t="n">
        <f aca="false">MIN($V$5,EG40)</f>
        <v>3.85086184789763</v>
      </c>
      <c r="EI40" s="112"/>
      <c r="EJ40" s="112" t="n">
        <f aca="false">EJ39+EJ$7/100</f>
        <v>0.64</v>
      </c>
      <c r="EK40" s="122" t="n">
        <f aca="false">EJ40+IF($I$3="Forward", $D$9, $G$9)</f>
        <v>0.64</v>
      </c>
      <c r="EL40" s="112" t="n">
        <f aca="false">EJ40*TAN(RADIANS(EN$7))-(IF($B$4, 9.807, 32.174)*EJ40^2)/(2*EM$7^2*COS(RADIANS(EN$7))^2)+$D$7</f>
        <v>3.85086184789763</v>
      </c>
      <c r="EM40" s="123" t="n">
        <f aca="false">MIN($V$5,EL40)</f>
        <v>3.85086184789763</v>
      </c>
      <c r="EN40" s="112"/>
      <c r="EO40" s="112" t="n">
        <f aca="false">EO39+EO$7/100</f>
        <v>0.64</v>
      </c>
      <c r="EP40" s="112" t="n">
        <f aca="false">EO40</f>
        <v>0.64</v>
      </c>
      <c r="EQ40" s="112" t="n">
        <f aca="false">EO40*TAN(RADIANS(ES$7))-(IF($B$4, 9.807, 32.174)*EO40^2)/(2*ER$7^2*COS(RADIANS(ES$7))^2)+$D$7</f>
        <v>3.85086184789763</v>
      </c>
      <c r="ER40" s="123" t="n">
        <f aca="false">MIN($V$5,EQ40)</f>
        <v>3.85086184789763</v>
      </c>
      <c r="ES40" s="112"/>
      <c r="ET40" s="112" t="n">
        <f aca="false">ET39+ET$7/100</f>
        <v>0.64</v>
      </c>
      <c r="EU40" s="122" t="n">
        <f aca="false">ET40-IF($I$3="Forward", $D$9, $G$9)</f>
        <v>0.64</v>
      </c>
      <c r="EV40" s="112" t="n">
        <f aca="false">ET40*TAN(RADIANS(EX$7))-(IF($B$4, 9.807, 32.174)*ET40^2)/(2*EW$7^2*COS(RADIANS(EX$7))^2)+$D$7</f>
        <v>3.85086184789763</v>
      </c>
      <c r="EW40" s="123" t="n">
        <f aca="false">MIN($V$5,EV40)</f>
        <v>3.85086184789763</v>
      </c>
      <c r="EX40" s="112"/>
    </row>
    <row r="41" s="131" customFormat="true" ht="15" hidden="false" customHeight="false" outlineLevel="0" collapsed="false">
      <c r="T41" s="112" t="n">
        <f aca="false">T40+T$7/100</f>
        <v>0.66</v>
      </c>
      <c r="U41" s="122" t="n">
        <f aca="false">T41+IF($I$3="Forward", $D$9, $G$9)</f>
        <v>0.66</v>
      </c>
      <c r="V41" s="112" t="n">
        <f aca="false">T41*TAN(RADIANS(X$7))-(IF($B$4, 9.807, 32.174)*T41^2)/(2*W$7^2*COS(RADIANS(X$7))^2)+$D$7</f>
        <v>3.92026082063495</v>
      </c>
      <c r="W41" s="123" t="n">
        <f aca="false">MIN($V$5,V41)</f>
        <v>3.92026082063495</v>
      </c>
      <c r="X41" s="112"/>
      <c r="Y41" s="112" t="n">
        <f aca="false">Y40+Y$7/100</f>
        <v>0.66</v>
      </c>
      <c r="Z41" s="112" t="n">
        <f aca="false">Y41</f>
        <v>0.66</v>
      </c>
      <c r="AA41" s="112" t="n">
        <f aca="false">Y41*TAN(RADIANS(AC$7))-(IF($B$4, 9.807, 32.174)*Y41^2)/(2*AB$7^2*COS(RADIANS(AC$7))^2)+$D$7</f>
        <v>3.92026082063495</v>
      </c>
      <c r="AB41" s="123" t="n">
        <f aca="false">MIN($V$5,AA41)</f>
        <v>3.92026082063495</v>
      </c>
      <c r="AC41" s="112"/>
      <c r="AD41" s="112" t="n">
        <f aca="false">AD40+AD$7/100</f>
        <v>0.66</v>
      </c>
      <c r="AE41" s="122" t="n">
        <f aca="false">AD41-IF($I$3="Forward", $D$9, $G$9)</f>
        <v>0.66</v>
      </c>
      <c r="AF41" s="112" t="n">
        <f aca="false">AD41*TAN(RADIANS(AH$7))-(IF($B$4, 9.807, 32.174)*AD41^2)/(2*AG$7^2*COS(RADIANS(AH$7))^2)+$D$7</f>
        <v>3.92026082063495</v>
      </c>
      <c r="AG41" s="123" t="n">
        <f aca="false">MIN($V$5,AF41)</f>
        <v>3.92026082063495</v>
      </c>
      <c r="AH41" s="112"/>
      <c r="AI41" s="112" t="n">
        <f aca="false">AI40+AI$7/100</f>
        <v>0.66</v>
      </c>
      <c r="AJ41" s="122" t="n">
        <f aca="false">AI41+IF($I$3="Forward", $D$9, $G$9)</f>
        <v>0.66</v>
      </c>
      <c r="AK41" s="112" t="n">
        <f aca="false">AI41*TAN(RADIANS(AM$7))-(IF($B$4, 9.807, 32.174)*AI41^2)/(2*AL$7^2*COS(RADIANS(AM$7))^2)+$D$7</f>
        <v>3.92026082063495</v>
      </c>
      <c r="AL41" s="123" t="n">
        <f aca="false">MIN($V$5,AK41)</f>
        <v>3.92026082063495</v>
      </c>
      <c r="AM41" s="112"/>
      <c r="AN41" s="112" t="n">
        <f aca="false">AN40+AN$7/100</f>
        <v>0.66</v>
      </c>
      <c r="AO41" s="112" t="n">
        <f aca="false">AN41</f>
        <v>0.66</v>
      </c>
      <c r="AP41" s="112" t="n">
        <f aca="false">AN41*TAN(RADIANS(AR$7))-(IF($B$4, 9.807, 32.174)*AN41^2)/(2*AQ$7^2*COS(RADIANS(AR$7))^2)+$D$7</f>
        <v>3.92026082063495</v>
      </c>
      <c r="AQ41" s="123" t="n">
        <f aca="false">MIN($V$5,AP41)</f>
        <v>3.92026082063495</v>
      </c>
      <c r="AR41" s="112"/>
      <c r="AS41" s="112" t="n">
        <f aca="false">AS40+AS$7/100</f>
        <v>0.66</v>
      </c>
      <c r="AT41" s="122" t="n">
        <f aca="false">AS41-IF($I$3="Forward", $D$9, $G$9)</f>
        <v>0.66</v>
      </c>
      <c r="AU41" s="112" t="n">
        <f aca="false">AS41*TAN(RADIANS(AW$7))-(IF($B$4, 9.807, 32.174)*AS41^2)/(2*AV$7^2*COS(RADIANS(AW$7))^2)+$D$7</f>
        <v>3.92026082063495</v>
      </c>
      <c r="AV41" s="123" t="n">
        <f aca="false">MIN($V$5,AU41)</f>
        <v>3.92026082063495</v>
      </c>
      <c r="AW41" s="112"/>
      <c r="AX41" s="112" t="n">
        <f aca="false">AX40+AX$7/100</f>
        <v>0.66</v>
      </c>
      <c r="AY41" s="122" t="n">
        <f aca="false">AX41+IF($I$3="Forward", $D$9, $G$9)</f>
        <v>0.66</v>
      </c>
      <c r="AZ41" s="112" t="n">
        <f aca="false">AX41*TAN(RADIANS(BB$7))-(IF($B$4, 9.807, 32.174)*AX41^2)/(2*BA$7^2*COS(RADIANS(BB$7))^2)+$D$7</f>
        <v>3.92026082063495</v>
      </c>
      <c r="BA41" s="123" t="n">
        <f aca="false">MIN($V$5,AZ41)</f>
        <v>3.92026082063495</v>
      </c>
      <c r="BB41" s="112"/>
      <c r="BC41" s="112" t="n">
        <f aca="false">BC40+BC$7/100</f>
        <v>0.66</v>
      </c>
      <c r="BD41" s="112" t="n">
        <f aca="false">BC41</f>
        <v>0.66</v>
      </c>
      <c r="BE41" s="112" t="n">
        <f aca="false">BC41*TAN(RADIANS(BG$7))-(IF($B$4, 9.807, 32.174)*BC41^2)/(2*BF$7^2*COS(RADIANS(BG$7))^2)+$D$7</f>
        <v>3.92026082063495</v>
      </c>
      <c r="BF41" s="123" t="n">
        <f aca="false">MIN($V$5,BE41)</f>
        <v>3.92026082063495</v>
      </c>
      <c r="BG41" s="112"/>
      <c r="BH41" s="112" t="n">
        <f aca="false">BH40+BH$7/100</f>
        <v>0.66</v>
      </c>
      <c r="BI41" s="122" t="n">
        <f aca="false">BH41-IF($I$3="Forward", $D$9, $G$9)</f>
        <v>0.66</v>
      </c>
      <c r="BJ41" s="112" t="n">
        <f aca="false">BH41*TAN(RADIANS(BL$7))-(IF($B$4, 9.807, 32.174)*BH41^2)/(2*BK$7^2*COS(RADIANS(BL$7))^2)+$D$7</f>
        <v>3.92026082063495</v>
      </c>
      <c r="BK41" s="123" t="n">
        <f aca="false">MIN($V$5,BJ41)</f>
        <v>3.92026082063495</v>
      </c>
      <c r="BL41" s="112"/>
      <c r="BM41" s="112" t="n">
        <f aca="false">BM40+BM$7/100</f>
        <v>0.66</v>
      </c>
      <c r="BN41" s="122" t="n">
        <f aca="false">BM41+IF($I$3="Forward", $D$9, $G$9)</f>
        <v>0.66</v>
      </c>
      <c r="BO41" s="112" t="n">
        <f aca="false">BM41*TAN(RADIANS(BQ$7))-(IF($B$4, 9.807, 32.174)*BM41^2)/(2*BP$7^2*COS(RADIANS(BQ$7))^2)+$D$7</f>
        <v>3.92026082063495</v>
      </c>
      <c r="BP41" s="123" t="n">
        <f aca="false">MIN($V$5,BO41)</f>
        <v>3.92026082063495</v>
      </c>
      <c r="BQ41" s="112"/>
      <c r="BR41" s="112" t="n">
        <f aca="false">BR40+BR$7/100</f>
        <v>0.66</v>
      </c>
      <c r="BS41" s="112" t="n">
        <f aca="false">BR41</f>
        <v>0.66</v>
      </c>
      <c r="BT41" s="112" t="n">
        <f aca="false">BR41*TAN(RADIANS(BV$7))-(IF($B$4, 9.807, 32.174)*BR41^2)/(2*BU$7^2*COS(RADIANS(BV$7))^2)+$D$7</f>
        <v>3.92026082063495</v>
      </c>
      <c r="BU41" s="123" t="n">
        <f aca="false">MIN($V$5,BT41)</f>
        <v>3.92026082063495</v>
      </c>
      <c r="BV41" s="112"/>
      <c r="BW41" s="112" t="n">
        <f aca="false">BW40+BW$7/100</f>
        <v>0.66</v>
      </c>
      <c r="BX41" s="122" t="n">
        <f aca="false">BW41-IF($I$3="Forward", $D$9, $G$9)</f>
        <v>0.66</v>
      </c>
      <c r="BY41" s="112" t="n">
        <f aca="false">BW41*TAN(RADIANS(CA$7))-(IF($B$4, 9.807, 32.174)*BW41^2)/(2*BZ$7^2*COS(RADIANS(CA$7))^2)+$D$7</f>
        <v>3.92026082063495</v>
      </c>
      <c r="BZ41" s="123" t="n">
        <f aca="false">MIN($V$5,BY41)</f>
        <v>3.92026082063495</v>
      </c>
      <c r="CA41" s="112"/>
      <c r="CB41" s="112" t="n">
        <f aca="false">CB40+CB$7/100</f>
        <v>0.66</v>
      </c>
      <c r="CC41" s="122" t="n">
        <f aca="false">CB41+IF($I$3="Forward", $D$9, $G$9)</f>
        <v>0.66</v>
      </c>
      <c r="CD41" s="112" t="n">
        <f aca="false">CB41*TAN(RADIANS(CF$7))-(IF($B$4, 9.807, 32.174)*CB41^2)/(2*CE$7^2*COS(RADIANS(CF$7))^2)+$D$7</f>
        <v>3.92026082063495</v>
      </c>
      <c r="CE41" s="123" t="n">
        <f aca="false">MIN($V$5,CD41)</f>
        <v>3.92026082063495</v>
      </c>
      <c r="CF41" s="112"/>
      <c r="CG41" s="124" t="n">
        <f aca="false">CG40+CG$7/100</f>
        <v>0.66</v>
      </c>
      <c r="CH41" s="124" t="n">
        <f aca="false">CG41</f>
        <v>0.66</v>
      </c>
      <c r="CI41" s="124" t="n">
        <f aca="false">CG41*TAN(RADIANS(CK$7))-(IF($B$4, 9.807, 32.174)*CG41^2)/(2*CJ$7^2*COS(RADIANS(CK$7))^2)+$D$7</f>
        <v>3.92026082063495</v>
      </c>
      <c r="CJ41" s="123" t="n">
        <f aca="false">MIN($V$5,CI41)</f>
        <v>3.92026082063495</v>
      </c>
      <c r="CK41" s="124"/>
      <c r="CL41" s="112" t="n">
        <f aca="false">CL40+CL$7/100</f>
        <v>0.66</v>
      </c>
      <c r="CM41" s="122" t="n">
        <f aca="false">CL41-IF($I$3="Forward", $D$9, $G$9)</f>
        <v>0.66</v>
      </c>
      <c r="CN41" s="112" t="n">
        <f aca="false">CL41*TAN(RADIANS(CP$7))-(IF($B$4, 9.807, 32.174)*CL41^2)/(2*CO$7^2*COS(RADIANS(CP$7))^2)+$D$7</f>
        <v>3.92026082063495</v>
      </c>
      <c r="CO41" s="123" t="n">
        <f aca="false">MIN($V$5,CN41)</f>
        <v>3.92026082063495</v>
      </c>
      <c r="CP41" s="112"/>
      <c r="CQ41" s="112" t="n">
        <f aca="false">CQ40+CQ$7/100</f>
        <v>0.66</v>
      </c>
      <c r="CR41" s="122" t="n">
        <f aca="false">CQ41+IF($I$3="Forward", $D$9, $G$9)</f>
        <v>0.66</v>
      </c>
      <c r="CS41" s="112" t="n">
        <f aca="false">CQ41*TAN(RADIANS(CU$7))-(IF($B$4, 9.807, 32.174)*CQ41^2)/(2*CT$7^2*COS(RADIANS(CU$7))^2)+$D$7</f>
        <v>3.92026082063495</v>
      </c>
      <c r="CT41" s="123" t="n">
        <f aca="false">MIN($V$5,CS41)</f>
        <v>3.92026082063495</v>
      </c>
      <c r="CU41" s="112"/>
      <c r="CV41" s="112" t="n">
        <f aca="false">CV40+CV$7/100</f>
        <v>0.66</v>
      </c>
      <c r="CW41" s="112" t="n">
        <f aca="false">CV41</f>
        <v>0.66</v>
      </c>
      <c r="CX41" s="112" t="n">
        <f aca="false">CV41*TAN(RADIANS(CZ$7))-(IF($B$4, 9.807, 32.174)*CV41^2)/(2*CY$7^2*COS(RADIANS(CZ$7))^2)+$D$7</f>
        <v>3.92026082063495</v>
      </c>
      <c r="CY41" s="123" t="n">
        <f aca="false">MIN($V$5,CX41)</f>
        <v>3.92026082063495</v>
      </c>
      <c r="CZ41" s="112"/>
      <c r="DA41" s="112" t="n">
        <f aca="false">DA40+DA$7/100</f>
        <v>0.66</v>
      </c>
      <c r="DB41" s="122" t="n">
        <f aca="false">DA41-IF($I$3="Forward", $D$9, $G$9)</f>
        <v>0.66</v>
      </c>
      <c r="DC41" s="112" t="n">
        <f aca="false">DA41*TAN(RADIANS(DE$7))-(IF($B$4, 9.807, 32.174)*DA41^2)/(2*DD$7^2*COS(RADIANS(DE$7))^2)+$D$7</f>
        <v>3.92026082063495</v>
      </c>
      <c r="DD41" s="123" t="n">
        <f aca="false">MIN($V$5,DC41)</f>
        <v>3.92026082063495</v>
      </c>
      <c r="DE41" s="112"/>
      <c r="DF41" s="112" t="n">
        <f aca="false">DF40+DF$7/100</f>
        <v>0.66</v>
      </c>
      <c r="DG41" s="122" t="n">
        <f aca="false">DF41+IF($I$3="Forward", $D$9, $G$9)</f>
        <v>0.66</v>
      </c>
      <c r="DH41" s="112" t="n">
        <f aca="false">DF41*TAN(RADIANS(DJ$7))-(IF($B$4, 9.807, 32.174)*DF41^2)/(2*DI$7^2*COS(RADIANS(DJ$7))^2)+$D$7</f>
        <v>3.92026082063495</v>
      </c>
      <c r="DI41" s="123" t="n">
        <f aca="false">MIN($V$5,DH41)</f>
        <v>3.92026082063495</v>
      </c>
      <c r="DJ41" s="112"/>
      <c r="DK41" s="112" t="n">
        <f aca="false">DK40+DK$7/100</f>
        <v>0.66</v>
      </c>
      <c r="DL41" s="112" t="n">
        <f aca="false">DK41</f>
        <v>0.66</v>
      </c>
      <c r="DM41" s="112" t="n">
        <f aca="false">DK41*TAN(RADIANS(DO$7))-(IF($B$4, 9.807, 32.174)*DK41^2)/(2*DN$7^2*COS(RADIANS(DO$7))^2)+$D$7</f>
        <v>3.92026082063495</v>
      </c>
      <c r="DN41" s="123" t="n">
        <f aca="false">MIN($V$5,DM41)</f>
        <v>3.92026082063495</v>
      </c>
      <c r="DO41" s="112"/>
      <c r="DP41" s="112" t="n">
        <f aca="false">DP40+DP$7/100</f>
        <v>0.66</v>
      </c>
      <c r="DQ41" s="122" t="n">
        <f aca="false">DP41-IF($I$3="Forward", $D$9, $G$9)</f>
        <v>0.66</v>
      </c>
      <c r="DR41" s="112" t="n">
        <f aca="false">DP41*TAN(RADIANS(DT$7))-(IF($B$4, 9.807, 32.174)*DP41^2)/(2*DS$7^2*COS(RADIANS(DT$7))^2)+$D$7</f>
        <v>3.92026082063495</v>
      </c>
      <c r="DS41" s="123" t="n">
        <f aca="false">MIN($V$5,DR41)</f>
        <v>3.92026082063495</v>
      </c>
      <c r="DT41" s="112"/>
      <c r="DU41" s="112" t="n">
        <f aca="false">DU40+DU$7/100</f>
        <v>0.66</v>
      </c>
      <c r="DV41" s="122" t="n">
        <f aca="false">DU41+IF($I$3="Forward", $D$9, $G$9)</f>
        <v>0.66</v>
      </c>
      <c r="DW41" s="112" t="n">
        <f aca="false">DU41*TAN(RADIANS(DY$7))-(IF($B$4, 9.807, 32.174)*DU41^2)/(2*DX$7^2*COS(RADIANS(DY$7))^2)+$D$7</f>
        <v>3.92026082063495</v>
      </c>
      <c r="DX41" s="123" t="n">
        <f aca="false">MIN($V$5,DW41)</f>
        <v>3.92026082063495</v>
      </c>
      <c r="DY41" s="112"/>
      <c r="DZ41" s="112" t="n">
        <f aca="false">DZ40+DZ$7/100</f>
        <v>0.66</v>
      </c>
      <c r="EA41" s="112" t="n">
        <f aca="false">DZ41</f>
        <v>0.66</v>
      </c>
      <c r="EB41" s="112" t="n">
        <f aca="false">DZ41*TAN(RADIANS(ED$7))-(IF($B$4, 9.807, 32.174)*DZ41^2)/(2*EC$7^2*COS(RADIANS(ED$7))^2)+$D$7</f>
        <v>3.92026082063495</v>
      </c>
      <c r="EC41" s="123" t="n">
        <f aca="false">MIN($V$5,EB41)</f>
        <v>3.92026082063495</v>
      </c>
      <c r="ED41" s="112"/>
      <c r="EE41" s="112" t="n">
        <f aca="false">EE40+EE$7/100</f>
        <v>0.66</v>
      </c>
      <c r="EF41" s="122" t="n">
        <f aca="false">EE41-IF($I$3="Forward", $D$9, $G$9)</f>
        <v>0.66</v>
      </c>
      <c r="EG41" s="112" t="n">
        <f aca="false">EE41*TAN(RADIANS(EI$7))-(IF($B$4, 9.807, 32.174)*EE41^2)/(2*EH$7^2*COS(RADIANS(EI$7))^2)+$D$7</f>
        <v>3.92026082063495</v>
      </c>
      <c r="EH41" s="123" t="n">
        <f aca="false">MIN($V$5,EG41)</f>
        <v>3.92026082063495</v>
      </c>
      <c r="EI41" s="112"/>
      <c r="EJ41" s="112" t="n">
        <f aca="false">EJ40+EJ$7/100</f>
        <v>0.66</v>
      </c>
      <c r="EK41" s="122" t="n">
        <f aca="false">EJ41+IF($I$3="Forward", $D$9, $G$9)</f>
        <v>0.66</v>
      </c>
      <c r="EL41" s="112" t="n">
        <f aca="false">EJ41*TAN(RADIANS(EN$7))-(IF($B$4, 9.807, 32.174)*EJ41^2)/(2*EM$7^2*COS(RADIANS(EN$7))^2)+$D$7</f>
        <v>3.92026082063495</v>
      </c>
      <c r="EM41" s="123" t="n">
        <f aca="false">MIN($V$5,EL41)</f>
        <v>3.92026082063495</v>
      </c>
      <c r="EN41" s="112"/>
      <c r="EO41" s="112" t="n">
        <f aca="false">EO40+EO$7/100</f>
        <v>0.66</v>
      </c>
      <c r="EP41" s="112" t="n">
        <f aca="false">EO41</f>
        <v>0.66</v>
      </c>
      <c r="EQ41" s="112" t="n">
        <f aca="false">EO41*TAN(RADIANS(ES$7))-(IF($B$4, 9.807, 32.174)*EO41^2)/(2*ER$7^2*COS(RADIANS(ES$7))^2)+$D$7</f>
        <v>3.92026082063495</v>
      </c>
      <c r="ER41" s="123" t="n">
        <f aca="false">MIN($V$5,EQ41)</f>
        <v>3.92026082063495</v>
      </c>
      <c r="ES41" s="112"/>
      <c r="ET41" s="112" t="n">
        <f aca="false">ET40+ET$7/100</f>
        <v>0.66</v>
      </c>
      <c r="EU41" s="122" t="n">
        <f aca="false">ET41-IF($I$3="Forward", $D$9, $G$9)</f>
        <v>0.66</v>
      </c>
      <c r="EV41" s="112" t="n">
        <f aca="false">ET41*TAN(RADIANS(EX$7))-(IF($B$4, 9.807, 32.174)*ET41^2)/(2*EW$7^2*COS(RADIANS(EX$7))^2)+$D$7</f>
        <v>3.92026082063495</v>
      </c>
      <c r="EW41" s="123" t="n">
        <f aca="false">MIN($V$5,EV41)</f>
        <v>3.92026082063495</v>
      </c>
      <c r="EX41" s="112"/>
    </row>
    <row r="42" s="131" customFormat="true" ht="15" hidden="false" customHeight="false" outlineLevel="0" collapsed="false">
      <c r="T42" s="112" t="n">
        <f aca="false">T41+T$7/100</f>
        <v>0.68</v>
      </c>
      <c r="U42" s="122" t="n">
        <f aca="false">T42+IF($I$3="Forward", $D$9, $G$9)</f>
        <v>0.68</v>
      </c>
      <c r="V42" s="112" t="n">
        <f aca="false">T42*TAN(RADIANS(X$7))-(IF($B$4, 9.807, 32.174)*T42^2)/(2*W$7^2*COS(RADIANS(X$7))^2)+$D$7</f>
        <v>3.98695128064443</v>
      </c>
      <c r="W42" s="123" t="n">
        <f aca="false">MIN($V$5,V42)</f>
        <v>3.98695128064443</v>
      </c>
      <c r="X42" s="112"/>
      <c r="Y42" s="112" t="n">
        <f aca="false">Y41+Y$7/100</f>
        <v>0.68</v>
      </c>
      <c r="Z42" s="112" t="n">
        <f aca="false">Y42</f>
        <v>0.68</v>
      </c>
      <c r="AA42" s="112" t="n">
        <f aca="false">Y42*TAN(RADIANS(AC$7))-(IF($B$4, 9.807, 32.174)*Y42^2)/(2*AB$7^2*COS(RADIANS(AC$7))^2)+$D$7</f>
        <v>3.98695128064443</v>
      </c>
      <c r="AB42" s="123" t="n">
        <f aca="false">MIN($V$5,AA42)</f>
        <v>3.98695128064443</v>
      </c>
      <c r="AC42" s="112"/>
      <c r="AD42" s="112" t="n">
        <f aca="false">AD41+AD$7/100</f>
        <v>0.68</v>
      </c>
      <c r="AE42" s="122" t="n">
        <f aca="false">AD42-IF($I$3="Forward", $D$9, $G$9)</f>
        <v>0.68</v>
      </c>
      <c r="AF42" s="112" t="n">
        <f aca="false">AD42*TAN(RADIANS(AH$7))-(IF($B$4, 9.807, 32.174)*AD42^2)/(2*AG$7^2*COS(RADIANS(AH$7))^2)+$D$7</f>
        <v>3.98695128064443</v>
      </c>
      <c r="AG42" s="123" t="n">
        <f aca="false">MIN($V$5,AF42)</f>
        <v>3.98695128064443</v>
      </c>
      <c r="AH42" s="112"/>
      <c r="AI42" s="112" t="n">
        <f aca="false">AI41+AI$7/100</f>
        <v>0.68</v>
      </c>
      <c r="AJ42" s="122" t="n">
        <f aca="false">AI42+IF($I$3="Forward", $D$9, $G$9)</f>
        <v>0.68</v>
      </c>
      <c r="AK42" s="112" t="n">
        <f aca="false">AI42*TAN(RADIANS(AM$7))-(IF($B$4, 9.807, 32.174)*AI42^2)/(2*AL$7^2*COS(RADIANS(AM$7))^2)+$D$7</f>
        <v>3.98695128064443</v>
      </c>
      <c r="AL42" s="123" t="n">
        <f aca="false">MIN($V$5,AK42)</f>
        <v>3.98695128064443</v>
      </c>
      <c r="AM42" s="112"/>
      <c r="AN42" s="112" t="n">
        <f aca="false">AN41+AN$7/100</f>
        <v>0.68</v>
      </c>
      <c r="AO42" s="112" t="n">
        <f aca="false">AN42</f>
        <v>0.68</v>
      </c>
      <c r="AP42" s="112" t="n">
        <f aca="false">AN42*TAN(RADIANS(AR$7))-(IF($B$4, 9.807, 32.174)*AN42^2)/(2*AQ$7^2*COS(RADIANS(AR$7))^2)+$D$7</f>
        <v>3.98695128064443</v>
      </c>
      <c r="AQ42" s="123" t="n">
        <f aca="false">MIN($V$5,AP42)</f>
        <v>3.98695128064443</v>
      </c>
      <c r="AR42" s="112"/>
      <c r="AS42" s="112" t="n">
        <f aca="false">AS41+AS$7/100</f>
        <v>0.68</v>
      </c>
      <c r="AT42" s="122" t="n">
        <f aca="false">AS42-IF($I$3="Forward", $D$9, $G$9)</f>
        <v>0.68</v>
      </c>
      <c r="AU42" s="112" t="n">
        <f aca="false">AS42*TAN(RADIANS(AW$7))-(IF($B$4, 9.807, 32.174)*AS42^2)/(2*AV$7^2*COS(RADIANS(AW$7))^2)+$D$7</f>
        <v>3.98695128064443</v>
      </c>
      <c r="AV42" s="123" t="n">
        <f aca="false">MIN($V$5,AU42)</f>
        <v>3.98695128064443</v>
      </c>
      <c r="AW42" s="112"/>
      <c r="AX42" s="112" t="n">
        <f aca="false">AX41+AX$7/100</f>
        <v>0.68</v>
      </c>
      <c r="AY42" s="122" t="n">
        <f aca="false">AX42+IF($I$3="Forward", $D$9, $G$9)</f>
        <v>0.68</v>
      </c>
      <c r="AZ42" s="112" t="n">
        <f aca="false">AX42*TAN(RADIANS(BB$7))-(IF($B$4, 9.807, 32.174)*AX42^2)/(2*BA$7^2*COS(RADIANS(BB$7))^2)+$D$7</f>
        <v>3.98695128064443</v>
      </c>
      <c r="BA42" s="123" t="n">
        <f aca="false">MIN($V$5,AZ42)</f>
        <v>3.98695128064443</v>
      </c>
      <c r="BB42" s="112"/>
      <c r="BC42" s="112" t="n">
        <f aca="false">BC41+BC$7/100</f>
        <v>0.68</v>
      </c>
      <c r="BD42" s="112" t="n">
        <f aca="false">BC42</f>
        <v>0.68</v>
      </c>
      <c r="BE42" s="112" t="n">
        <f aca="false">BC42*TAN(RADIANS(BG$7))-(IF($B$4, 9.807, 32.174)*BC42^2)/(2*BF$7^2*COS(RADIANS(BG$7))^2)+$D$7</f>
        <v>3.98695128064443</v>
      </c>
      <c r="BF42" s="123" t="n">
        <f aca="false">MIN($V$5,BE42)</f>
        <v>3.98695128064443</v>
      </c>
      <c r="BG42" s="112"/>
      <c r="BH42" s="112" t="n">
        <f aca="false">BH41+BH$7/100</f>
        <v>0.68</v>
      </c>
      <c r="BI42" s="122" t="n">
        <f aca="false">BH42-IF($I$3="Forward", $D$9, $G$9)</f>
        <v>0.68</v>
      </c>
      <c r="BJ42" s="112" t="n">
        <f aca="false">BH42*TAN(RADIANS(BL$7))-(IF($B$4, 9.807, 32.174)*BH42^2)/(2*BK$7^2*COS(RADIANS(BL$7))^2)+$D$7</f>
        <v>3.98695128064443</v>
      </c>
      <c r="BK42" s="123" t="n">
        <f aca="false">MIN($V$5,BJ42)</f>
        <v>3.98695128064443</v>
      </c>
      <c r="BL42" s="112"/>
      <c r="BM42" s="112" t="n">
        <f aca="false">BM41+BM$7/100</f>
        <v>0.68</v>
      </c>
      <c r="BN42" s="122" t="n">
        <f aca="false">BM42+IF($I$3="Forward", $D$9, $G$9)</f>
        <v>0.68</v>
      </c>
      <c r="BO42" s="112" t="n">
        <f aca="false">BM42*TAN(RADIANS(BQ$7))-(IF($B$4, 9.807, 32.174)*BM42^2)/(2*BP$7^2*COS(RADIANS(BQ$7))^2)+$D$7</f>
        <v>3.98695128064443</v>
      </c>
      <c r="BP42" s="123" t="n">
        <f aca="false">MIN($V$5,BO42)</f>
        <v>3.98695128064443</v>
      </c>
      <c r="BQ42" s="112"/>
      <c r="BR42" s="112" t="n">
        <f aca="false">BR41+BR$7/100</f>
        <v>0.68</v>
      </c>
      <c r="BS42" s="112" t="n">
        <f aca="false">BR42</f>
        <v>0.68</v>
      </c>
      <c r="BT42" s="112" t="n">
        <f aca="false">BR42*TAN(RADIANS(BV$7))-(IF($B$4, 9.807, 32.174)*BR42^2)/(2*BU$7^2*COS(RADIANS(BV$7))^2)+$D$7</f>
        <v>3.98695128064443</v>
      </c>
      <c r="BU42" s="123" t="n">
        <f aca="false">MIN($V$5,BT42)</f>
        <v>3.98695128064443</v>
      </c>
      <c r="BV42" s="112"/>
      <c r="BW42" s="112" t="n">
        <f aca="false">BW41+BW$7/100</f>
        <v>0.68</v>
      </c>
      <c r="BX42" s="122" t="n">
        <f aca="false">BW42-IF($I$3="Forward", $D$9, $G$9)</f>
        <v>0.68</v>
      </c>
      <c r="BY42" s="112" t="n">
        <f aca="false">BW42*TAN(RADIANS(CA$7))-(IF($B$4, 9.807, 32.174)*BW42^2)/(2*BZ$7^2*COS(RADIANS(CA$7))^2)+$D$7</f>
        <v>3.98695128064443</v>
      </c>
      <c r="BZ42" s="123" t="n">
        <f aca="false">MIN($V$5,BY42)</f>
        <v>3.98695128064443</v>
      </c>
      <c r="CA42" s="112"/>
      <c r="CB42" s="112" t="n">
        <f aca="false">CB41+CB$7/100</f>
        <v>0.68</v>
      </c>
      <c r="CC42" s="122" t="n">
        <f aca="false">CB42+IF($I$3="Forward", $D$9, $G$9)</f>
        <v>0.68</v>
      </c>
      <c r="CD42" s="112" t="n">
        <f aca="false">CB42*TAN(RADIANS(CF$7))-(IF($B$4, 9.807, 32.174)*CB42^2)/(2*CE$7^2*COS(RADIANS(CF$7))^2)+$D$7</f>
        <v>3.98695128064443</v>
      </c>
      <c r="CE42" s="123" t="n">
        <f aca="false">MIN($V$5,CD42)</f>
        <v>3.98695128064443</v>
      </c>
      <c r="CF42" s="112"/>
      <c r="CG42" s="124" t="n">
        <f aca="false">CG41+CG$7/100</f>
        <v>0.68</v>
      </c>
      <c r="CH42" s="124" t="n">
        <f aca="false">CG42</f>
        <v>0.68</v>
      </c>
      <c r="CI42" s="124" t="n">
        <f aca="false">CG42*TAN(RADIANS(CK$7))-(IF($B$4, 9.807, 32.174)*CG42^2)/(2*CJ$7^2*COS(RADIANS(CK$7))^2)+$D$7</f>
        <v>3.98695128064443</v>
      </c>
      <c r="CJ42" s="123" t="n">
        <f aca="false">MIN($V$5,CI42)</f>
        <v>3.98695128064443</v>
      </c>
      <c r="CK42" s="124"/>
      <c r="CL42" s="112" t="n">
        <f aca="false">CL41+CL$7/100</f>
        <v>0.68</v>
      </c>
      <c r="CM42" s="122" t="n">
        <f aca="false">CL42-IF($I$3="Forward", $D$9, $G$9)</f>
        <v>0.68</v>
      </c>
      <c r="CN42" s="112" t="n">
        <f aca="false">CL42*TAN(RADIANS(CP$7))-(IF($B$4, 9.807, 32.174)*CL42^2)/(2*CO$7^2*COS(RADIANS(CP$7))^2)+$D$7</f>
        <v>3.98695128064443</v>
      </c>
      <c r="CO42" s="123" t="n">
        <f aca="false">MIN($V$5,CN42)</f>
        <v>3.98695128064443</v>
      </c>
      <c r="CP42" s="112"/>
      <c r="CQ42" s="112" t="n">
        <f aca="false">CQ41+CQ$7/100</f>
        <v>0.68</v>
      </c>
      <c r="CR42" s="122" t="n">
        <f aca="false">CQ42+IF($I$3="Forward", $D$9, $G$9)</f>
        <v>0.68</v>
      </c>
      <c r="CS42" s="112" t="n">
        <f aca="false">CQ42*TAN(RADIANS(CU$7))-(IF($B$4, 9.807, 32.174)*CQ42^2)/(2*CT$7^2*COS(RADIANS(CU$7))^2)+$D$7</f>
        <v>3.98695128064443</v>
      </c>
      <c r="CT42" s="123" t="n">
        <f aca="false">MIN($V$5,CS42)</f>
        <v>3.98695128064443</v>
      </c>
      <c r="CU42" s="112"/>
      <c r="CV42" s="112" t="n">
        <f aca="false">CV41+CV$7/100</f>
        <v>0.68</v>
      </c>
      <c r="CW42" s="112" t="n">
        <f aca="false">CV42</f>
        <v>0.68</v>
      </c>
      <c r="CX42" s="112" t="n">
        <f aca="false">CV42*TAN(RADIANS(CZ$7))-(IF($B$4, 9.807, 32.174)*CV42^2)/(2*CY$7^2*COS(RADIANS(CZ$7))^2)+$D$7</f>
        <v>3.98695128064443</v>
      </c>
      <c r="CY42" s="123" t="n">
        <f aca="false">MIN($V$5,CX42)</f>
        <v>3.98695128064443</v>
      </c>
      <c r="CZ42" s="112"/>
      <c r="DA42" s="112" t="n">
        <f aca="false">DA41+DA$7/100</f>
        <v>0.68</v>
      </c>
      <c r="DB42" s="122" t="n">
        <f aca="false">DA42-IF($I$3="Forward", $D$9, $G$9)</f>
        <v>0.68</v>
      </c>
      <c r="DC42" s="112" t="n">
        <f aca="false">DA42*TAN(RADIANS(DE$7))-(IF($B$4, 9.807, 32.174)*DA42^2)/(2*DD$7^2*COS(RADIANS(DE$7))^2)+$D$7</f>
        <v>3.98695128064443</v>
      </c>
      <c r="DD42" s="123" t="n">
        <f aca="false">MIN($V$5,DC42)</f>
        <v>3.98695128064443</v>
      </c>
      <c r="DE42" s="112"/>
      <c r="DF42" s="112" t="n">
        <f aca="false">DF41+DF$7/100</f>
        <v>0.68</v>
      </c>
      <c r="DG42" s="122" t="n">
        <f aca="false">DF42+IF($I$3="Forward", $D$9, $G$9)</f>
        <v>0.68</v>
      </c>
      <c r="DH42" s="112" t="n">
        <f aca="false">DF42*TAN(RADIANS(DJ$7))-(IF($B$4, 9.807, 32.174)*DF42^2)/(2*DI$7^2*COS(RADIANS(DJ$7))^2)+$D$7</f>
        <v>3.98695128064443</v>
      </c>
      <c r="DI42" s="123" t="n">
        <f aca="false">MIN($V$5,DH42)</f>
        <v>3.98695128064443</v>
      </c>
      <c r="DJ42" s="112"/>
      <c r="DK42" s="112" t="n">
        <f aca="false">DK41+DK$7/100</f>
        <v>0.68</v>
      </c>
      <c r="DL42" s="112" t="n">
        <f aca="false">DK42</f>
        <v>0.68</v>
      </c>
      <c r="DM42" s="112" t="n">
        <f aca="false">DK42*TAN(RADIANS(DO$7))-(IF($B$4, 9.807, 32.174)*DK42^2)/(2*DN$7^2*COS(RADIANS(DO$7))^2)+$D$7</f>
        <v>3.98695128064443</v>
      </c>
      <c r="DN42" s="123" t="n">
        <f aca="false">MIN($V$5,DM42)</f>
        <v>3.98695128064443</v>
      </c>
      <c r="DO42" s="112"/>
      <c r="DP42" s="112" t="n">
        <f aca="false">DP41+DP$7/100</f>
        <v>0.68</v>
      </c>
      <c r="DQ42" s="122" t="n">
        <f aca="false">DP42-IF($I$3="Forward", $D$9, $G$9)</f>
        <v>0.68</v>
      </c>
      <c r="DR42" s="112" t="n">
        <f aca="false">DP42*TAN(RADIANS(DT$7))-(IF($B$4, 9.807, 32.174)*DP42^2)/(2*DS$7^2*COS(RADIANS(DT$7))^2)+$D$7</f>
        <v>3.98695128064443</v>
      </c>
      <c r="DS42" s="123" t="n">
        <f aca="false">MIN($V$5,DR42)</f>
        <v>3.98695128064443</v>
      </c>
      <c r="DT42" s="112"/>
      <c r="DU42" s="112" t="n">
        <f aca="false">DU41+DU$7/100</f>
        <v>0.68</v>
      </c>
      <c r="DV42" s="122" t="n">
        <f aca="false">DU42+IF($I$3="Forward", $D$9, $G$9)</f>
        <v>0.68</v>
      </c>
      <c r="DW42" s="112" t="n">
        <f aca="false">DU42*TAN(RADIANS(DY$7))-(IF($B$4, 9.807, 32.174)*DU42^2)/(2*DX$7^2*COS(RADIANS(DY$7))^2)+$D$7</f>
        <v>3.98695128064443</v>
      </c>
      <c r="DX42" s="123" t="n">
        <f aca="false">MIN($V$5,DW42)</f>
        <v>3.98695128064443</v>
      </c>
      <c r="DY42" s="112"/>
      <c r="DZ42" s="112" t="n">
        <f aca="false">DZ41+DZ$7/100</f>
        <v>0.68</v>
      </c>
      <c r="EA42" s="112" t="n">
        <f aca="false">DZ42</f>
        <v>0.68</v>
      </c>
      <c r="EB42" s="112" t="n">
        <f aca="false">DZ42*TAN(RADIANS(ED$7))-(IF($B$4, 9.807, 32.174)*DZ42^2)/(2*EC$7^2*COS(RADIANS(ED$7))^2)+$D$7</f>
        <v>3.98695128064443</v>
      </c>
      <c r="EC42" s="123" t="n">
        <f aca="false">MIN($V$5,EB42)</f>
        <v>3.98695128064443</v>
      </c>
      <c r="ED42" s="112"/>
      <c r="EE42" s="112" t="n">
        <f aca="false">EE41+EE$7/100</f>
        <v>0.68</v>
      </c>
      <c r="EF42" s="122" t="n">
        <f aca="false">EE42-IF($I$3="Forward", $D$9, $G$9)</f>
        <v>0.68</v>
      </c>
      <c r="EG42" s="112" t="n">
        <f aca="false">EE42*TAN(RADIANS(EI$7))-(IF($B$4, 9.807, 32.174)*EE42^2)/(2*EH$7^2*COS(RADIANS(EI$7))^2)+$D$7</f>
        <v>3.98695128064443</v>
      </c>
      <c r="EH42" s="123" t="n">
        <f aca="false">MIN($V$5,EG42)</f>
        <v>3.98695128064443</v>
      </c>
      <c r="EI42" s="112"/>
      <c r="EJ42" s="112" t="n">
        <f aca="false">EJ41+EJ$7/100</f>
        <v>0.68</v>
      </c>
      <c r="EK42" s="122" t="n">
        <f aca="false">EJ42+IF($I$3="Forward", $D$9, $G$9)</f>
        <v>0.68</v>
      </c>
      <c r="EL42" s="112" t="n">
        <f aca="false">EJ42*TAN(RADIANS(EN$7))-(IF($B$4, 9.807, 32.174)*EJ42^2)/(2*EM$7^2*COS(RADIANS(EN$7))^2)+$D$7</f>
        <v>3.98695128064443</v>
      </c>
      <c r="EM42" s="123" t="n">
        <f aca="false">MIN($V$5,EL42)</f>
        <v>3.98695128064443</v>
      </c>
      <c r="EN42" s="112"/>
      <c r="EO42" s="112" t="n">
        <f aca="false">EO41+EO$7/100</f>
        <v>0.68</v>
      </c>
      <c r="EP42" s="112" t="n">
        <f aca="false">EO42</f>
        <v>0.68</v>
      </c>
      <c r="EQ42" s="112" t="n">
        <f aca="false">EO42*TAN(RADIANS(ES$7))-(IF($B$4, 9.807, 32.174)*EO42^2)/(2*ER$7^2*COS(RADIANS(ES$7))^2)+$D$7</f>
        <v>3.98695128064443</v>
      </c>
      <c r="ER42" s="123" t="n">
        <f aca="false">MIN($V$5,EQ42)</f>
        <v>3.98695128064443</v>
      </c>
      <c r="ES42" s="112"/>
      <c r="ET42" s="112" t="n">
        <f aca="false">ET41+ET$7/100</f>
        <v>0.68</v>
      </c>
      <c r="EU42" s="122" t="n">
        <f aca="false">ET42-IF($I$3="Forward", $D$9, $G$9)</f>
        <v>0.68</v>
      </c>
      <c r="EV42" s="112" t="n">
        <f aca="false">ET42*TAN(RADIANS(EX$7))-(IF($B$4, 9.807, 32.174)*ET42^2)/(2*EW$7^2*COS(RADIANS(EX$7))^2)+$D$7</f>
        <v>3.98695128064443</v>
      </c>
      <c r="EW42" s="123" t="n">
        <f aca="false">MIN($V$5,EV42)</f>
        <v>3.98695128064443</v>
      </c>
      <c r="EX42" s="112"/>
    </row>
    <row r="43" s="131" customFormat="true" ht="15" hidden="false" customHeight="false" outlineLevel="0" collapsed="false">
      <c r="T43" s="112" t="n">
        <f aca="false">T42+T$7/100</f>
        <v>0.7</v>
      </c>
      <c r="U43" s="122" t="n">
        <f aca="false">T43+IF($I$3="Forward", $D$9, $G$9)</f>
        <v>0.7</v>
      </c>
      <c r="V43" s="112" t="n">
        <f aca="false">T43*TAN(RADIANS(X$7))-(IF($B$4, 9.807, 32.174)*T43^2)/(2*W$7^2*COS(RADIANS(X$7))^2)+$D$7</f>
        <v>4.05093322792606</v>
      </c>
      <c r="W43" s="123" t="n">
        <f aca="false">MIN($V$5,V43)</f>
        <v>4.05093322792606</v>
      </c>
      <c r="X43" s="112"/>
      <c r="Y43" s="112" t="n">
        <f aca="false">Y42+Y$7/100</f>
        <v>0.7</v>
      </c>
      <c r="Z43" s="112" t="n">
        <f aca="false">Y43</f>
        <v>0.7</v>
      </c>
      <c r="AA43" s="112" t="n">
        <f aca="false">Y43*TAN(RADIANS(AC$7))-(IF($B$4, 9.807, 32.174)*Y43^2)/(2*AB$7^2*COS(RADIANS(AC$7))^2)+$D$7</f>
        <v>4.05093322792606</v>
      </c>
      <c r="AB43" s="123" t="n">
        <f aca="false">MIN($V$5,AA43)</f>
        <v>4.05093322792606</v>
      </c>
      <c r="AC43" s="112"/>
      <c r="AD43" s="112" t="n">
        <f aca="false">AD42+AD$7/100</f>
        <v>0.7</v>
      </c>
      <c r="AE43" s="122" t="n">
        <f aca="false">AD43-IF($I$3="Forward", $D$9, $G$9)</f>
        <v>0.7</v>
      </c>
      <c r="AF43" s="112" t="n">
        <f aca="false">AD43*TAN(RADIANS(AH$7))-(IF($B$4, 9.807, 32.174)*AD43^2)/(2*AG$7^2*COS(RADIANS(AH$7))^2)+$D$7</f>
        <v>4.05093322792606</v>
      </c>
      <c r="AG43" s="123" t="n">
        <f aca="false">MIN($V$5,AF43)</f>
        <v>4.05093322792606</v>
      </c>
      <c r="AH43" s="112"/>
      <c r="AI43" s="112" t="n">
        <f aca="false">AI42+AI$7/100</f>
        <v>0.7</v>
      </c>
      <c r="AJ43" s="122" t="n">
        <f aca="false">AI43+IF($I$3="Forward", $D$9, $G$9)</f>
        <v>0.7</v>
      </c>
      <c r="AK43" s="112" t="n">
        <f aca="false">AI43*TAN(RADIANS(AM$7))-(IF($B$4, 9.807, 32.174)*AI43^2)/(2*AL$7^2*COS(RADIANS(AM$7))^2)+$D$7</f>
        <v>4.05093322792606</v>
      </c>
      <c r="AL43" s="123" t="n">
        <f aca="false">MIN($V$5,AK43)</f>
        <v>4.05093322792606</v>
      </c>
      <c r="AM43" s="112"/>
      <c r="AN43" s="112" t="n">
        <f aca="false">AN42+AN$7/100</f>
        <v>0.7</v>
      </c>
      <c r="AO43" s="112" t="n">
        <f aca="false">AN43</f>
        <v>0.7</v>
      </c>
      <c r="AP43" s="112" t="n">
        <f aca="false">AN43*TAN(RADIANS(AR$7))-(IF($B$4, 9.807, 32.174)*AN43^2)/(2*AQ$7^2*COS(RADIANS(AR$7))^2)+$D$7</f>
        <v>4.05093322792606</v>
      </c>
      <c r="AQ43" s="123" t="n">
        <f aca="false">MIN($V$5,AP43)</f>
        <v>4.05093322792606</v>
      </c>
      <c r="AR43" s="112"/>
      <c r="AS43" s="112" t="n">
        <f aca="false">AS42+AS$7/100</f>
        <v>0.7</v>
      </c>
      <c r="AT43" s="122" t="n">
        <f aca="false">AS43-IF($I$3="Forward", $D$9, $G$9)</f>
        <v>0.7</v>
      </c>
      <c r="AU43" s="112" t="n">
        <f aca="false">AS43*TAN(RADIANS(AW$7))-(IF($B$4, 9.807, 32.174)*AS43^2)/(2*AV$7^2*COS(RADIANS(AW$7))^2)+$D$7</f>
        <v>4.05093322792606</v>
      </c>
      <c r="AV43" s="123" t="n">
        <f aca="false">MIN($V$5,AU43)</f>
        <v>4.05093322792606</v>
      </c>
      <c r="AW43" s="112"/>
      <c r="AX43" s="112" t="n">
        <f aca="false">AX42+AX$7/100</f>
        <v>0.7</v>
      </c>
      <c r="AY43" s="122" t="n">
        <f aca="false">AX43+IF($I$3="Forward", $D$9, $G$9)</f>
        <v>0.7</v>
      </c>
      <c r="AZ43" s="112" t="n">
        <f aca="false">AX43*TAN(RADIANS(BB$7))-(IF($B$4, 9.807, 32.174)*AX43^2)/(2*BA$7^2*COS(RADIANS(BB$7))^2)+$D$7</f>
        <v>4.05093322792606</v>
      </c>
      <c r="BA43" s="123" t="n">
        <f aca="false">MIN($V$5,AZ43)</f>
        <v>4.05093322792606</v>
      </c>
      <c r="BB43" s="112"/>
      <c r="BC43" s="112" t="n">
        <f aca="false">BC42+BC$7/100</f>
        <v>0.7</v>
      </c>
      <c r="BD43" s="112" t="n">
        <f aca="false">BC43</f>
        <v>0.7</v>
      </c>
      <c r="BE43" s="112" t="n">
        <f aca="false">BC43*TAN(RADIANS(BG$7))-(IF($B$4, 9.807, 32.174)*BC43^2)/(2*BF$7^2*COS(RADIANS(BG$7))^2)+$D$7</f>
        <v>4.05093322792606</v>
      </c>
      <c r="BF43" s="123" t="n">
        <f aca="false">MIN($V$5,BE43)</f>
        <v>4.05093322792606</v>
      </c>
      <c r="BG43" s="112"/>
      <c r="BH43" s="112" t="n">
        <f aca="false">BH42+BH$7/100</f>
        <v>0.7</v>
      </c>
      <c r="BI43" s="122" t="n">
        <f aca="false">BH43-IF($I$3="Forward", $D$9, $G$9)</f>
        <v>0.7</v>
      </c>
      <c r="BJ43" s="112" t="n">
        <f aca="false">BH43*TAN(RADIANS(BL$7))-(IF($B$4, 9.807, 32.174)*BH43^2)/(2*BK$7^2*COS(RADIANS(BL$7))^2)+$D$7</f>
        <v>4.05093322792606</v>
      </c>
      <c r="BK43" s="123" t="n">
        <f aca="false">MIN($V$5,BJ43)</f>
        <v>4.05093322792606</v>
      </c>
      <c r="BL43" s="112"/>
      <c r="BM43" s="112" t="n">
        <f aca="false">BM42+BM$7/100</f>
        <v>0.7</v>
      </c>
      <c r="BN43" s="122" t="n">
        <f aca="false">BM43+IF($I$3="Forward", $D$9, $G$9)</f>
        <v>0.7</v>
      </c>
      <c r="BO43" s="112" t="n">
        <f aca="false">BM43*TAN(RADIANS(BQ$7))-(IF($B$4, 9.807, 32.174)*BM43^2)/(2*BP$7^2*COS(RADIANS(BQ$7))^2)+$D$7</f>
        <v>4.05093322792606</v>
      </c>
      <c r="BP43" s="123" t="n">
        <f aca="false">MIN($V$5,BO43)</f>
        <v>4.05093322792606</v>
      </c>
      <c r="BQ43" s="112"/>
      <c r="BR43" s="112" t="n">
        <f aca="false">BR42+BR$7/100</f>
        <v>0.7</v>
      </c>
      <c r="BS43" s="112" t="n">
        <f aca="false">BR43</f>
        <v>0.7</v>
      </c>
      <c r="BT43" s="112" t="n">
        <f aca="false">BR43*TAN(RADIANS(BV$7))-(IF($B$4, 9.807, 32.174)*BR43^2)/(2*BU$7^2*COS(RADIANS(BV$7))^2)+$D$7</f>
        <v>4.05093322792606</v>
      </c>
      <c r="BU43" s="123" t="n">
        <f aca="false">MIN($V$5,BT43)</f>
        <v>4.05093322792606</v>
      </c>
      <c r="BV43" s="112"/>
      <c r="BW43" s="112" t="n">
        <f aca="false">BW42+BW$7/100</f>
        <v>0.7</v>
      </c>
      <c r="BX43" s="122" t="n">
        <f aca="false">BW43-IF($I$3="Forward", $D$9, $G$9)</f>
        <v>0.7</v>
      </c>
      <c r="BY43" s="112" t="n">
        <f aca="false">BW43*TAN(RADIANS(CA$7))-(IF($B$4, 9.807, 32.174)*BW43^2)/(2*BZ$7^2*COS(RADIANS(CA$7))^2)+$D$7</f>
        <v>4.05093322792606</v>
      </c>
      <c r="BZ43" s="123" t="n">
        <f aca="false">MIN($V$5,BY43)</f>
        <v>4.05093322792606</v>
      </c>
      <c r="CA43" s="112"/>
      <c r="CB43" s="112" t="n">
        <f aca="false">CB42+CB$7/100</f>
        <v>0.7</v>
      </c>
      <c r="CC43" s="122" t="n">
        <f aca="false">CB43+IF($I$3="Forward", $D$9, $G$9)</f>
        <v>0.7</v>
      </c>
      <c r="CD43" s="112" t="n">
        <f aca="false">CB43*TAN(RADIANS(CF$7))-(IF($B$4, 9.807, 32.174)*CB43^2)/(2*CE$7^2*COS(RADIANS(CF$7))^2)+$D$7</f>
        <v>4.05093322792606</v>
      </c>
      <c r="CE43" s="123" t="n">
        <f aca="false">MIN($V$5,CD43)</f>
        <v>4.05093322792606</v>
      </c>
      <c r="CF43" s="112"/>
      <c r="CG43" s="124" t="n">
        <f aca="false">CG42+CG$7/100</f>
        <v>0.7</v>
      </c>
      <c r="CH43" s="124" t="n">
        <f aca="false">CG43</f>
        <v>0.7</v>
      </c>
      <c r="CI43" s="124" t="n">
        <f aca="false">CG43*TAN(RADIANS(CK$7))-(IF($B$4, 9.807, 32.174)*CG43^2)/(2*CJ$7^2*COS(RADIANS(CK$7))^2)+$D$7</f>
        <v>4.05093322792606</v>
      </c>
      <c r="CJ43" s="123" t="n">
        <f aca="false">MIN($V$5,CI43)</f>
        <v>4.05093322792606</v>
      </c>
      <c r="CK43" s="124"/>
      <c r="CL43" s="112" t="n">
        <f aca="false">CL42+CL$7/100</f>
        <v>0.7</v>
      </c>
      <c r="CM43" s="122" t="n">
        <f aca="false">CL43-IF($I$3="Forward", $D$9, $G$9)</f>
        <v>0.7</v>
      </c>
      <c r="CN43" s="112" t="n">
        <f aca="false">CL43*TAN(RADIANS(CP$7))-(IF($B$4, 9.807, 32.174)*CL43^2)/(2*CO$7^2*COS(RADIANS(CP$7))^2)+$D$7</f>
        <v>4.05093322792606</v>
      </c>
      <c r="CO43" s="123" t="n">
        <f aca="false">MIN($V$5,CN43)</f>
        <v>4.05093322792606</v>
      </c>
      <c r="CP43" s="112"/>
      <c r="CQ43" s="112" t="n">
        <f aca="false">CQ42+CQ$7/100</f>
        <v>0.7</v>
      </c>
      <c r="CR43" s="122" t="n">
        <f aca="false">CQ43+IF($I$3="Forward", $D$9, $G$9)</f>
        <v>0.7</v>
      </c>
      <c r="CS43" s="112" t="n">
        <f aca="false">CQ43*TAN(RADIANS(CU$7))-(IF($B$4, 9.807, 32.174)*CQ43^2)/(2*CT$7^2*COS(RADIANS(CU$7))^2)+$D$7</f>
        <v>4.05093322792606</v>
      </c>
      <c r="CT43" s="123" t="n">
        <f aca="false">MIN($V$5,CS43)</f>
        <v>4.05093322792606</v>
      </c>
      <c r="CU43" s="112"/>
      <c r="CV43" s="112" t="n">
        <f aca="false">CV42+CV$7/100</f>
        <v>0.7</v>
      </c>
      <c r="CW43" s="112" t="n">
        <f aca="false">CV43</f>
        <v>0.7</v>
      </c>
      <c r="CX43" s="112" t="n">
        <f aca="false">CV43*TAN(RADIANS(CZ$7))-(IF($B$4, 9.807, 32.174)*CV43^2)/(2*CY$7^2*COS(RADIANS(CZ$7))^2)+$D$7</f>
        <v>4.05093322792606</v>
      </c>
      <c r="CY43" s="123" t="n">
        <f aca="false">MIN($V$5,CX43)</f>
        <v>4.05093322792606</v>
      </c>
      <c r="CZ43" s="112"/>
      <c r="DA43" s="112" t="n">
        <f aca="false">DA42+DA$7/100</f>
        <v>0.7</v>
      </c>
      <c r="DB43" s="122" t="n">
        <f aca="false">DA43-IF($I$3="Forward", $D$9, $G$9)</f>
        <v>0.7</v>
      </c>
      <c r="DC43" s="112" t="n">
        <f aca="false">DA43*TAN(RADIANS(DE$7))-(IF($B$4, 9.807, 32.174)*DA43^2)/(2*DD$7^2*COS(RADIANS(DE$7))^2)+$D$7</f>
        <v>4.05093322792606</v>
      </c>
      <c r="DD43" s="123" t="n">
        <f aca="false">MIN($V$5,DC43)</f>
        <v>4.05093322792606</v>
      </c>
      <c r="DE43" s="112"/>
      <c r="DF43" s="112" t="n">
        <f aca="false">DF42+DF$7/100</f>
        <v>0.7</v>
      </c>
      <c r="DG43" s="122" t="n">
        <f aca="false">DF43+IF($I$3="Forward", $D$9, $G$9)</f>
        <v>0.7</v>
      </c>
      <c r="DH43" s="112" t="n">
        <f aca="false">DF43*TAN(RADIANS(DJ$7))-(IF($B$4, 9.807, 32.174)*DF43^2)/(2*DI$7^2*COS(RADIANS(DJ$7))^2)+$D$7</f>
        <v>4.05093322792606</v>
      </c>
      <c r="DI43" s="123" t="n">
        <f aca="false">MIN($V$5,DH43)</f>
        <v>4.05093322792606</v>
      </c>
      <c r="DJ43" s="112"/>
      <c r="DK43" s="112" t="n">
        <f aca="false">DK42+DK$7/100</f>
        <v>0.7</v>
      </c>
      <c r="DL43" s="112" t="n">
        <f aca="false">DK43</f>
        <v>0.7</v>
      </c>
      <c r="DM43" s="112" t="n">
        <f aca="false">DK43*TAN(RADIANS(DO$7))-(IF($B$4, 9.807, 32.174)*DK43^2)/(2*DN$7^2*COS(RADIANS(DO$7))^2)+$D$7</f>
        <v>4.05093322792606</v>
      </c>
      <c r="DN43" s="123" t="n">
        <f aca="false">MIN($V$5,DM43)</f>
        <v>4.05093322792606</v>
      </c>
      <c r="DO43" s="112"/>
      <c r="DP43" s="112" t="n">
        <f aca="false">DP42+DP$7/100</f>
        <v>0.7</v>
      </c>
      <c r="DQ43" s="122" t="n">
        <f aca="false">DP43-IF($I$3="Forward", $D$9, $G$9)</f>
        <v>0.7</v>
      </c>
      <c r="DR43" s="112" t="n">
        <f aca="false">DP43*TAN(RADIANS(DT$7))-(IF($B$4, 9.807, 32.174)*DP43^2)/(2*DS$7^2*COS(RADIANS(DT$7))^2)+$D$7</f>
        <v>4.05093322792606</v>
      </c>
      <c r="DS43" s="123" t="n">
        <f aca="false">MIN($V$5,DR43)</f>
        <v>4.05093322792606</v>
      </c>
      <c r="DT43" s="112"/>
      <c r="DU43" s="112" t="n">
        <f aca="false">DU42+DU$7/100</f>
        <v>0.7</v>
      </c>
      <c r="DV43" s="122" t="n">
        <f aca="false">DU43+IF($I$3="Forward", $D$9, $G$9)</f>
        <v>0.7</v>
      </c>
      <c r="DW43" s="112" t="n">
        <f aca="false">DU43*TAN(RADIANS(DY$7))-(IF($B$4, 9.807, 32.174)*DU43^2)/(2*DX$7^2*COS(RADIANS(DY$7))^2)+$D$7</f>
        <v>4.05093322792606</v>
      </c>
      <c r="DX43" s="123" t="n">
        <f aca="false">MIN($V$5,DW43)</f>
        <v>4.05093322792606</v>
      </c>
      <c r="DY43" s="112"/>
      <c r="DZ43" s="112" t="n">
        <f aca="false">DZ42+DZ$7/100</f>
        <v>0.7</v>
      </c>
      <c r="EA43" s="112" t="n">
        <f aca="false">DZ43</f>
        <v>0.7</v>
      </c>
      <c r="EB43" s="112" t="n">
        <f aca="false">DZ43*TAN(RADIANS(ED$7))-(IF($B$4, 9.807, 32.174)*DZ43^2)/(2*EC$7^2*COS(RADIANS(ED$7))^2)+$D$7</f>
        <v>4.05093322792606</v>
      </c>
      <c r="EC43" s="123" t="n">
        <f aca="false">MIN($V$5,EB43)</f>
        <v>4.05093322792606</v>
      </c>
      <c r="ED43" s="112"/>
      <c r="EE43" s="112" t="n">
        <f aca="false">EE42+EE$7/100</f>
        <v>0.7</v>
      </c>
      <c r="EF43" s="122" t="n">
        <f aca="false">EE43-IF($I$3="Forward", $D$9, $G$9)</f>
        <v>0.7</v>
      </c>
      <c r="EG43" s="112" t="n">
        <f aca="false">EE43*TAN(RADIANS(EI$7))-(IF($B$4, 9.807, 32.174)*EE43^2)/(2*EH$7^2*COS(RADIANS(EI$7))^2)+$D$7</f>
        <v>4.05093322792606</v>
      </c>
      <c r="EH43" s="123" t="n">
        <f aca="false">MIN($V$5,EG43)</f>
        <v>4.05093322792606</v>
      </c>
      <c r="EI43" s="112"/>
      <c r="EJ43" s="112" t="n">
        <f aca="false">EJ42+EJ$7/100</f>
        <v>0.7</v>
      </c>
      <c r="EK43" s="122" t="n">
        <f aca="false">EJ43+IF($I$3="Forward", $D$9, $G$9)</f>
        <v>0.7</v>
      </c>
      <c r="EL43" s="112" t="n">
        <f aca="false">EJ43*TAN(RADIANS(EN$7))-(IF($B$4, 9.807, 32.174)*EJ43^2)/(2*EM$7^2*COS(RADIANS(EN$7))^2)+$D$7</f>
        <v>4.05093322792606</v>
      </c>
      <c r="EM43" s="123" t="n">
        <f aca="false">MIN($V$5,EL43)</f>
        <v>4.05093322792606</v>
      </c>
      <c r="EN43" s="112"/>
      <c r="EO43" s="112" t="n">
        <f aca="false">EO42+EO$7/100</f>
        <v>0.7</v>
      </c>
      <c r="EP43" s="112" t="n">
        <f aca="false">EO43</f>
        <v>0.7</v>
      </c>
      <c r="EQ43" s="112" t="n">
        <f aca="false">EO43*TAN(RADIANS(ES$7))-(IF($B$4, 9.807, 32.174)*EO43^2)/(2*ER$7^2*COS(RADIANS(ES$7))^2)+$D$7</f>
        <v>4.05093322792606</v>
      </c>
      <c r="ER43" s="123" t="n">
        <f aca="false">MIN($V$5,EQ43)</f>
        <v>4.05093322792606</v>
      </c>
      <c r="ES43" s="112"/>
      <c r="ET43" s="112" t="n">
        <f aca="false">ET42+ET$7/100</f>
        <v>0.7</v>
      </c>
      <c r="EU43" s="122" t="n">
        <f aca="false">ET43-IF($I$3="Forward", $D$9, $G$9)</f>
        <v>0.7</v>
      </c>
      <c r="EV43" s="112" t="n">
        <f aca="false">ET43*TAN(RADIANS(EX$7))-(IF($B$4, 9.807, 32.174)*ET43^2)/(2*EW$7^2*COS(RADIANS(EX$7))^2)+$D$7</f>
        <v>4.05093322792606</v>
      </c>
      <c r="EW43" s="123" t="n">
        <f aca="false">MIN($V$5,EV43)</f>
        <v>4.05093322792606</v>
      </c>
      <c r="EX43" s="112"/>
    </row>
    <row r="44" s="131" customFormat="true" ht="15" hidden="false" customHeight="false" outlineLevel="0" collapsed="false">
      <c r="T44" s="112" t="n">
        <f aca="false">T43+T$7/100</f>
        <v>0.72</v>
      </c>
      <c r="U44" s="122" t="n">
        <f aca="false">T44+IF($I$3="Forward", $D$9, $G$9)</f>
        <v>0.72</v>
      </c>
      <c r="V44" s="112" t="n">
        <f aca="false">T44*TAN(RADIANS(X$7))-(IF($B$4, 9.807, 32.174)*T44^2)/(2*W$7^2*COS(RADIANS(X$7))^2)+$D$7</f>
        <v>4.11220666247984</v>
      </c>
      <c r="W44" s="123" t="n">
        <f aca="false">MIN($V$5,V44)</f>
        <v>4.11220666247984</v>
      </c>
      <c r="X44" s="112"/>
      <c r="Y44" s="112" t="n">
        <f aca="false">Y43+Y$7/100</f>
        <v>0.72</v>
      </c>
      <c r="Z44" s="112" t="n">
        <f aca="false">Y44</f>
        <v>0.72</v>
      </c>
      <c r="AA44" s="112" t="n">
        <f aca="false">Y44*TAN(RADIANS(AC$7))-(IF($B$4, 9.807, 32.174)*Y44^2)/(2*AB$7^2*COS(RADIANS(AC$7))^2)+$D$7</f>
        <v>4.11220666247984</v>
      </c>
      <c r="AB44" s="123" t="n">
        <f aca="false">MIN($V$5,AA44)</f>
        <v>4.11220666247984</v>
      </c>
      <c r="AC44" s="112"/>
      <c r="AD44" s="112" t="n">
        <f aca="false">AD43+AD$7/100</f>
        <v>0.72</v>
      </c>
      <c r="AE44" s="122" t="n">
        <f aca="false">AD44-IF($I$3="Forward", $D$9, $G$9)</f>
        <v>0.72</v>
      </c>
      <c r="AF44" s="112" t="n">
        <f aca="false">AD44*TAN(RADIANS(AH$7))-(IF($B$4, 9.807, 32.174)*AD44^2)/(2*AG$7^2*COS(RADIANS(AH$7))^2)+$D$7</f>
        <v>4.11220666247984</v>
      </c>
      <c r="AG44" s="123" t="n">
        <f aca="false">MIN($V$5,AF44)</f>
        <v>4.11220666247984</v>
      </c>
      <c r="AH44" s="112"/>
      <c r="AI44" s="112" t="n">
        <f aca="false">AI43+AI$7/100</f>
        <v>0.72</v>
      </c>
      <c r="AJ44" s="122" t="n">
        <f aca="false">AI44+IF($I$3="Forward", $D$9, $G$9)</f>
        <v>0.72</v>
      </c>
      <c r="AK44" s="112" t="n">
        <f aca="false">AI44*TAN(RADIANS(AM$7))-(IF($B$4, 9.807, 32.174)*AI44^2)/(2*AL$7^2*COS(RADIANS(AM$7))^2)+$D$7</f>
        <v>4.11220666247984</v>
      </c>
      <c r="AL44" s="123" t="n">
        <f aca="false">MIN($V$5,AK44)</f>
        <v>4.11220666247984</v>
      </c>
      <c r="AM44" s="112"/>
      <c r="AN44" s="112" t="n">
        <f aca="false">AN43+AN$7/100</f>
        <v>0.72</v>
      </c>
      <c r="AO44" s="112" t="n">
        <f aca="false">AN44</f>
        <v>0.72</v>
      </c>
      <c r="AP44" s="112" t="n">
        <f aca="false">AN44*TAN(RADIANS(AR$7))-(IF($B$4, 9.807, 32.174)*AN44^2)/(2*AQ$7^2*COS(RADIANS(AR$7))^2)+$D$7</f>
        <v>4.11220666247984</v>
      </c>
      <c r="AQ44" s="123" t="n">
        <f aca="false">MIN($V$5,AP44)</f>
        <v>4.11220666247984</v>
      </c>
      <c r="AR44" s="112"/>
      <c r="AS44" s="112" t="n">
        <f aca="false">AS43+AS$7/100</f>
        <v>0.72</v>
      </c>
      <c r="AT44" s="122" t="n">
        <f aca="false">AS44-IF($I$3="Forward", $D$9, $G$9)</f>
        <v>0.72</v>
      </c>
      <c r="AU44" s="112" t="n">
        <f aca="false">AS44*TAN(RADIANS(AW$7))-(IF($B$4, 9.807, 32.174)*AS44^2)/(2*AV$7^2*COS(RADIANS(AW$7))^2)+$D$7</f>
        <v>4.11220666247984</v>
      </c>
      <c r="AV44" s="123" t="n">
        <f aca="false">MIN($V$5,AU44)</f>
        <v>4.11220666247984</v>
      </c>
      <c r="AW44" s="112"/>
      <c r="AX44" s="112" t="n">
        <f aca="false">AX43+AX$7/100</f>
        <v>0.72</v>
      </c>
      <c r="AY44" s="122" t="n">
        <f aca="false">AX44+IF($I$3="Forward", $D$9, $G$9)</f>
        <v>0.72</v>
      </c>
      <c r="AZ44" s="112" t="n">
        <f aca="false">AX44*TAN(RADIANS(BB$7))-(IF($B$4, 9.807, 32.174)*AX44^2)/(2*BA$7^2*COS(RADIANS(BB$7))^2)+$D$7</f>
        <v>4.11220666247984</v>
      </c>
      <c r="BA44" s="123" t="n">
        <f aca="false">MIN($V$5,AZ44)</f>
        <v>4.11220666247984</v>
      </c>
      <c r="BB44" s="112"/>
      <c r="BC44" s="112" t="n">
        <f aca="false">BC43+BC$7/100</f>
        <v>0.72</v>
      </c>
      <c r="BD44" s="112" t="n">
        <f aca="false">BC44</f>
        <v>0.72</v>
      </c>
      <c r="BE44" s="112" t="n">
        <f aca="false">BC44*TAN(RADIANS(BG$7))-(IF($B$4, 9.807, 32.174)*BC44^2)/(2*BF$7^2*COS(RADIANS(BG$7))^2)+$D$7</f>
        <v>4.11220666247984</v>
      </c>
      <c r="BF44" s="123" t="n">
        <f aca="false">MIN($V$5,BE44)</f>
        <v>4.11220666247984</v>
      </c>
      <c r="BG44" s="112"/>
      <c r="BH44" s="112" t="n">
        <f aca="false">BH43+BH$7/100</f>
        <v>0.72</v>
      </c>
      <c r="BI44" s="122" t="n">
        <f aca="false">BH44-IF($I$3="Forward", $D$9, $G$9)</f>
        <v>0.72</v>
      </c>
      <c r="BJ44" s="112" t="n">
        <f aca="false">BH44*TAN(RADIANS(BL$7))-(IF($B$4, 9.807, 32.174)*BH44^2)/(2*BK$7^2*COS(RADIANS(BL$7))^2)+$D$7</f>
        <v>4.11220666247984</v>
      </c>
      <c r="BK44" s="123" t="n">
        <f aca="false">MIN($V$5,BJ44)</f>
        <v>4.11220666247984</v>
      </c>
      <c r="BL44" s="112"/>
      <c r="BM44" s="112" t="n">
        <f aca="false">BM43+BM$7/100</f>
        <v>0.72</v>
      </c>
      <c r="BN44" s="122" t="n">
        <f aca="false">BM44+IF($I$3="Forward", $D$9, $G$9)</f>
        <v>0.72</v>
      </c>
      <c r="BO44" s="112" t="n">
        <f aca="false">BM44*TAN(RADIANS(BQ$7))-(IF($B$4, 9.807, 32.174)*BM44^2)/(2*BP$7^2*COS(RADIANS(BQ$7))^2)+$D$7</f>
        <v>4.11220666247984</v>
      </c>
      <c r="BP44" s="123" t="n">
        <f aca="false">MIN($V$5,BO44)</f>
        <v>4.11220666247984</v>
      </c>
      <c r="BQ44" s="112"/>
      <c r="BR44" s="112" t="n">
        <f aca="false">BR43+BR$7/100</f>
        <v>0.72</v>
      </c>
      <c r="BS44" s="112" t="n">
        <f aca="false">BR44</f>
        <v>0.72</v>
      </c>
      <c r="BT44" s="112" t="n">
        <f aca="false">BR44*TAN(RADIANS(BV$7))-(IF($B$4, 9.807, 32.174)*BR44^2)/(2*BU$7^2*COS(RADIANS(BV$7))^2)+$D$7</f>
        <v>4.11220666247984</v>
      </c>
      <c r="BU44" s="123" t="n">
        <f aca="false">MIN($V$5,BT44)</f>
        <v>4.11220666247984</v>
      </c>
      <c r="BV44" s="112"/>
      <c r="BW44" s="112" t="n">
        <f aca="false">BW43+BW$7/100</f>
        <v>0.72</v>
      </c>
      <c r="BX44" s="122" t="n">
        <f aca="false">BW44-IF($I$3="Forward", $D$9, $G$9)</f>
        <v>0.72</v>
      </c>
      <c r="BY44" s="112" t="n">
        <f aca="false">BW44*TAN(RADIANS(CA$7))-(IF($B$4, 9.807, 32.174)*BW44^2)/(2*BZ$7^2*COS(RADIANS(CA$7))^2)+$D$7</f>
        <v>4.11220666247984</v>
      </c>
      <c r="BZ44" s="123" t="n">
        <f aca="false">MIN($V$5,BY44)</f>
        <v>4.11220666247984</v>
      </c>
      <c r="CA44" s="112"/>
      <c r="CB44" s="112" t="n">
        <f aca="false">CB43+CB$7/100</f>
        <v>0.72</v>
      </c>
      <c r="CC44" s="122" t="n">
        <f aca="false">CB44+IF($I$3="Forward", $D$9, $G$9)</f>
        <v>0.72</v>
      </c>
      <c r="CD44" s="112" t="n">
        <f aca="false">CB44*TAN(RADIANS(CF$7))-(IF($B$4, 9.807, 32.174)*CB44^2)/(2*CE$7^2*COS(RADIANS(CF$7))^2)+$D$7</f>
        <v>4.11220666247984</v>
      </c>
      <c r="CE44" s="123" t="n">
        <f aca="false">MIN($V$5,CD44)</f>
        <v>4.11220666247984</v>
      </c>
      <c r="CF44" s="112"/>
      <c r="CG44" s="124" t="n">
        <f aca="false">CG43+CG$7/100</f>
        <v>0.72</v>
      </c>
      <c r="CH44" s="124" t="n">
        <f aca="false">CG44</f>
        <v>0.72</v>
      </c>
      <c r="CI44" s="124" t="n">
        <f aca="false">CG44*TAN(RADIANS(CK$7))-(IF($B$4, 9.807, 32.174)*CG44^2)/(2*CJ$7^2*COS(RADIANS(CK$7))^2)+$D$7</f>
        <v>4.11220666247984</v>
      </c>
      <c r="CJ44" s="123" t="n">
        <f aca="false">MIN($V$5,CI44)</f>
        <v>4.11220666247984</v>
      </c>
      <c r="CK44" s="124"/>
      <c r="CL44" s="112" t="n">
        <f aca="false">CL43+CL$7/100</f>
        <v>0.72</v>
      </c>
      <c r="CM44" s="122" t="n">
        <f aca="false">CL44-IF($I$3="Forward", $D$9, $G$9)</f>
        <v>0.72</v>
      </c>
      <c r="CN44" s="112" t="n">
        <f aca="false">CL44*TAN(RADIANS(CP$7))-(IF($B$4, 9.807, 32.174)*CL44^2)/(2*CO$7^2*COS(RADIANS(CP$7))^2)+$D$7</f>
        <v>4.11220666247984</v>
      </c>
      <c r="CO44" s="123" t="n">
        <f aca="false">MIN($V$5,CN44)</f>
        <v>4.11220666247984</v>
      </c>
      <c r="CP44" s="112"/>
      <c r="CQ44" s="112" t="n">
        <f aca="false">CQ43+CQ$7/100</f>
        <v>0.72</v>
      </c>
      <c r="CR44" s="122" t="n">
        <f aca="false">CQ44+IF($I$3="Forward", $D$9, $G$9)</f>
        <v>0.72</v>
      </c>
      <c r="CS44" s="112" t="n">
        <f aca="false">CQ44*TAN(RADIANS(CU$7))-(IF($B$4, 9.807, 32.174)*CQ44^2)/(2*CT$7^2*COS(RADIANS(CU$7))^2)+$D$7</f>
        <v>4.11220666247984</v>
      </c>
      <c r="CT44" s="123" t="n">
        <f aca="false">MIN($V$5,CS44)</f>
        <v>4.11220666247984</v>
      </c>
      <c r="CU44" s="112"/>
      <c r="CV44" s="112" t="n">
        <f aca="false">CV43+CV$7/100</f>
        <v>0.72</v>
      </c>
      <c r="CW44" s="112" t="n">
        <f aca="false">CV44</f>
        <v>0.72</v>
      </c>
      <c r="CX44" s="112" t="n">
        <f aca="false">CV44*TAN(RADIANS(CZ$7))-(IF($B$4, 9.807, 32.174)*CV44^2)/(2*CY$7^2*COS(RADIANS(CZ$7))^2)+$D$7</f>
        <v>4.11220666247984</v>
      </c>
      <c r="CY44" s="123" t="n">
        <f aca="false">MIN($V$5,CX44)</f>
        <v>4.11220666247984</v>
      </c>
      <c r="CZ44" s="112"/>
      <c r="DA44" s="112" t="n">
        <f aca="false">DA43+DA$7/100</f>
        <v>0.72</v>
      </c>
      <c r="DB44" s="122" t="n">
        <f aca="false">DA44-IF($I$3="Forward", $D$9, $G$9)</f>
        <v>0.72</v>
      </c>
      <c r="DC44" s="112" t="n">
        <f aca="false">DA44*TAN(RADIANS(DE$7))-(IF($B$4, 9.807, 32.174)*DA44^2)/(2*DD$7^2*COS(RADIANS(DE$7))^2)+$D$7</f>
        <v>4.11220666247984</v>
      </c>
      <c r="DD44" s="123" t="n">
        <f aca="false">MIN($V$5,DC44)</f>
        <v>4.11220666247984</v>
      </c>
      <c r="DE44" s="112"/>
      <c r="DF44" s="112" t="n">
        <f aca="false">DF43+DF$7/100</f>
        <v>0.72</v>
      </c>
      <c r="DG44" s="122" t="n">
        <f aca="false">DF44+IF($I$3="Forward", $D$9, $G$9)</f>
        <v>0.72</v>
      </c>
      <c r="DH44" s="112" t="n">
        <f aca="false">DF44*TAN(RADIANS(DJ$7))-(IF($B$4, 9.807, 32.174)*DF44^2)/(2*DI$7^2*COS(RADIANS(DJ$7))^2)+$D$7</f>
        <v>4.11220666247984</v>
      </c>
      <c r="DI44" s="123" t="n">
        <f aca="false">MIN($V$5,DH44)</f>
        <v>4.11220666247984</v>
      </c>
      <c r="DJ44" s="112"/>
      <c r="DK44" s="112" t="n">
        <f aca="false">DK43+DK$7/100</f>
        <v>0.72</v>
      </c>
      <c r="DL44" s="112" t="n">
        <f aca="false">DK44</f>
        <v>0.72</v>
      </c>
      <c r="DM44" s="112" t="n">
        <f aca="false">DK44*TAN(RADIANS(DO$7))-(IF($B$4, 9.807, 32.174)*DK44^2)/(2*DN$7^2*COS(RADIANS(DO$7))^2)+$D$7</f>
        <v>4.11220666247984</v>
      </c>
      <c r="DN44" s="123" t="n">
        <f aca="false">MIN($V$5,DM44)</f>
        <v>4.11220666247984</v>
      </c>
      <c r="DO44" s="112"/>
      <c r="DP44" s="112" t="n">
        <f aca="false">DP43+DP$7/100</f>
        <v>0.72</v>
      </c>
      <c r="DQ44" s="122" t="n">
        <f aca="false">DP44-IF($I$3="Forward", $D$9, $G$9)</f>
        <v>0.72</v>
      </c>
      <c r="DR44" s="112" t="n">
        <f aca="false">DP44*TAN(RADIANS(DT$7))-(IF($B$4, 9.807, 32.174)*DP44^2)/(2*DS$7^2*COS(RADIANS(DT$7))^2)+$D$7</f>
        <v>4.11220666247984</v>
      </c>
      <c r="DS44" s="123" t="n">
        <f aca="false">MIN($V$5,DR44)</f>
        <v>4.11220666247984</v>
      </c>
      <c r="DT44" s="112"/>
      <c r="DU44" s="112" t="n">
        <f aca="false">DU43+DU$7/100</f>
        <v>0.72</v>
      </c>
      <c r="DV44" s="122" t="n">
        <f aca="false">DU44+IF($I$3="Forward", $D$9, $G$9)</f>
        <v>0.72</v>
      </c>
      <c r="DW44" s="112" t="n">
        <f aca="false">DU44*TAN(RADIANS(DY$7))-(IF($B$4, 9.807, 32.174)*DU44^2)/(2*DX$7^2*COS(RADIANS(DY$7))^2)+$D$7</f>
        <v>4.11220666247984</v>
      </c>
      <c r="DX44" s="123" t="n">
        <f aca="false">MIN($V$5,DW44)</f>
        <v>4.11220666247984</v>
      </c>
      <c r="DY44" s="112"/>
      <c r="DZ44" s="112" t="n">
        <f aca="false">DZ43+DZ$7/100</f>
        <v>0.72</v>
      </c>
      <c r="EA44" s="112" t="n">
        <f aca="false">DZ44</f>
        <v>0.72</v>
      </c>
      <c r="EB44" s="112" t="n">
        <f aca="false">DZ44*TAN(RADIANS(ED$7))-(IF($B$4, 9.807, 32.174)*DZ44^2)/(2*EC$7^2*COS(RADIANS(ED$7))^2)+$D$7</f>
        <v>4.11220666247984</v>
      </c>
      <c r="EC44" s="123" t="n">
        <f aca="false">MIN($V$5,EB44)</f>
        <v>4.11220666247984</v>
      </c>
      <c r="ED44" s="112"/>
      <c r="EE44" s="112" t="n">
        <f aca="false">EE43+EE$7/100</f>
        <v>0.72</v>
      </c>
      <c r="EF44" s="122" t="n">
        <f aca="false">EE44-IF($I$3="Forward", $D$9, $G$9)</f>
        <v>0.72</v>
      </c>
      <c r="EG44" s="112" t="n">
        <f aca="false">EE44*TAN(RADIANS(EI$7))-(IF($B$4, 9.807, 32.174)*EE44^2)/(2*EH$7^2*COS(RADIANS(EI$7))^2)+$D$7</f>
        <v>4.11220666247984</v>
      </c>
      <c r="EH44" s="123" t="n">
        <f aca="false">MIN($V$5,EG44)</f>
        <v>4.11220666247984</v>
      </c>
      <c r="EI44" s="112"/>
      <c r="EJ44" s="112" t="n">
        <f aca="false">EJ43+EJ$7/100</f>
        <v>0.72</v>
      </c>
      <c r="EK44" s="122" t="n">
        <f aca="false">EJ44+IF($I$3="Forward", $D$9, $G$9)</f>
        <v>0.72</v>
      </c>
      <c r="EL44" s="112" t="n">
        <f aca="false">EJ44*TAN(RADIANS(EN$7))-(IF($B$4, 9.807, 32.174)*EJ44^2)/(2*EM$7^2*COS(RADIANS(EN$7))^2)+$D$7</f>
        <v>4.11220666247984</v>
      </c>
      <c r="EM44" s="123" t="n">
        <f aca="false">MIN($V$5,EL44)</f>
        <v>4.11220666247984</v>
      </c>
      <c r="EN44" s="112"/>
      <c r="EO44" s="112" t="n">
        <f aca="false">EO43+EO$7/100</f>
        <v>0.72</v>
      </c>
      <c r="EP44" s="112" t="n">
        <f aca="false">EO44</f>
        <v>0.72</v>
      </c>
      <c r="EQ44" s="112" t="n">
        <f aca="false">EO44*TAN(RADIANS(ES$7))-(IF($B$4, 9.807, 32.174)*EO44^2)/(2*ER$7^2*COS(RADIANS(ES$7))^2)+$D$7</f>
        <v>4.11220666247984</v>
      </c>
      <c r="ER44" s="123" t="n">
        <f aca="false">MIN($V$5,EQ44)</f>
        <v>4.11220666247984</v>
      </c>
      <c r="ES44" s="112"/>
      <c r="ET44" s="112" t="n">
        <f aca="false">ET43+ET$7/100</f>
        <v>0.72</v>
      </c>
      <c r="EU44" s="122" t="n">
        <f aca="false">ET44-IF($I$3="Forward", $D$9, $G$9)</f>
        <v>0.72</v>
      </c>
      <c r="EV44" s="112" t="n">
        <f aca="false">ET44*TAN(RADIANS(EX$7))-(IF($B$4, 9.807, 32.174)*ET44^2)/(2*EW$7^2*COS(RADIANS(EX$7))^2)+$D$7</f>
        <v>4.11220666247984</v>
      </c>
      <c r="EW44" s="123" t="n">
        <f aca="false">MIN($V$5,EV44)</f>
        <v>4.11220666247984</v>
      </c>
      <c r="EX44" s="112"/>
    </row>
    <row r="45" s="131" customFormat="true" ht="15" hidden="false" customHeight="false" outlineLevel="0" collapsed="false">
      <c r="T45" s="112" t="n">
        <f aca="false">T44+T$7/100</f>
        <v>0.74</v>
      </c>
      <c r="U45" s="122" t="n">
        <f aca="false">T45+IF($I$3="Forward", $D$9, $G$9)</f>
        <v>0.74</v>
      </c>
      <c r="V45" s="112" t="n">
        <f aca="false">T45*TAN(RADIANS(X$7))-(IF($B$4, 9.807, 32.174)*T45^2)/(2*W$7^2*COS(RADIANS(X$7))^2)+$D$7</f>
        <v>4.17077158430578</v>
      </c>
      <c r="W45" s="123" t="n">
        <f aca="false">MIN($V$5,V45)</f>
        <v>4.17077158430578</v>
      </c>
      <c r="X45" s="112"/>
      <c r="Y45" s="112" t="n">
        <f aca="false">Y44+Y$7/100</f>
        <v>0.74</v>
      </c>
      <c r="Z45" s="112" t="n">
        <f aca="false">Y45</f>
        <v>0.74</v>
      </c>
      <c r="AA45" s="112" t="n">
        <f aca="false">Y45*TAN(RADIANS(AC$7))-(IF($B$4, 9.807, 32.174)*Y45^2)/(2*AB$7^2*COS(RADIANS(AC$7))^2)+$D$7</f>
        <v>4.17077158430578</v>
      </c>
      <c r="AB45" s="123" t="n">
        <f aca="false">MIN($V$5,AA45)</f>
        <v>4.17077158430578</v>
      </c>
      <c r="AC45" s="112"/>
      <c r="AD45" s="112" t="n">
        <f aca="false">AD44+AD$7/100</f>
        <v>0.74</v>
      </c>
      <c r="AE45" s="122" t="n">
        <f aca="false">AD45-IF($I$3="Forward", $D$9, $G$9)</f>
        <v>0.74</v>
      </c>
      <c r="AF45" s="112" t="n">
        <f aca="false">AD45*TAN(RADIANS(AH$7))-(IF($B$4, 9.807, 32.174)*AD45^2)/(2*AG$7^2*COS(RADIANS(AH$7))^2)+$D$7</f>
        <v>4.17077158430578</v>
      </c>
      <c r="AG45" s="123" t="n">
        <f aca="false">MIN($V$5,AF45)</f>
        <v>4.17077158430578</v>
      </c>
      <c r="AH45" s="112"/>
      <c r="AI45" s="112" t="n">
        <f aca="false">AI44+AI$7/100</f>
        <v>0.74</v>
      </c>
      <c r="AJ45" s="122" t="n">
        <f aca="false">AI45+IF($I$3="Forward", $D$9, $G$9)</f>
        <v>0.74</v>
      </c>
      <c r="AK45" s="112" t="n">
        <f aca="false">AI45*TAN(RADIANS(AM$7))-(IF($B$4, 9.807, 32.174)*AI45^2)/(2*AL$7^2*COS(RADIANS(AM$7))^2)+$D$7</f>
        <v>4.17077158430578</v>
      </c>
      <c r="AL45" s="123" t="n">
        <f aca="false">MIN($V$5,AK45)</f>
        <v>4.17077158430578</v>
      </c>
      <c r="AM45" s="112"/>
      <c r="AN45" s="112" t="n">
        <f aca="false">AN44+AN$7/100</f>
        <v>0.74</v>
      </c>
      <c r="AO45" s="112" t="n">
        <f aca="false">AN45</f>
        <v>0.74</v>
      </c>
      <c r="AP45" s="112" t="n">
        <f aca="false">AN45*TAN(RADIANS(AR$7))-(IF($B$4, 9.807, 32.174)*AN45^2)/(2*AQ$7^2*COS(RADIANS(AR$7))^2)+$D$7</f>
        <v>4.17077158430578</v>
      </c>
      <c r="AQ45" s="123" t="n">
        <f aca="false">MIN($V$5,AP45)</f>
        <v>4.17077158430578</v>
      </c>
      <c r="AR45" s="112"/>
      <c r="AS45" s="112" t="n">
        <f aca="false">AS44+AS$7/100</f>
        <v>0.74</v>
      </c>
      <c r="AT45" s="122" t="n">
        <f aca="false">AS45-IF($I$3="Forward", $D$9, $G$9)</f>
        <v>0.74</v>
      </c>
      <c r="AU45" s="112" t="n">
        <f aca="false">AS45*TAN(RADIANS(AW$7))-(IF($B$4, 9.807, 32.174)*AS45^2)/(2*AV$7^2*COS(RADIANS(AW$7))^2)+$D$7</f>
        <v>4.17077158430578</v>
      </c>
      <c r="AV45" s="123" t="n">
        <f aca="false">MIN($V$5,AU45)</f>
        <v>4.17077158430578</v>
      </c>
      <c r="AW45" s="112"/>
      <c r="AX45" s="112" t="n">
        <f aca="false">AX44+AX$7/100</f>
        <v>0.74</v>
      </c>
      <c r="AY45" s="122" t="n">
        <f aca="false">AX45+IF($I$3="Forward", $D$9, $G$9)</f>
        <v>0.74</v>
      </c>
      <c r="AZ45" s="112" t="n">
        <f aca="false">AX45*TAN(RADIANS(BB$7))-(IF($B$4, 9.807, 32.174)*AX45^2)/(2*BA$7^2*COS(RADIANS(BB$7))^2)+$D$7</f>
        <v>4.17077158430578</v>
      </c>
      <c r="BA45" s="123" t="n">
        <f aca="false">MIN($V$5,AZ45)</f>
        <v>4.17077158430578</v>
      </c>
      <c r="BB45" s="112"/>
      <c r="BC45" s="112" t="n">
        <f aca="false">BC44+BC$7/100</f>
        <v>0.74</v>
      </c>
      <c r="BD45" s="112" t="n">
        <f aca="false">BC45</f>
        <v>0.74</v>
      </c>
      <c r="BE45" s="112" t="n">
        <f aca="false">BC45*TAN(RADIANS(BG$7))-(IF($B$4, 9.807, 32.174)*BC45^2)/(2*BF$7^2*COS(RADIANS(BG$7))^2)+$D$7</f>
        <v>4.17077158430578</v>
      </c>
      <c r="BF45" s="123" t="n">
        <f aca="false">MIN($V$5,BE45)</f>
        <v>4.17077158430578</v>
      </c>
      <c r="BG45" s="112"/>
      <c r="BH45" s="112" t="n">
        <f aca="false">BH44+BH$7/100</f>
        <v>0.74</v>
      </c>
      <c r="BI45" s="122" t="n">
        <f aca="false">BH45-IF($I$3="Forward", $D$9, $G$9)</f>
        <v>0.74</v>
      </c>
      <c r="BJ45" s="112" t="n">
        <f aca="false">BH45*TAN(RADIANS(BL$7))-(IF($B$4, 9.807, 32.174)*BH45^2)/(2*BK$7^2*COS(RADIANS(BL$7))^2)+$D$7</f>
        <v>4.17077158430578</v>
      </c>
      <c r="BK45" s="123" t="n">
        <f aca="false">MIN($V$5,BJ45)</f>
        <v>4.17077158430578</v>
      </c>
      <c r="BL45" s="112"/>
      <c r="BM45" s="112" t="n">
        <f aca="false">BM44+BM$7/100</f>
        <v>0.74</v>
      </c>
      <c r="BN45" s="122" t="n">
        <f aca="false">BM45+IF($I$3="Forward", $D$9, $G$9)</f>
        <v>0.74</v>
      </c>
      <c r="BO45" s="112" t="n">
        <f aca="false">BM45*TAN(RADIANS(BQ$7))-(IF($B$4, 9.807, 32.174)*BM45^2)/(2*BP$7^2*COS(RADIANS(BQ$7))^2)+$D$7</f>
        <v>4.17077158430578</v>
      </c>
      <c r="BP45" s="123" t="n">
        <f aca="false">MIN($V$5,BO45)</f>
        <v>4.17077158430578</v>
      </c>
      <c r="BQ45" s="112"/>
      <c r="BR45" s="112" t="n">
        <f aca="false">BR44+BR$7/100</f>
        <v>0.74</v>
      </c>
      <c r="BS45" s="112" t="n">
        <f aca="false">BR45</f>
        <v>0.74</v>
      </c>
      <c r="BT45" s="112" t="n">
        <f aca="false">BR45*TAN(RADIANS(BV$7))-(IF($B$4, 9.807, 32.174)*BR45^2)/(2*BU$7^2*COS(RADIANS(BV$7))^2)+$D$7</f>
        <v>4.17077158430578</v>
      </c>
      <c r="BU45" s="123" t="n">
        <f aca="false">MIN($V$5,BT45)</f>
        <v>4.17077158430578</v>
      </c>
      <c r="BV45" s="112"/>
      <c r="BW45" s="112" t="n">
        <f aca="false">BW44+BW$7/100</f>
        <v>0.74</v>
      </c>
      <c r="BX45" s="122" t="n">
        <f aca="false">BW45-IF($I$3="Forward", $D$9, $G$9)</f>
        <v>0.74</v>
      </c>
      <c r="BY45" s="112" t="n">
        <f aca="false">BW45*TAN(RADIANS(CA$7))-(IF($B$4, 9.807, 32.174)*BW45^2)/(2*BZ$7^2*COS(RADIANS(CA$7))^2)+$D$7</f>
        <v>4.17077158430578</v>
      </c>
      <c r="BZ45" s="123" t="n">
        <f aca="false">MIN($V$5,BY45)</f>
        <v>4.17077158430578</v>
      </c>
      <c r="CA45" s="112"/>
      <c r="CB45" s="112" t="n">
        <f aca="false">CB44+CB$7/100</f>
        <v>0.74</v>
      </c>
      <c r="CC45" s="122" t="n">
        <f aca="false">CB45+IF($I$3="Forward", $D$9, $G$9)</f>
        <v>0.74</v>
      </c>
      <c r="CD45" s="112" t="n">
        <f aca="false">CB45*TAN(RADIANS(CF$7))-(IF($B$4, 9.807, 32.174)*CB45^2)/(2*CE$7^2*COS(RADIANS(CF$7))^2)+$D$7</f>
        <v>4.17077158430578</v>
      </c>
      <c r="CE45" s="123" t="n">
        <f aca="false">MIN($V$5,CD45)</f>
        <v>4.17077158430578</v>
      </c>
      <c r="CF45" s="112"/>
      <c r="CG45" s="124" t="n">
        <f aca="false">CG44+CG$7/100</f>
        <v>0.74</v>
      </c>
      <c r="CH45" s="124" t="n">
        <f aca="false">CG45</f>
        <v>0.74</v>
      </c>
      <c r="CI45" s="124" t="n">
        <f aca="false">CG45*TAN(RADIANS(CK$7))-(IF($B$4, 9.807, 32.174)*CG45^2)/(2*CJ$7^2*COS(RADIANS(CK$7))^2)+$D$7</f>
        <v>4.17077158430578</v>
      </c>
      <c r="CJ45" s="123" t="n">
        <f aca="false">MIN($V$5,CI45)</f>
        <v>4.17077158430578</v>
      </c>
      <c r="CK45" s="124"/>
      <c r="CL45" s="112" t="n">
        <f aca="false">CL44+CL$7/100</f>
        <v>0.74</v>
      </c>
      <c r="CM45" s="122" t="n">
        <f aca="false">CL45-IF($I$3="Forward", $D$9, $G$9)</f>
        <v>0.74</v>
      </c>
      <c r="CN45" s="112" t="n">
        <f aca="false">CL45*TAN(RADIANS(CP$7))-(IF($B$4, 9.807, 32.174)*CL45^2)/(2*CO$7^2*COS(RADIANS(CP$7))^2)+$D$7</f>
        <v>4.17077158430578</v>
      </c>
      <c r="CO45" s="123" t="n">
        <f aca="false">MIN($V$5,CN45)</f>
        <v>4.17077158430578</v>
      </c>
      <c r="CP45" s="112"/>
      <c r="CQ45" s="112" t="n">
        <f aca="false">CQ44+CQ$7/100</f>
        <v>0.74</v>
      </c>
      <c r="CR45" s="122" t="n">
        <f aca="false">CQ45+IF($I$3="Forward", $D$9, $G$9)</f>
        <v>0.74</v>
      </c>
      <c r="CS45" s="112" t="n">
        <f aca="false">CQ45*TAN(RADIANS(CU$7))-(IF($B$4, 9.807, 32.174)*CQ45^2)/(2*CT$7^2*COS(RADIANS(CU$7))^2)+$D$7</f>
        <v>4.17077158430578</v>
      </c>
      <c r="CT45" s="123" t="n">
        <f aca="false">MIN($V$5,CS45)</f>
        <v>4.17077158430578</v>
      </c>
      <c r="CU45" s="112"/>
      <c r="CV45" s="112" t="n">
        <f aca="false">CV44+CV$7/100</f>
        <v>0.74</v>
      </c>
      <c r="CW45" s="112" t="n">
        <f aca="false">CV45</f>
        <v>0.74</v>
      </c>
      <c r="CX45" s="112" t="n">
        <f aca="false">CV45*TAN(RADIANS(CZ$7))-(IF($B$4, 9.807, 32.174)*CV45^2)/(2*CY$7^2*COS(RADIANS(CZ$7))^2)+$D$7</f>
        <v>4.17077158430578</v>
      </c>
      <c r="CY45" s="123" t="n">
        <f aca="false">MIN($V$5,CX45)</f>
        <v>4.17077158430578</v>
      </c>
      <c r="CZ45" s="112"/>
      <c r="DA45" s="112" t="n">
        <f aca="false">DA44+DA$7/100</f>
        <v>0.74</v>
      </c>
      <c r="DB45" s="122" t="n">
        <f aca="false">DA45-IF($I$3="Forward", $D$9, $G$9)</f>
        <v>0.74</v>
      </c>
      <c r="DC45" s="112" t="n">
        <f aca="false">DA45*TAN(RADIANS(DE$7))-(IF($B$4, 9.807, 32.174)*DA45^2)/(2*DD$7^2*COS(RADIANS(DE$7))^2)+$D$7</f>
        <v>4.17077158430578</v>
      </c>
      <c r="DD45" s="123" t="n">
        <f aca="false">MIN($V$5,DC45)</f>
        <v>4.17077158430578</v>
      </c>
      <c r="DE45" s="112"/>
      <c r="DF45" s="112" t="n">
        <f aca="false">DF44+DF$7/100</f>
        <v>0.74</v>
      </c>
      <c r="DG45" s="122" t="n">
        <f aca="false">DF45+IF($I$3="Forward", $D$9, $G$9)</f>
        <v>0.74</v>
      </c>
      <c r="DH45" s="112" t="n">
        <f aca="false">DF45*TAN(RADIANS(DJ$7))-(IF($B$4, 9.807, 32.174)*DF45^2)/(2*DI$7^2*COS(RADIANS(DJ$7))^2)+$D$7</f>
        <v>4.17077158430578</v>
      </c>
      <c r="DI45" s="123" t="n">
        <f aca="false">MIN($V$5,DH45)</f>
        <v>4.17077158430578</v>
      </c>
      <c r="DJ45" s="112"/>
      <c r="DK45" s="112" t="n">
        <f aca="false">DK44+DK$7/100</f>
        <v>0.74</v>
      </c>
      <c r="DL45" s="112" t="n">
        <f aca="false">DK45</f>
        <v>0.74</v>
      </c>
      <c r="DM45" s="112" t="n">
        <f aca="false">DK45*TAN(RADIANS(DO$7))-(IF($B$4, 9.807, 32.174)*DK45^2)/(2*DN$7^2*COS(RADIANS(DO$7))^2)+$D$7</f>
        <v>4.17077158430578</v>
      </c>
      <c r="DN45" s="123" t="n">
        <f aca="false">MIN($V$5,DM45)</f>
        <v>4.17077158430578</v>
      </c>
      <c r="DO45" s="112"/>
      <c r="DP45" s="112" t="n">
        <f aca="false">DP44+DP$7/100</f>
        <v>0.74</v>
      </c>
      <c r="DQ45" s="122" t="n">
        <f aca="false">DP45-IF($I$3="Forward", $D$9, $G$9)</f>
        <v>0.74</v>
      </c>
      <c r="DR45" s="112" t="n">
        <f aca="false">DP45*TAN(RADIANS(DT$7))-(IF($B$4, 9.807, 32.174)*DP45^2)/(2*DS$7^2*COS(RADIANS(DT$7))^2)+$D$7</f>
        <v>4.17077158430578</v>
      </c>
      <c r="DS45" s="123" t="n">
        <f aca="false">MIN($V$5,DR45)</f>
        <v>4.17077158430578</v>
      </c>
      <c r="DT45" s="112"/>
      <c r="DU45" s="112" t="n">
        <f aca="false">DU44+DU$7/100</f>
        <v>0.74</v>
      </c>
      <c r="DV45" s="122" t="n">
        <f aca="false">DU45+IF($I$3="Forward", $D$9, $G$9)</f>
        <v>0.74</v>
      </c>
      <c r="DW45" s="112" t="n">
        <f aca="false">DU45*TAN(RADIANS(DY$7))-(IF($B$4, 9.807, 32.174)*DU45^2)/(2*DX$7^2*COS(RADIANS(DY$7))^2)+$D$7</f>
        <v>4.17077158430578</v>
      </c>
      <c r="DX45" s="123" t="n">
        <f aca="false">MIN($V$5,DW45)</f>
        <v>4.17077158430578</v>
      </c>
      <c r="DY45" s="112"/>
      <c r="DZ45" s="112" t="n">
        <f aca="false">DZ44+DZ$7/100</f>
        <v>0.74</v>
      </c>
      <c r="EA45" s="112" t="n">
        <f aca="false">DZ45</f>
        <v>0.74</v>
      </c>
      <c r="EB45" s="112" t="n">
        <f aca="false">DZ45*TAN(RADIANS(ED$7))-(IF($B$4, 9.807, 32.174)*DZ45^2)/(2*EC$7^2*COS(RADIANS(ED$7))^2)+$D$7</f>
        <v>4.17077158430578</v>
      </c>
      <c r="EC45" s="123" t="n">
        <f aca="false">MIN($V$5,EB45)</f>
        <v>4.17077158430578</v>
      </c>
      <c r="ED45" s="112"/>
      <c r="EE45" s="112" t="n">
        <f aca="false">EE44+EE$7/100</f>
        <v>0.74</v>
      </c>
      <c r="EF45" s="122" t="n">
        <f aca="false">EE45-IF($I$3="Forward", $D$9, $G$9)</f>
        <v>0.74</v>
      </c>
      <c r="EG45" s="112" t="n">
        <f aca="false">EE45*TAN(RADIANS(EI$7))-(IF($B$4, 9.807, 32.174)*EE45^2)/(2*EH$7^2*COS(RADIANS(EI$7))^2)+$D$7</f>
        <v>4.17077158430578</v>
      </c>
      <c r="EH45" s="123" t="n">
        <f aca="false">MIN($V$5,EG45)</f>
        <v>4.17077158430578</v>
      </c>
      <c r="EI45" s="112"/>
      <c r="EJ45" s="112" t="n">
        <f aca="false">EJ44+EJ$7/100</f>
        <v>0.74</v>
      </c>
      <c r="EK45" s="122" t="n">
        <f aca="false">EJ45+IF($I$3="Forward", $D$9, $G$9)</f>
        <v>0.74</v>
      </c>
      <c r="EL45" s="112" t="n">
        <f aca="false">EJ45*TAN(RADIANS(EN$7))-(IF($B$4, 9.807, 32.174)*EJ45^2)/(2*EM$7^2*COS(RADIANS(EN$7))^2)+$D$7</f>
        <v>4.17077158430578</v>
      </c>
      <c r="EM45" s="123" t="n">
        <f aca="false">MIN($V$5,EL45)</f>
        <v>4.17077158430578</v>
      </c>
      <c r="EN45" s="112"/>
      <c r="EO45" s="112" t="n">
        <f aca="false">EO44+EO$7/100</f>
        <v>0.74</v>
      </c>
      <c r="EP45" s="112" t="n">
        <f aca="false">EO45</f>
        <v>0.74</v>
      </c>
      <c r="EQ45" s="112" t="n">
        <f aca="false">EO45*TAN(RADIANS(ES$7))-(IF($B$4, 9.807, 32.174)*EO45^2)/(2*ER$7^2*COS(RADIANS(ES$7))^2)+$D$7</f>
        <v>4.17077158430578</v>
      </c>
      <c r="ER45" s="123" t="n">
        <f aca="false">MIN($V$5,EQ45)</f>
        <v>4.17077158430578</v>
      </c>
      <c r="ES45" s="112"/>
      <c r="ET45" s="112" t="n">
        <f aca="false">ET44+ET$7/100</f>
        <v>0.74</v>
      </c>
      <c r="EU45" s="122" t="n">
        <f aca="false">ET45-IF($I$3="Forward", $D$9, $G$9)</f>
        <v>0.74</v>
      </c>
      <c r="EV45" s="112" t="n">
        <f aca="false">ET45*TAN(RADIANS(EX$7))-(IF($B$4, 9.807, 32.174)*ET45^2)/(2*EW$7^2*COS(RADIANS(EX$7))^2)+$D$7</f>
        <v>4.17077158430578</v>
      </c>
      <c r="EW45" s="123" t="n">
        <f aca="false">MIN($V$5,EV45)</f>
        <v>4.17077158430578</v>
      </c>
      <c r="EX45" s="112"/>
    </row>
    <row r="46" s="131" customFormat="true" ht="15" hidden="false" customHeight="false" outlineLevel="0" collapsed="false">
      <c r="T46" s="112" t="n">
        <f aca="false">T45+T$7/100</f>
        <v>0.76</v>
      </c>
      <c r="U46" s="122" t="n">
        <f aca="false">T46+IF($I$3="Forward", $D$9, $G$9)</f>
        <v>0.76</v>
      </c>
      <c r="V46" s="112" t="n">
        <f aca="false">T46*TAN(RADIANS(X$7))-(IF($B$4, 9.807, 32.174)*T46^2)/(2*W$7^2*COS(RADIANS(X$7))^2)+$D$7</f>
        <v>4.22662799340387</v>
      </c>
      <c r="W46" s="123" t="n">
        <f aca="false">MIN($V$5,V46)</f>
        <v>4.22662799340387</v>
      </c>
      <c r="X46" s="112"/>
      <c r="Y46" s="112" t="n">
        <f aca="false">Y45+Y$7/100</f>
        <v>0.76</v>
      </c>
      <c r="Z46" s="112" t="n">
        <f aca="false">Y46</f>
        <v>0.76</v>
      </c>
      <c r="AA46" s="112" t="n">
        <f aca="false">Y46*TAN(RADIANS(AC$7))-(IF($B$4, 9.807, 32.174)*Y46^2)/(2*AB$7^2*COS(RADIANS(AC$7))^2)+$D$7</f>
        <v>4.22662799340387</v>
      </c>
      <c r="AB46" s="123" t="n">
        <f aca="false">MIN($V$5,AA46)</f>
        <v>4.22662799340387</v>
      </c>
      <c r="AC46" s="112"/>
      <c r="AD46" s="112" t="n">
        <f aca="false">AD45+AD$7/100</f>
        <v>0.76</v>
      </c>
      <c r="AE46" s="122" t="n">
        <f aca="false">AD46-IF($I$3="Forward", $D$9, $G$9)</f>
        <v>0.76</v>
      </c>
      <c r="AF46" s="112" t="n">
        <f aca="false">AD46*TAN(RADIANS(AH$7))-(IF($B$4, 9.807, 32.174)*AD46^2)/(2*AG$7^2*COS(RADIANS(AH$7))^2)+$D$7</f>
        <v>4.22662799340387</v>
      </c>
      <c r="AG46" s="123" t="n">
        <f aca="false">MIN($V$5,AF46)</f>
        <v>4.22662799340387</v>
      </c>
      <c r="AH46" s="112"/>
      <c r="AI46" s="112" t="n">
        <f aca="false">AI45+AI$7/100</f>
        <v>0.76</v>
      </c>
      <c r="AJ46" s="122" t="n">
        <f aca="false">AI46+IF($I$3="Forward", $D$9, $G$9)</f>
        <v>0.76</v>
      </c>
      <c r="AK46" s="112" t="n">
        <f aca="false">AI46*TAN(RADIANS(AM$7))-(IF($B$4, 9.807, 32.174)*AI46^2)/(2*AL$7^2*COS(RADIANS(AM$7))^2)+$D$7</f>
        <v>4.22662799340387</v>
      </c>
      <c r="AL46" s="123" t="n">
        <f aca="false">MIN($V$5,AK46)</f>
        <v>4.22662799340387</v>
      </c>
      <c r="AM46" s="112"/>
      <c r="AN46" s="112" t="n">
        <f aca="false">AN45+AN$7/100</f>
        <v>0.76</v>
      </c>
      <c r="AO46" s="112" t="n">
        <f aca="false">AN46</f>
        <v>0.76</v>
      </c>
      <c r="AP46" s="112" t="n">
        <f aca="false">AN46*TAN(RADIANS(AR$7))-(IF($B$4, 9.807, 32.174)*AN46^2)/(2*AQ$7^2*COS(RADIANS(AR$7))^2)+$D$7</f>
        <v>4.22662799340387</v>
      </c>
      <c r="AQ46" s="123" t="n">
        <f aca="false">MIN($V$5,AP46)</f>
        <v>4.22662799340387</v>
      </c>
      <c r="AR46" s="112"/>
      <c r="AS46" s="112" t="n">
        <f aca="false">AS45+AS$7/100</f>
        <v>0.76</v>
      </c>
      <c r="AT46" s="122" t="n">
        <f aca="false">AS46-IF($I$3="Forward", $D$9, $G$9)</f>
        <v>0.76</v>
      </c>
      <c r="AU46" s="112" t="n">
        <f aca="false">AS46*TAN(RADIANS(AW$7))-(IF($B$4, 9.807, 32.174)*AS46^2)/(2*AV$7^2*COS(RADIANS(AW$7))^2)+$D$7</f>
        <v>4.22662799340387</v>
      </c>
      <c r="AV46" s="123" t="n">
        <f aca="false">MIN($V$5,AU46)</f>
        <v>4.22662799340387</v>
      </c>
      <c r="AW46" s="112"/>
      <c r="AX46" s="112" t="n">
        <f aca="false">AX45+AX$7/100</f>
        <v>0.76</v>
      </c>
      <c r="AY46" s="122" t="n">
        <f aca="false">AX46+IF($I$3="Forward", $D$9, $G$9)</f>
        <v>0.76</v>
      </c>
      <c r="AZ46" s="112" t="n">
        <f aca="false">AX46*TAN(RADIANS(BB$7))-(IF($B$4, 9.807, 32.174)*AX46^2)/(2*BA$7^2*COS(RADIANS(BB$7))^2)+$D$7</f>
        <v>4.22662799340387</v>
      </c>
      <c r="BA46" s="123" t="n">
        <f aca="false">MIN($V$5,AZ46)</f>
        <v>4.22662799340387</v>
      </c>
      <c r="BB46" s="112"/>
      <c r="BC46" s="112" t="n">
        <f aca="false">BC45+BC$7/100</f>
        <v>0.76</v>
      </c>
      <c r="BD46" s="112" t="n">
        <f aca="false">BC46</f>
        <v>0.76</v>
      </c>
      <c r="BE46" s="112" t="n">
        <f aca="false">BC46*TAN(RADIANS(BG$7))-(IF($B$4, 9.807, 32.174)*BC46^2)/(2*BF$7^2*COS(RADIANS(BG$7))^2)+$D$7</f>
        <v>4.22662799340387</v>
      </c>
      <c r="BF46" s="123" t="n">
        <f aca="false">MIN($V$5,BE46)</f>
        <v>4.22662799340387</v>
      </c>
      <c r="BG46" s="112"/>
      <c r="BH46" s="112" t="n">
        <f aca="false">BH45+BH$7/100</f>
        <v>0.76</v>
      </c>
      <c r="BI46" s="122" t="n">
        <f aca="false">BH46-IF($I$3="Forward", $D$9, $G$9)</f>
        <v>0.76</v>
      </c>
      <c r="BJ46" s="112" t="n">
        <f aca="false">BH46*TAN(RADIANS(BL$7))-(IF($B$4, 9.807, 32.174)*BH46^2)/(2*BK$7^2*COS(RADIANS(BL$7))^2)+$D$7</f>
        <v>4.22662799340387</v>
      </c>
      <c r="BK46" s="123" t="n">
        <f aca="false">MIN($V$5,BJ46)</f>
        <v>4.22662799340387</v>
      </c>
      <c r="BL46" s="112"/>
      <c r="BM46" s="112" t="n">
        <f aca="false">BM45+BM$7/100</f>
        <v>0.76</v>
      </c>
      <c r="BN46" s="122" t="n">
        <f aca="false">BM46+IF($I$3="Forward", $D$9, $G$9)</f>
        <v>0.76</v>
      </c>
      <c r="BO46" s="112" t="n">
        <f aca="false">BM46*TAN(RADIANS(BQ$7))-(IF($B$4, 9.807, 32.174)*BM46^2)/(2*BP$7^2*COS(RADIANS(BQ$7))^2)+$D$7</f>
        <v>4.22662799340387</v>
      </c>
      <c r="BP46" s="123" t="n">
        <f aca="false">MIN($V$5,BO46)</f>
        <v>4.22662799340387</v>
      </c>
      <c r="BQ46" s="112"/>
      <c r="BR46" s="112" t="n">
        <f aca="false">BR45+BR$7/100</f>
        <v>0.76</v>
      </c>
      <c r="BS46" s="112" t="n">
        <f aca="false">BR46</f>
        <v>0.76</v>
      </c>
      <c r="BT46" s="112" t="n">
        <f aca="false">BR46*TAN(RADIANS(BV$7))-(IF($B$4, 9.807, 32.174)*BR46^2)/(2*BU$7^2*COS(RADIANS(BV$7))^2)+$D$7</f>
        <v>4.22662799340387</v>
      </c>
      <c r="BU46" s="123" t="n">
        <f aca="false">MIN($V$5,BT46)</f>
        <v>4.22662799340387</v>
      </c>
      <c r="BV46" s="112"/>
      <c r="BW46" s="112" t="n">
        <f aca="false">BW45+BW$7/100</f>
        <v>0.76</v>
      </c>
      <c r="BX46" s="122" t="n">
        <f aca="false">BW46-IF($I$3="Forward", $D$9, $G$9)</f>
        <v>0.76</v>
      </c>
      <c r="BY46" s="112" t="n">
        <f aca="false">BW46*TAN(RADIANS(CA$7))-(IF($B$4, 9.807, 32.174)*BW46^2)/(2*BZ$7^2*COS(RADIANS(CA$7))^2)+$D$7</f>
        <v>4.22662799340387</v>
      </c>
      <c r="BZ46" s="123" t="n">
        <f aca="false">MIN($V$5,BY46)</f>
        <v>4.22662799340387</v>
      </c>
      <c r="CA46" s="112"/>
      <c r="CB46" s="112" t="n">
        <f aca="false">CB45+CB$7/100</f>
        <v>0.76</v>
      </c>
      <c r="CC46" s="122" t="n">
        <f aca="false">CB46+IF($I$3="Forward", $D$9, $G$9)</f>
        <v>0.76</v>
      </c>
      <c r="CD46" s="112" t="n">
        <f aca="false">CB46*TAN(RADIANS(CF$7))-(IF($B$4, 9.807, 32.174)*CB46^2)/(2*CE$7^2*COS(RADIANS(CF$7))^2)+$D$7</f>
        <v>4.22662799340387</v>
      </c>
      <c r="CE46" s="123" t="n">
        <f aca="false">MIN($V$5,CD46)</f>
        <v>4.22662799340387</v>
      </c>
      <c r="CF46" s="112"/>
      <c r="CG46" s="124" t="n">
        <f aca="false">CG45+CG$7/100</f>
        <v>0.76</v>
      </c>
      <c r="CH46" s="124" t="n">
        <f aca="false">CG46</f>
        <v>0.76</v>
      </c>
      <c r="CI46" s="124" t="n">
        <f aca="false">CG46*TAN(RADIANS(CK$7))-(IF($B$4, 9.807, 32.174)*CG46^2)/(2*CJ$7^2*COS(RADIANS(CK$7))^2)+$D$7</f>
        <v>4.22662799340387</v>
      </c>
      <c r="CJ46" s="123" t="n">
        <f aca="false">MIN($V$5,CI46)</f>
        <v>4.22662799340387</v>
      </c>
      <c r="CK46" s="124"/>
      <c r="CL46" s="112" t="n">
        <f aca="false">CL45+CL$7/100</f>
        <v>0.76</v>
      </c>
      <c r="CM46" s="122" t="n">
        <f aca="false">CL46-IF($I$3="Forward", $D$9, $G$9)</f>
        <v>0.76</v>
      </c>
      <c r="CN46" s="112" t="n">
        <f aca="false">CL46*TAN(RADIANS(CP$7))-(IF($B$4, 9.807, 32.174)*CL46^2)/(2*CO$7^2*COS(RADIANS(CP$7))^2)+$D$7</f>
        <v>4.22662799340387</v>
      </c>
      <c r="CO46" s="123" t="n">
        <f aca="false">MIN($V$5,CN46)</f>
        <v>4.22662799340387</v>
      </c>
      <c r="CP46" s="112"/>
      <c r="CQ46" s="112" t="n">
        <f aca="false">CQ45+CQ$7/100</f>
        <v>0.76</v>
      </c>
      <c r="CR46" s="122" t="n">
        <f aca="false">CQ46+IF($I$3="Forward", $D$9, $G$9)</f>
        <v>0.76</v>
      </c>
      <c r="CS46" s="112" t="n">
        <f aca="false">CQ46*TAN(RADIANS(CU$7))-(IF($B$4, 9.807, 32.174)*CQ46^2)/(2*CT$7^2*COS(RADIANS(CU$7))^2)+$D$7</f>
        <v>4.22662799340387</v>
      </c>
      <c r="CT46" s="123" t="n">
        <f aca="false">MIN($V$5,CS46)</f>
        <v>4.22662799340387</v>
      </c>
      <c r="CU46" s="112"/>
      <c r="CV46" s="112" t="n">
        <f aca="false">CV45+CV$7/100</f>
        <v>0.76</v>
      </c>
      <c r="CW46" s="112" t="n">
        <f aca="false">CV46</f>
        <v>0.76</v>
      </c>
      <c r="CX46" s="112" t="n">
        <f aca="false">CV46*TAN(RADIANS(CZ$7))-(IF($B$4, 9.807, 32.174)*CV46^2)/(2*CY$7^2*COS(RADIANS(CZ$7))^2)+$D$7</f>
        <v>4.22662799340387</v>
      </c>
      <c r="CY46" s="123" t="n">
        <f aca="false">MIN($V$5,CX46)</f>
        <v>4.22662799340387</v>
      </c>
      <c r="CZ46" s="112"/>
      <c r="DA46" s="112" t="n">
        <f aca="false">DA45+DA$7/100</f>
        <v>0.76</v>
      </c>
      <c r="DB46" s="122" t="n">
        <f aca="false">DA46-IF($I$3="Forward", $D$9, $G$9)</f>
        <v>0.76</v>
      </c>
      <c r="DC46" s="112" t="n">
        <f aca="false">DA46*TAN(RADIANS(DE$7))-(IF($B$4, 9.807, 32.174)*DA46^2)/(2*DD$7^2*COS(RADIANS(DE$7))^2)+$D$7</f>
        <v>4.22662799340387</v>
      </c>
      <c r="DD46" s="123" t="n">
        <f aca="false">MIN($V$5,DC46)</f>
        <v>4.22662799340387</v>
      </c>
      <c r="DE46" s="112"/>
      <c r="DF46" s="112" t="n">
        <f aca="false">DF45+DF$7/100</f>
        <v>0.76</v>
      </c>
      <c r="DG46" s="122" t="n">
        <f aca="false">DF46+IF($I$3="Forward", $D$9, $G$9)</f>
        <v>0.76</v>
      </c>
      <c r="DH46" s="112" t="n">
        <f aca="false">DF46*TAN(RADIANS(DJ$7))-(IF($B$4, 9.807, 32.174)*DF46^2)/(2*DI$7^2*COS(RADIANS(DJ$7))^2)+$D$7</f>
        <v>4.22662799340387</v>
      </c>
      <c r="DI46" s="123" t="n">
        <f aca="false">MIN($V$5,DH46)</f>
        <v>4.22662799340387</v>
      </c>
      <c r="DJ46" s="112"/>
      <c r="DK46" s="112" t="n">
        <f aca="false">DK45+DK$7/100</f>
        <v>0.76</v>
      </c>
      <c r="DL46" s="112" t="n">
        <f aca="false">DK46</f>
        <v>0.76</v>
      </c>
      <c r="DM46" s="112" t="n">
        <f aca="false">DK46*TAN(RADIANS(DO$7))-(IF($B$4, 9.807, 32.174)*DK46^2)/(2*DN$7^2*COS(RADIANS(DO$7))^2)+$D$7</f>
        <v>4.22662799340387</v>
      </c>
      <c r="DN46" s="123" t="n">
        <f aca="false">MIN($V$5,DM46)</f>
        <v>4.22662799340387</v>
      </c>
      <c r="DO46" s="112"/>
      <c r="DP46" s="112" t="n">
        <f aca="false">DP45+DP$7/100</f>
        <v>0.76</v>
      </c>
      <c r="DQ46" s="122" t="n">
        <f aca="false">DP46-IF($I$3="Forward", $D$9, $G$9)</f>
        <v>0.76</v>
      </c>
      <c r="DR46" s="112" t="n">
        <f aca="false">DP46*TAN(RADIANS(DT$7))-(IF($B$4, 9.807, 32.174)*DP46^2)/(2*DS$7^2*COS(RADIANS(DT$7))^2)+$D$7</f>
        <v>4.22662799340387</v>
      </c>
      <c r="DS46" s="123" t="n">
        <f aca="false">MIN($V$5,DR46)</f>
        <v>4.22662799340387</v>
      </c>
      <c r="DT46" s="112"/>
      <c r="DU46" s="112" t="n">
        <f aca="false">DU45+DU$7/100</f>
        <v>0.76</v>
      </c>
      <c r="DV46" s="122" t="n">
        <f aca="false">DU46+IF($I$3="Forward", $D$9, $G$9)</f>
        <v>0.76</v>
      </c>
      <c r="DW46" s="112" t="n">
        <f aca="false">DU46*TAN(RADIANS(DY$7))-(IF($B$4, 9.807, 32.174)*DU46^2)/(2*DX$7^2*COS(RADIANS(DY$7))^2)+$D$7</f>
        <v>4.22662799340387</v>
      </c>
      <c r="DX46" s="123" t="n">
        <f aca="false">MIN($V$5,DW46)</f>
        <v>4.22662799340387</v>
      </c>
      <c r="DY46" s="112"/>
      <c r="DZ46" s="112" t="n">
        <f aca="false">DZ45+DZ$7/100</f>
        <v>0.76</v>
      </c>
      <c r="EA46" s="112" t="n">
        <f aca="false">DZ46</f>
        <v>0.76</v>
      </c>
      <c r="EB46" s="112" t="n">
        <f aca="false">DZ46*TAN(RADIANS(ED$7))-(IF($B$4, 9.807, 32.174)*DZ46^2)/(2*EC$7^2*COS(RADIANS(ED$7))^2)+$D$7</f>
        <v>4.22662799340387</v>
      </c>
      <c r="EC46" s="123" t="n">
        <f aca="false">MIN($V$5,EB46)</f>
        <v>4.22662799340387</v>
      </c>
      <c r="ED46" s="112"/>
      <c r="EE46" s="112" t="n">
        <f aca="false">EE45+EE$7/100</f>
        <v>0.76</v>
      </c>
      <c r="EF46" s="122" t="n">
        <f aca="false">EE46-IF($I$3="Forward", $D$9, $G$9)</f>
        <v>0.76</v>
      </c>
      <c r="EG46" s="112" t="n">
        <f aca="false">EE46*TAN(RADIANS(EI$7))-(IF($B$4, 9.807, 32.174)*EE46^2)/(2*EH$7^2*COS(RADIANS(EI$7))^2)+$D$7</f>
        <v>4.22662799340387</v>
      </c>
      <c r="EH46" s="123" t="n">
        <f aca="false">MIN($V$5,EG46)</f>
        <v>4.22662799340387</v>
      </c>
      <c r="EI46" s="112"/>
      <c r="EJ46" s="112" t="n">
        <f aca="false">EJ45+EJ$7/100</f>
        <v>0.76</v>
      </c>
      <c r="EK46" s="122" t="n">
        <f aca="false">EJ46+IF($I$3="Forward", $D$9, $G$9)</f>
        <v>0.76</v>
      </c>
      <c r="EL46" s="112" t="n">
        <f aca="false">EJ46*TAN(RADIANS(EN$7))-(IF($B$4, 9.807, 32.174)*EJ46^2)/(2*EM$7^2*COS(RADIANS(EN$7))^2)+$D$7</f>
        <v>4.22662799340387</v>
      </c>
      <c r="EM46" s="123" t="n">
        <f aca="false">MIN($V$5,EL46)</f>
        <v>4.22662799340387</v>
      </c>
      <c r="EN46" s="112"/>
      <c r="EO46" s="112" t="n">
        <f aca="false">EO45+EO$7/100</f>
        <v>0.76</v>
      </c>
      <c r="EP46" s="112" t="n">
        <f aca="false">EO46</f>
        <v>0.76</v>
      </c>
      <c r="EQ46" s="112" t="n">
        <f aca="false">EO46*TAN(RADIANS(ES$7))-(IF($B$4, 9.807, 32.174)*EO46^2)/(2*ER$7^2*COS(RADIANS(ES$7))^2)+$D$7</f>
        <v>4.22662799340387</v>
      </c>
      <c r="ER46" s="123" t="n">
        <f aca="false">MIN($V$5,EQ46)</f>
        <v>4.22662799340387</v>
      </c>
      <c r="ES46" s="112"/>
      <c r="ET46" s="112" t="n">
        <f aca="false">ET45+ET$7/100</f>
        <v>0.76</v>
      </c>
      <c r="EU46" s="122" t="n">
        <f aca="false">ET46-IF($I$3="Forward", $D$9, $G$9)</f>
        <v>0.76</v>
      </c>
      <c r="EV46" s="112" t="n">
        <f aca="false">ET46*TAN(RADIANS(EX$7))-(IF($B$4, 9.807, 32.174)*ET46^2)/(2*EW$7^2*COS(RADIANS(EX$7))^2)+$D$7</f>
        <v>4.22662799340387</v>
      </c>
      <c r="EW46" s="123" t="n">
        <f aca="false">MIN($V$5,EV46)</f>
        <v>4.22662799340387</v>
      </c>
      <c r="EX46" s="112"/>
    </row>
    <row r="47" s="131" customFormat="true" ht="15" hidden="false" customHeight="false" outlineLevel="0" collapsed="false">
      <c r="T47" s="112" t="n">
        <f aca="false">T46+T$7/100</f>
        <v>0.78</v>
      </c>
      <c r="U47" s="122" t="n">
        <f aca="false">T47+IF($I$3="Forward", $D$9, $G$9)</f>
        <v>0.78</v>
      </c>
      <c r="V47" s="112" t="n">
        <f aca="false">T47*TAN(RADIANS(X$7))-(IF($B$4, 9.807, 32.174)*T47^2)/(2*W$7^2*COS(RADIANS(X$7))^2)+$D$7</f>
        <v>4.27977588977411</v>
      </c>
      <c r="W47" s="123" t="n">
        <f aca="false">MIN($V$5,V47)</f>
        <v>4.27977588977411</v>
      </c>
      <c r="X47" s="112"/>
      <c r="Y47" s="112" t="n">
        <f aca="false">Y46+Y$7/100</f>
        <v>0.78</v>
      </c>
      <c r="Z47" s="112" t="n">
        <f aca="false">Y47</f>
        <v>0.78</v>
      </c>
      <c r="AA47" s="112" t="n">
        <f aca="false">Y47*TAN(RADIANS(AC$7))-(IF($B$4, 9.807, 32.174)*Y47^2)/(2*AB$7^2*COS(RADIANS(AC$7))^2)+$D$7</f>
        <v>4.27977588977411</v>
      </c>
      <c r="AB47" s="123" t="n">
        <f aca="false">MIN($V$5,AA47)</f>
        <v>4.27977588977411</v>
      </c>
      <c r="AC47" s="112"/>
      <c r="AD47" s="112" t="n">
        <f aca="false">AD46+AD$7/100</f>
        <v>0.78</v>
      </c>
      <c r="AE47" s="122" t="n">
        <f aca="false">AD47-IF($I$3="Forward", $D$9, $G$9)</f>
        <v>0.78</v>
      </c>
      <c r="AF47" s="112" t="n">
        <f aca="false">AD47*TAN(RADIANS(AH$7))-(IF($B$4, 9.807, 32.174)*AD47^2)/(2*AG$7^2*COS(RADIANS(AH$7))^2)+$D$7</f>
        <v>4.27977588977411</v>
      </c>
      <c r="AG47" s="123" t="n">
        <f aca="false">MIN($V$5,AF47)</f>
        <v>4.27977588977411</v>
      </c>
      <c r="AH47" s="112"/>
      <c r="AI47" s="112" t="n">
        <f aca="false">AI46+AI$7/100</f>
        <v>0.78</v>
      </c>
      <c r="AJ47" s="122" t="n">
        <f aca="false">AI47+IF($I$3="Forward", $D$9, $G$9)</f>
        <v>0.78</v>
      </c>
      <c r="AK47" s="112" t="n">
        <f aca="false">AI47*TAN(RADIANS(AM$7))-(IF($B$4, 9.807, 32.174)*AI47^2)/(2*AL$7^2*COS(RADIANS(AM$7))^2)+$D$7</f>
        <v>4.27977588977411</v>
      </c>
      <c r="AL47" s="123" t="n">
        <f aca="false">MIN($V$5,AK47)</f>
        <v>4.27977588977411</v>
      </c>
      <c r="AM47" s="112"/>
      <c r="AN47" s="112" t="n">
        <f aca="false">AN46+AN$7/100</f>
        <v>0.78</v>
      </c>
      <c r="AO47" s="112" t="n">
        <f aca="false">AN47</f>
        <v>0.78</v>
      </c>
      <c r="AP47" s="112" t="n">
        <f aca="false">AN47*TAN(RADIANS(AR$7))-(IF($B$4, 9.807, 32.174)*AN47^2)/(2*AQ$7^2*COS(RADIANS(AR$7))^2)+$D$7</f>
        <v>4.27977588977411</v>
      </c>
      <c r="AQ47" s="123" t="n">
        <f aca="false">MIN($V$5,AP47)</f>
        <v>4.27977588977411</v>
      </c>
      <c r="AR47" s="112"/>
      <c r="AS47" s="112" t="n">
        <f aca="false">AS46+AS$7/100</f>
        <v>0.78</v>
      </c>
      <c r="AT47" s="122" t="n">
        <f aca="false">AS47-IF($I$3="Forward", $D$9, $G$9)</f>
        <v>0.78</v>
      </c>
      <c r="AU47" s="112" t="n">
        <f aca="false">AS47*TAN(RADIANS(AW$7))-(IF($B$4, 9.807, 32.174)*AS47^2)/(2*AV$7^2*COS(RADIANS(AW$7))^2)+$D$7</f>
        <v>4.27977588977411</v>
      </c>
      <c r="AV47" s="123" t="n">
        <f aca="false">MIN($V$5,AU47)</f>
        <v>4.27977588977411</v>
      </c>
      <c r="AW47" s="112"/>
      <c r="AX47" s="112" t="n">
        <f aca="false">AX46+AX$7/100</f>
        <v>0.78</v>
      </c>
      <c r="AY47" s="122" t="n">
        <f aca="false">AX47+IF($I$3="Forward", $D$9, $G$9)</f>
        <v>0.78</v>
      </c>
      <c r="AZ47" s="112" t="n">
        <f aca="false">AX47*TAN(RADIANS(BB$7))-(IF($B$4, 9.807, 32.174)*AX47^2)/(2*BA$7^2*COS(RADIANS(BB$7))^2)+$D$7</f>
        <v>4.27977588977411</v>
      </c>
      <c r="BA47" s="123" t="n">
        <f aca="false">MIN($V$5,AZ47)</f>
        <v>4.27977588977411</v>
      </c>
      <c r="BB47" s="112"/>
      <c r="BC47" s="112" t="n">
        <f aca="false">BC46+BC$7/100</f>
        <v>0.78</v>
      </c>
      <c r="BD47" s="112" t="n">
        <f aca="false">BC47</f>
        <v>0.78</v>
      </c>
      <c r="BE47" s="112" t="n">
        <f aca="false">BC47*TAN(RADIANS(BG$7))-(IF($B$4, 9.807, 32.174)*BC47^2)/(2*BF$7^2*COS(RADIANS(BG$7))^2)+$D$7</f>
        <v>4.27977588977411</v>
      </c>
      <c r="BF47" s="123" t="n">
        <f aca="false">MIN($V$5,BE47)</f>
        <v>4.27977588977411</v>
      </c>
      <c r="BG47" s="112"/>
      <c r="BH47" s="112" t="n">
        <f aca="false">BH46+BH$7/100</f>
        <v>0.78</v>
      </c>
      <c r="BI47" s="122" t="n">
        <f aca="false">BH47-IF($I$3="Forward", $D$9, $G$9)</f>
        <v>0.78</v>
      </c>
      <c r="BJ47" s="112" t="n">
        <f aca="false">BH47*TAN(RADIANS(BL$7))-(IF($B$4, 9.807, 32.174)*BH47^2)/(2*BK$7^2*COS(RADIANS(BL$7))^2)+$D$7</f>
        <v>4.27977588977411</v>
      </c>
      <c r="BK47" s="123" t="n">
        <f aca="false">MIN($V$5,BJ47)</f>
        <v>4.27977588977411</v>
      </c>
      <c r="BL47" s="112"/>
      <c r="BM47" s="112" t="n">
        <f aca="false">BM46+BM$7/100</f>
        <v>0.78</v>
      </c>
      <c r="BN47" s="122" t="n">
        <f aca="false">BM47+IF($I$3="Forward", $D$9, $G$9)</f>
        <v>0.78</v>
      </c>
      <c r="BO47" s="112" t="n">
        <f aca="false">BM47*TAN(RADIANS(BQ$7))-(IF($B$4, 9.807, 32.174)*BM47^2)/(2*BP$7^2*COS(RADIANS(BQ$7))^2)+$D$7</f>
        <v>4.27977588977411</v>
      </c>
      <c r="BP47" s="123" t="n">
        <f aca="false">MIN($V$5,BO47)</f>
        <v>4.27977588977411</v>
      </c>
      <c r="BQ47" s="112"/>
      <c r="BR47" s="112" t="n">
        <f aca="false">BR46+BR$7/100</f>
        <v>0.78</v>
      </c>
      <c r="BS47" s="112" t="n">
        <f aca="false">BR47</f>
        <v>0.78</v>
      </c>
      <c r="BT47" s="112" t="n">
        <f aca="false">BR47*TAN(RADIANS(BV$7))-(IF($B$4, 9.807, 32.174)*BR47^2)/(2*BU$7^2*COS(RADIANS(BV$7))^2)+$D$7</f>
        <v>4.27977588977411</v>
      </c>
      <c r="BU47" s="123" t="n">
        <f aca="false">MIN($V$5,BT47)</f>
        <v>4.27977588977411</v>
      </c>
      <c r="BV47" s="112"/>
      <c r="BW47" s="112" t="n">
        <f aca="false">BW46+BW$7/100</f>
        <v>0.78</v>
      </c>
      <c r="BX47" s="122" t="n">
        <f aca="false">BW47-IF($I$3="Forward", $D$9, $G$9)</f>
        <v>0.78</v>
      </c>
      <c r="BY47" s="112" t="n">
        <f aca="false">BW47*TAN(RADIANS(CA$7))-(IF($B$4, 9.807, 32.174)*BW47^2)/(2*BZ$7^2*COS(RADIANS(CA$7))^2)+$D$7</f>
        <v>4.27977588977411</v>
      </c>
      <c r="BZ47" s="123" t="n">
        <f aca="false">MIN($V$5,BY47)</f>
        <v>4.27977588977411</v>
      </c>
      <c r="CA47" s="112"/>
      <c r="CB47" s="112" t="n">
        <f aca="false">CB46+CB$7/100</f>
        <v>0.78</v>
      </c>
      <c r="CC47" s="122" t="n">
        <f aca="false">CB47+IF($I$3="Forward", $D$9, $G$9)</f>
        <v>0.78</v>
      </c>
      <c r="CD47" s="112" t="n">
        <f aca="false">CB47*TAN(RADIANS(CF$7))-(IF($B$4, 9.807, 32.174)*CB47^2)/(2*CE$7^2*COS(RADIANS(CF$7))^2)+$D$7</f>
        <v>4.27977588977411</v>
      </c>
      <c r="CE47" s="123" t="n">
        <f aca="false">MIN($V$5,CD47)</f>
        <v>4.27977588977411</v>
      </c>
      <c r="CF47" s="112"/>
      <c r="CG47" s="124" t="n">
        <f aca="false">CG46+CG$7/100</f>
        <v>0.78</v>
      </c>
      <c r="CH47" s="124" t="n">
        <f aca="false">CG47</f>
        <v>0.78</v>
      </c>
      <c r="CI47" s="124" t="n">
        <f aca="false">CG47*TAN(RADIANS(CK$7))-(IF($B$4, 9.807, 32.174)*CG47^2)/(2*CJ$7^2*COS(RADIANS(CK$7))^2)+$D$7</f>
        <v>4.27977588977411</v>
      </c>
      <c r="CJ47" s="123" t="n">
        <f aca="false">MIN($V$5,CI47)</f>
        <v>4.27977588977411</v>
      </c>
      <c r="CK47" s="124"/>
      <c r="CL47" s="112" t="n">
        <f aca="false">CL46+CL$7/100</f>
        <v>0.78</v>
      </c>
      <c r="CM47" s="122" t="n">
        <f aca="false">CL47-IF($I$3="Forward", $D$9, $G$9)</f>
        <v>0.78</v>
      </c>
      <c r="CN47" s="112" t="n">
        <f aca="false">CL47*TAN(RADIANS(CP$7))-(IF($B$4, 9.807, 32.174)*CL47^2)/(2*CO$7^2*COS(RADIANS(CP$7))^2)+$D$7</f>
        <v>4.27977588977411</v>
      </c>
      <c r="CO47" s="123" t="n">
        <f aca="false">MIN($V$5,CN47)</f>
        <v>4.27977588977411</v>
      </c>
      <c r="CP47" s="112"/>
      <c r="CQ47" s="112" t="n">
        <f aca="false">CQ46+CQ$7/100</f>
        <v>0.78</v>
      </c>
      <c r="CR47" s="122" t="n">
        <f aca="false">CQ47+IF($I$3="Forward", $D$9, $G$9)</f>
        <v>0.78</v>
      </c>
      <c r="CS47" s="112" t="n">
        <f aca="false">CQ47*TAN(RADIANS(CU$7))-(IF($B$4, 9.807, 32.174)*CQ47^2)/(2*CT$7^2*COS(RADIANS(CU$7))^2)+$D$7</f>
        <v>4.27977588977411</v>
      </c>
      <c r="CT47" s="123" t="n">
        <f aca="false">MIN($V$5,CS47)</f>
        <v>4.27977588977411</v>
      </c>
      <c r="CU47" s="112"/>
      <c r="CV47" s="112" t="n">
        <f aca="false">CV46+CV$7/100</f>
        <v>0.78</v>
      </c>
      <c r="CW47" s="112" t="n">
        <f aca="false">CV47</f>
        <v>0.78</v>
      </c>
      <c r="CX47" s="112" t="n">
        <f aca="false">CV47*TAN(RADIANS(CZ$7))-(IF($B$4, 9.807, 32.174)*CV47^2)/(2*CY$7^2*COS(RADIANS(CZ$7))^2)+$D$7</f>
        <v>4.27977588977411</v>
      </c>
      <c r="CY47" s="123" t="n">
        <f aca="false">MIN($V$5,CX47)</f>
        <v>4.27977588977411</v>
      </c>
      <c r="CZ47" s="112"/>
      <c r="DA47" s="112" t="n">
        <f aca="false">DA46+DA$7/100</f>
        <v>0.78</v>
      </c>
      <c r="DB47" s="122" t="n">
        <f aca="false">DA47-IF($I$3="Forward", $D$9, $G$9)</f>
        <v>0.78</v>
      </c>
      <c r="DC47" s="112" t="n">
        <f aca="false">DA47*TAN(RADIANS(DE$7))-(IF($B$4, 9.807, 32.174)*DA47^2)/(2*DD$7^2*COS(RADIANS(DE$7))^2)+$D$7</f>
        <v>4.27977588977411</v>
      </c>
      <c r="DD47" s="123" t="n">
        <f aca="false">MIN($V$5,DC47)</f>
        <v>4.27977588977411</v>
      </c>
      <c r="DE47" s="112"/>
      <c r="DF47" s="112" t="n">
        <f aca="false">DF46+DF$7/100</f>
        <v>0.78</v>
      </c>
      <c r="DG47" s="122" t="n">
        <f aca="false">DF47+IF($I$3="Forward", $D$9, $G$9)</f>
        <v>0.78</v>
      </c>
      <c r="DH47" s="112" t="n">
        <f aca="false">DF47*TAN(RADIANS(DJ$7))-(IF($B$4, 9.807, 32.174)*DF47^2)/(2*DI$7^2*COS(RADIANS(DJ$7))^2)+$D$7</f>
        <v>4.27977588977411</v>
      </c>
      <c r="DI47" s="123" t="n">
        <f aca="false">MIN($V$5,DH47)</f>
        <v>4.27977588977411</v>
      </c>
      <c r="DJ47" s="112"/>
      <c r="DK47" s="112" t="n">
        <f aca="false">DK46+DK$7/100</f>
        <v>0.78</v>
      </c>
      <c r="DL47" s="112" t="n">
        <f aca="false">DK47</f>
        <v>0.78</v>
      </c>
      <c r="DM47" s="112" t="n">
        <f aca="false">DK47*TAN(RADIANS(DO$7))-(IF($B$4, 9.807, 32.174)*DK47^2)/(2*DN$7^2*COS(RADIANS(DO$7))^2)+$D$7</f>
        <v>4.27977588977411</v>
      </c>
      <c r="DN47" s="123" t="n">
        <f aca="false">MIN($V$5,DM47)</f>
        <v>4.27977588977411</v>
      </c>
      <c r="DO47" s="112"/>
      <c r="DP47" s="112" t="n">
        <f aca="false">DP46+DP$7/100</f>
        <v>0.78</v>
      </c>
      <c r="DQ47" s="122" t="n">
        <f aca="false">DP47-IF($I$3="Forward", $D$9, $G$9)</f>
        <v>0.78</v>
      </c>
      <c r="DR47" s="112" t="n">
        <f aca="false">DP47*TAN(RADIANS(DT$7))-(IF($B$4, 9.807, 32.174)*DP47^2)/(2*DS$7^2*COS(RADIANS(DT$7))^2)+$D$7</f>
        <v>4.27977588977411</v>
      </c>
      <c r="DS47" s="123" t="n">
        <f aca="false">MIN($V$5,DR47)</f>
        <v>4.27977588977411</v>
      </c>
      <c r="DT47" s="112"/>
      <c r="DU47" s="112" t="n">
        <f aca="false">DU46+DU$7/100</f>
        <v>0.78</v>
      </c>
      <c r="DV47" s="122" t="n">
        <f aca="false">DU47+IF($I$3="Forward", $D$9, $G$9)</f>
        <v>0.78</v>
      </c>
      <c r="DW47" s="112" t="n">
        <f aca="false">DU47*TAN(RADIANS(DY$7))-(IF($B$4, 9.807, 32.174)*DU47^2)/(2*DX$7^2*COS(RADIANS(DY$7))^2)+$D$7</f>
        <v>4.27977588977411</v>
      </c>
      <c r="DX47" s="123" t="n">
        <f aca="false">MIN($V$5,DW47)</f>
        <v>4.27977588977411</v>
      </c>
      <c r="DY47" s="112"/>
      <c r="DZ47" s="112" t="n">
        <f aca="false">DZ46+DZ$7/100</f>
        <v>0.78</v>
      </c>
      <c r="EA47" s="112" t="n">
        <f aca="false">DZ47</f>
        <v>0.78</v>
      </c>
      <c r="EB47" s="112" t="n">
        <f aca="false">DZ47*TAN(RADIANS(ED$7))-(IF($B$4, 9.807, 32.174)*DZ47^2)/(2*EC$7^2*COS(RADIANS(ED$7))^2)+$D$7</f>
        <v>4.27977588977411</v>
      </c>
      <c r="EC47" s="123" t="n">
        <f aca="false">MIN($V$5,EB47)</f>
        <v>4.27977588977411</v>
      </c>
      <c r="ED47" s="112"/>
      <c r="EE47" s="112" t="n">
        <f aca="false">EE46+EE$7/100</f>
        <v>0.78</v>
      </c>
      <c r="EF47" s="122" t="n">
        <f aca="false">EE47-IF($I$3="Forward", $D$9, $G$9)</f>
        <v>0.78</v>
      </c>
      <c r="EG47" s="112" t="n">
        <f aca="false">EE47*TAN(RADIANS(EI$7))-(IF($B$4, 9.807, 32.174)*EE47^2)/(2*EH$7^2*COS(RADIANS(EI$7))^2)+$D$7</f>
        <v>4.27977588977411</v>
      </c>
      <c r="EH47" s="123" t="n">
        <f aca="false">MIN($V$5,EG47)</f>
        <v>4.27977588977411</v>
      </c>
      <c r="EI47" s="112"/>
      <c r="EJ47" s="112" t="n">
        <f aca="false">EJ46+EJ$7/100</f>
        <v>0.78</v>
      </c>
      <c r="EK47" s="122" t="n">
        <f aca="false">EJ47+IF($I$3="Forward", $D$9, $G$9)</f>
        <v>0.78</v>
      </c>
      <c r="EL47" s="112" t="n">
        <f aca="false">EJ47*TAN(RADIANS(EN$7))-(IF($B$4, 9.807, 32.174)*EJ47^2)/(2*EM$7^2*COS(RADIANS(EN$7))^2)+$D$7</f>
        <v>4.27977588977411</v>
      </c>
      <c r="EM47" s="123" t="n">
        <f aca="false">MIN($V$5,EL47)</f>
        <v>4.27977588977411</v>
      </c>
      <c r="EN47" s="112"/>
      <c r="EO47" s="112" t="n">
        <f aca="false">EO46+EO$7/100</f>
        <v>0.78</v>
      </c>
      <c r="EP47" s="112" t="n">
        <f aca="false">EO47</f>
        <v>0.78</v>
      </c>
      <c r="EQ47" s="112" t="n">
        <f aca="false">EO47*TAN(RADIANS(ES$7))-(IF($B$4, 9.807, 32.174)*EO47^2)/(2*ER$7^2*COS(RADIANS(ES$7))^2)+$D$7</f>
        <v>4.27977588977411</v>
      </c>
      <c r="ER47" s="123" t="n">
        <f aca="false">MIN($V$5,EQ47)</f>
        <v>4.27977588977411</v>
      </c>
      <c r="ES47" s="112"/>
      <c r="ET47" s="112" t="n">
        <f aca="false">ET46+ET$7/100</f>
        <v>0.78</v>
      </c>
      <c r="EU47" s="122" t="n">
        <f aca="false">ET47-IF($I$3="Forward", $D$9, $G$9)</f>
        <v>0.78</v>
      </c>
      <c r="EV47" s="112" t="n">
        <f aca="false">ET47*TAN(RADIANS(EX$7))-(IF($B$4, 9.807, 32.174)*ET47^2)/(2*EW$7^2*COS(RADIANS(EX$7))^2)+$D$7</f>
        <v>4.27977588977411</v>
      </c>
      <c r="EW47" s="123" t="n">
        <f aca="false">MIN($V$5,EV47)</f>
        <v>4.27977588977411</v>
      </c>
      <c r="EX47" s="112"/>
    </row>
    <row r="48" s="131" customFormat="true" ht="15" hidden="false" customHeight="false" outlineLevel="0" collapsed="false">
      <c r="T48" s="112" t="n">
        <f aca="false">T47+T$7/100</f>
        <v>0.8</v>
      </c>
      <c r="U48" s="122" t="n">
        <f aca="false">T48+IF($I$3="Forward", $D$9, $G$9)</f>
        <v>0.8</v>
      </c>
      <c r="V48" s="112" t="n">
        <f aca="false">T48*TAN(RADIANS(X$7))-(IF($B$4, 9.807, 32.174)*T48^2)/(2*W$7^2*COS(RADIANS(X$7))^2)+$D$7</f>
        <v>4.3302152734165</v>
      </c>
      <c r="W48" s="123" t="n">
        <f aca="false">MIN($V$5,V48)</f>
        <v>4.3302152734165</v>
      </c>
      <c r="X48" s="112"/>
      <c r="Y48" s="112" t="n">
        <f aca="false">Y47+Y$7/100</f>
        <v>0.8</v>
      </c>
      <c r="Z48" s="112" t="n">
        <f aca="false">Y48</f>
        <v>0.8</v>
      </c>
      <c r="AA48" s="112" t="n">
        <f aca="false">Y48*TAN(RADIANS(AC$7))-(IF($B$4, 9.807, 32.174)*Y48^2)/(2*AB$7^2*COS(RADIANS(AC$7))^2)+$D$7</f>
        <v>4.3302152734165</v>
      </c>
      <c r="AB48" s="123" t="n">
        <f aca="false">MIN($V$5,AA48)</f>
        <v>4.3302152734165</v>
      </c>
      <c r="AC48" s="112"/>
      <c r="AD48" s="112" t="n">
        <f aca="false">AD47+AD$7/100</f>
        <v>0.8</v>
      </c>
      <c r="AE48" s="122" t="n">
        <f aca="false">AD48-IF($I$3="Forward", $D$9, $G$9)</f>
        <v>0.8</v>
      </c>
      <c r="AF48" s="112" t="n">
        <f aca="false">AD48*TAN(RADIANS(AH$7))-(IF($B$4, 9.807, 32.174)*AD48^2)/(2*AG$7^2*COS(RADIANS(AH$7))^2)+$D$7</f>
        <v>4.3302152734165</v>
      </c>
      <c r="AG48" s="123" t="n">
        <f aca="false">MIN($V$5,AF48)</f>
        <v>4.3302152734165</v>
      </c>
      <c r="AH48" s="112"/>
      <c r="AI48" s="112" t="n">
        <f aca="false">AI47+AI$7/100</f>
        <v>0.8</v>
      </c>
      <c r="AJ48" s="122" t="n">
        <f aca="false">AI48+IF($I$3="Forward", $D$9, $G$9)</f>
        <v>0.8</v>
      </c>
      <c r="AK48" s="112" t="n">
        <f aca="false">AI48*TAN(RADIANS(AM$7))-(IF($B$4, 9.807, 32.174)*AI48^2)/(2*AL$7^2*COS(RADIANS(AM$7))^2)+$D$7</f>
        <v>4.3302152734165</v>
      </c>
      <c r="AL48" s="123" t="n">
        <f aca="false">MIN($V$5,AK48)</f>
        <v>4.3302152734165</v>
      </c>
      <c r="AM48" s="112"/>
      <c r="AN48" s="112" t="n">
        <f aca="false">AN47+AN$7/100</f>
        <v>0.8</v>
      </c>
      <c r="AO48" s="112" t="n">
        <f aca="false">AN48</f>
        <v>0.8</v>
      </c>
      <c r="AP48" s="112" t="n">
        <f aca="false">AN48*TAN(RADIANS(AR$7))-(IF($B$4, 9.807, 32.174)*AN48^2)/(2*AQ$7^2*COS(RADIANS(AR$7))^2)+$D$7</f>
        <v>4.3302152734165</v>
      </c>
      <c r="AQ48" s="123" t="n">
        <f aca="false">MIN($V$5,AP48)</f>
        <v>4.3302152734165</v>
      </c>
      <c r="AR48" s="112"/>
      <c r="AS48" s="112" t="n">
        <f aca="false">AS47+AS$7/100</f>
        <v>0.8</v>
      </c>
      <c r="AT48" s="122" t="n">
        <f aca="false">AS48-IF($I$3="Forward", $D$9, $G$9)</f>
        <v>0.8</v>
      </c>
      <c r="AU48" s="112" t="n">
        <f aca="false">AS48*TAN(RADIANS(AW$7))-(IF($B$4, 9.807, 32.174)*AS48^2)/(2*AV$7^2*COS(RADIANS(AW$7))^2)+$D$7</f>
        <v>4.3302152734165</v>
      </c>
      <c r="AV48" s="123" t="n">
        <f aca="false">MIN($V$5,AU48)</f>
        <v>4.3302152734165</v>
      </c>
      <c r="AW48" s="112"/>
      <c r="AX48" s="112" t="n">
        <f aca="false">AX47+AX$7/100</f>
        <v>0.8</v>
      </c>
      <c r="AY48" s="122" t="n">
        <f aca="false">AX48+IF($I$3="Forward", $D$9, $G$9)</f>
        <v>0.8</v>
      </c>
      <c r="AZ48" s="112" t="n">
        <f aca="false">AX48*TAN(RADIANS(BB$7))-(IF($B$4, 9.807, 32.174)*AX48^2)/(2*BA$7^2*COS(RADIANS(BB$7))^2)+$D$7</f>
        <v>4.3302152734165</v>
      </c>
      <c r="BA48" s="123" t="n">
        <f aca="false">MIN($V$5,AZ48)</f>
        <v>4.3302152734165</v>
      </c>
      <c r="BB48" s="112"/>
      <c r="BC48" s="112" t="n">
        <f aca="false">BC47+BC$7/100</f>
        <v>0.8</v>
      </c>
      <c r="BD48" s="112" t="n">
        <f aca="false">BC48</f>
        <v>0.8</v>
      </c>
      <c r="BE48" s="112" t="n">
        <f aca="false">BC48*TAN(RADIANS(BG$7))-(IF($B$4, 9.807, 32.174)*BC48^2)/(2*BF$7^2*COS(RADIANS(BG$7))^2)+$D$7</f>
        <v>4.3302152734165</v>
      </c>
      <c r="BF48" s="123" t="n">
        <f aca="false">MIN($V$5,BE48)</f>
        <v>4.3302152734165</v>
      </c>
      <c r="BG48" s="112"/>
      <c r="BH48" s="112" t="n">
        <f aca="false">BH47+BH$7/100</f>
        <v>0.8</v>
      </c>
      <c r="BI48" s="122" t="n">
        <f aca="false">BH48-IF($I$3="Forward", $D$9, $G$9)</f>
        <v>0.8</v>
      </c>
      <c r="BJ48" s="112" t="n">
        <f aca="false">BH48*TAN(RADIANS(BL$7))-(IF($B$4, 9.807, 32.174)*BH48^2)/(2*BK$7^2*COS(RADIANS(BL$7))^2)+$D$7</f>
        <v>4.3302152734165</v>
      </c>
      <c r="BK48" s="123" t="n">
        <f aca="false">MIN($V$5,BJ48)</f>
        <v>4.3302152734165</v>
      </c>
      <c r="BL48" s="112"/>
      <c r="BM48" s="112" t="n">
        <f aca="false">BM47+BM$7/100</f>
        <v>0.8</v>
      </c>
      <c r="BN48" s="122" t="n">
        <f aca="false">BM48+IF($I$3="Forward", $D$9, $G$9)</f>
        <v>0.8</v>
      </c>
      <c r="BO48" s="112" t="n">
        <f aca="false">BM48*TAN(RADIANS(BQ$7))-(IF($B$4, 9.807, 32.174)*BM48^2)/(2*BP$7^2*COS(RADIANS(BQ$7))^2)+$D$7</f>
        <v>4.3302152734165</v>
      </c>
      <c r="BP48" s="123" t="n">
        <f aca="false">MIN($V$5,BO48)</f>
        <v>4.3302152734165</v>
      </c>
      <c r="BQ48" s="112"/>
      <c r="BR48" s="112" t="n">
        <f aca="false">BR47+BR$7/100</f>
        <v>0.8</v>
      </c>
      <c r="BS48" s="112" t="n">
        <f aca="false">BR48</f>
        <v>0.8</v>
      </c>
      <c r="BT48" s="112" t="n">
        <f aca="false">BR48*TAN(RADIANS(BV$7))-(IF($B$4, 9.807, 32.174)*BR48^2)/(2*BU$7^2*COS(RADIANS(BV$7))^2)+$D$7</f>
        <v>4.3302152734165</v>
      </c>
      <c r="BU48" s="123" t="n">
        <f aca="false">MIN($V$5,BT48)</f>
        <v>4.3302152734165</v>
      </c>
      <c r="BV48" s="112"/>
      <c r="BW48" s="112" t="n">
        <f aca="false">BW47+BW$7/100</f>
        <v>0.8</v>
      </c>
      <c r="BX48" s="122" t="n">
        <f aca="false">BW48-IF($I$3="Forward", $D$9, $G$9)</f>
        <v>0.8</v>
      </c>
      <c r="BY48" s="112" t="n">
        <f aca="false">BW48*TAN(RADIANS(CA$7))-(IF($B$4, 9.807, 32.174)*BW48^2)/(2*BZ$7^2*COS(RADIANS(CA$7))^2)+$D$7</f>
        <v>4.3302152734165</v>
      </c>
      <c r="BZ48" s="123" t="n">
        <f aca="false">MIN($V$5,BY48)</f>
        <v>4.3302152734165</v>
      </c>
      <c r="CA48" s="112"/>
      <c r="CB48" s="112" t="n">
        <f aca="false">CB47+CB$7/100</f>
        <v>0.8</v>
      </c>
      <c r="CC48" s="122" t="n">
        <f aca="false">CB48+IF($I$3="Forward", $D$9, $G$9)</f>
        <v>0.8</v>
      </c>
      <c r="CD48" s="112" t="n">
        <f aca="false">CB48*TAN(RADIANS(CF$7))-(IF($B$4, 9.807, 32.174)*CB48^2)/(2*CE$7^2*COS(RADIANS(CF$7))^2)+$D$7</f>
        <v>4.3302152734165</v>
      </c>
      <c r="CE48" s="123" t="n">
        <f aca="false">MIN($V$5,CD48)</f>
        <v>4.3302152734165</v>
      </c>
      <c r="CF48" s="112"/>
      <c r="CG48" s="124" t="n">
        <f aca="false">CG47+CG$7/100</f>
        <v>0.8</v>
      </c>
      <c r="CH48" s="124" t="n">
        <f aca="false">CG48</f>
        <v>0.8</v>
      </c>
      <c r="CI48" s="124" t="n">
        <f aca="false">CG48*TAN(RADIANS(CK$7))-(IF($B$4, 9.807, 32.174)*CG48^2)/(2*CJ$7^2*COS(RADIANS(CK$7))^2)+$D$7</f>
        <v>4.3302152734165</v>
      </c>
      <c r="CJ48" s="123" t="n">
        <f aca="false">MIN($V$5,CI48)</f>
        <v>4.3302152734165</v>
      </c>
      <c r="CK48" s="124"/>
      <c r="CL48" s="112" t="n">
        <f aca="false">CL47+CL$7/100</f>
        <v>0.8</v>
      </c>
      <c r="CM48" s="122" t="n">
        <f aca="false">CL48-IF($I$3="Forward", $D$9, $G$9)</f>
        <v>0.8</v>
      </c>
      <c r="CN48" s="112" t="n">
        <f aca="false">CL48*TAN(RADIANS(CP$7))-(IF($B$4, 9.807, 32.174)*CL48^2)/(2*CO$7^2*COS(RADIANS(CP$7))^2)+$D$7</f>
        <v>4.3302152734165</v>
      </c>
      <c r="CO48" s="123" t="n">
        <f aca="false">MIN($V$5,CN48)</f>
        <v>4.3302152734165</v>
      </c>
      <c r="CP48" s="112"/>
      <c r="CQ48" s="112" t="n">
        <f aca="false">CQ47+CQ$7/100</f>
        <v>0.8</v>
      </c>
      <c r="CR48" s="122" t="n">
        <f aca="false">CQ48+IF($I$3="Forward", $D$9, $G$9)</f>
        <v>0.8</v>
      </c>
      <c r="CS48" s="112" t="n">
        <f aca="false">CQ48*TAN(RADIANS(CU$7))-(IF($B$4, 9.807, 32.174)*CQ48^2)/(2*CT$7^2*COS(RADIANS(CU$7))^2)+$D$7</f>
        <v>4.3302152734165</v>
      </c>
      <c r="CT48" s="123" t="n">
        <f aca="false">MIN($V$5,CS48)</f>
        <v>4.3302152734165</v>
      </c>
      <c r="CU48" s="112"/>
      <c r="CV48" s="112" t="n">
        <f aca="false">CV47+CV$7/100</f>
        <v>0.8</v>
      </c>
      <c r="CW48" s="112" t="n">
        <f aca="false">CV48</f>
        <v>0.8</v>
      </c>
      <c r="CX48" s="112" t="n">
        <f aca="false">CV48*TAN(RADIANS(CZ$7))-(IF($B$4, 9.807, 32.174)*CV48^2)/(2*CY$7^2*COS(RADIANS(CZ$7))^2)+$D$7</f>
        <v>4.3302152734165</v>
      </c>
      <c r="CY48" s="123" t="n">
        <f aca="false">MIN($V$5,CX48)</f>
        <v>4.3302152734165</v>
      </c>
      <c r="CZ48" s="112"/>
      <c r="DA48" s="112" t="n">
        <f aca="false">DA47+DA$7/100</f>
        <v>0.8</v>
      </c>
      <c r="DB48" s="122" t="n">
        <f aca="false">DA48-IF($I$3="Forward", $D$9, $G$9)</f>
        <v>0.8</v>
      </c>
      <c r="DC48" s="112" t="n">
        <f aca="false">DA48*TAN(RADIANS(DE$7))-(IF($B$4, 9.807, 32.174)*DA48^2)/(2*DD$7^2*COS(RADIANS(DE$7))^2)+$D$7</f>
        <v>4.3302152734165</v>
      </c>
      <c r="DD48" s="123" t="n">
        <f aca="false">MIN($V$5,DC48)</f>
        <v>4.3302152734165</v>
      </c>
      <c r="DE48" s="112"/>
      <c r="DF48" s="112" t="n">
        <f aca="false">DF47+DF$7/100</f>
        <v>0.8</v>
      </c>
      <c r="DG48" s="122" t="n">
        <f aca="false">DF48+IF($I$3="Forward", $D$9, $G$9)</f>
        <v>0.8</v>
      </c>
      <c r="DH48" s="112" t="n">
        <f aca="false">DF48*TAN(RADIANS(DJ$7))-(IF($B$4, 9.807, 32.174)*DF48^2)/(2*DI$7^2*COS(RADIANS(DJ$7))^2)+$D$7</f>
        <v>4.3302152734165</v>
      </c>
      <c r="DI48" s="123" t="n">
        <f aca="false">MIN($V$5,DH48)</f>
        <v>4.3302152734165</v>
      </c>
      <c r="DJ48" s="112"/>
      <c r="DK48" s="112" t="n">
        <f aca="false">DK47+DK$7/100</f>
        <v>0.8</v>
      </c>
      <c r="DL48" s="112" t="n">
        <f aca="false">DK48</f>
        <v>0.8</v>
      </c>
      <c r="DM48" s="112" t="n">
        <f aca="false">DK48*TAN(RADIANS(DO$7))-(IF($B$4, 9.807, 32.174)*DK48^2)/(2*DN$7^2*COS(RADIANS(DO$7))^2)+$D$7</f>
        <v>4.3302152734165</v>
      </c>
      <c r="DN48" s="123" t="n">
        <f aca="false">MIN($V$5,DM48)</f>
        <v>4.3302152734165</v>
      </c>
      <c r="DO48" s="112"/>
      <c r="DP48" s="112" t="n">
        <f aca="false">DP47+DP$7/100</f>
        <v>0.8</v>
      </c>
      <c r="DQ48" s="122" t="n">
        <f aca="false">DP48-IF($I$3="Forward", $D$9, $G$9)</f>
        <v>0.8</v>
      </c>
      <c r="DR48" s="112" t="n">
        <f aca="false">DP48*TAN(RADIANS(DT$7))-(IF($B$4, 9.807, 32.174)*DP48^2)/(2*DS$7^2*COS(RADIANS(DT$7))^2)+$D$7</f>
        <v>4.3302152734165</v>
      </c>
      <c r="DS48" s="123" t="n">
        <f aca="false">MIN($V$5,DR48)</f>
        <v>4.3302152734165</v>
      </c>
      <c r="DT48" s="112"/>
      <c r="DU48" s="112" t="n">
        <f aca="false">DU47+DU$7/100</f>
        <v>0.8</v>
      </c>
      <c r="DV48" s="122" t="n">
        <f aca="false">DU48+IF($I$3="Forward", $D$9, $G$9)</f>
        <v>0.8</v>
      </c>
      <c r="DW48" s="112" t="n">
        <f aca="false">DU48*TAN(RADIANS(DY$7))-(IF($B$4, 9.807, 32.174)*DU48^2)/(2*DX$7^2*COS(RADIANS(DY$7))^2)+$D$7</f>
        <v>4.3302152734165</v>
      </c>
      <c r="DX48" s="123" t="n">
        <f aca="false">MIN($V$5,DW48)</f>
        <v>4.3302152734165</v>
      </c>
      <c r="DY48" s="112"/>
      <c r="DZ48" s="112" t="n">
        <f aca="false">DZ47+DZ$7/100</f>
        <v>0.8</v>
      </c>
      <c r="EA48" s="112" t="n">
        <f aca="false">DZ48</f>
        <v>0.8</v>
      </c>
      <c r="EB48" s="112" t="n">
        <f aca="false">DZ48*TAN(RADIANS(ED$7))-(IF($B$4, 9.807, 32.174)*DZ48^2)/(2*EC$7^2*COS(RADIANS(ED$7))^2)+$D$7</f>
        <v>4.3302152734165</v>
      </c>
      <c r="EC48" s="123" t="n">
        <f aca="false">MIN($V$5,EB48)</f>
        <v>4.3302152734165</v>
      </c>
      <c r="ED48" s="112"/>
      <c r="EE48" s="112" t="n">
        <f aca="false">EE47+EE$7/100</f>
        <v>0.8</v>
      </c>
      <c r="EF48" s="122" t="n">
        <f aca="false">EE48-IF($I$3="Forward", $D$9, $G$9)</f>
        <v>0.8</v>
      </c>
      <c r="EG48" s="112" t="n">
        <f aca="false">EE48*TAN(RADIANS(EI$7))-(IF($B$4, 9.807, 32.174)*EE48^2)/(2*EH$7^2*COS(RADIANS(EI$7))^2)+$D$7</f>
        <v>4.3302152734165</v>
      </c>
      <c r="EH48" s="123" t="n">
        <f aca="false">MIN($V$5,EG48)</f>
        <v>4.3302152734165</v>
      </c>
      <c r="EI48" s="112"/>
      <c r="EJ48" s="112" t="n">
        <f aca="false">EJ47+EJ$7/100</f>
        <v>0.8</v>
      </c>
      <c r="EK48" s="122" t="n">
        <f aca="false">EJ48+IF($I$3="Forward", $D$9, $G$9)</f>
        <v>0.8</v>
      </c>
      <c r="EL48" s="112" t="n">
        <f aca="false">EJ48*TAN(RADIANS(EN$7))-(IF($B$4, 9.807, 32.174)*EJ48^2)/(2*EM$7^2*COS(RADIANS(EN$7))^2)+$D$7</f>
        <v>4.3302152734165</v>
      </c>
      <c r="EM48" s="123" t="n">
        <f aca="false">MIN($V$5,EL48)</f>
        <v>4.3302152734165</v>
      </c>
      <c r="EN48" s="112"/>
      <c r="EO48" s="112" t="n">
        <f aca="false">EO47+EO$7/100</f>
        <v>0.8</v>
      </c>
      <c r="EP48" s="112" t="n">
        <f aca="false">EO48</f>
        <v>0.8</v>
      </c>
      <c r="EQ48" s="112" t="n">
        <f aca="false">EO48*TAN(RADIANS(ES$7))-(IF($B$4, 9.807, 32.174)*EO48^2)/(2*ER$7^2*COS(RADIANS(ES$7))^2)+$D$7</f>
        <v>4.3302152734165</v>
      </c>
      <c r="ER48" s="123" t="n">
        <f aca="false">MIN($V$5,EQ48)</f>
        <v>4.3302152734165</v>
      </c>
      <c r="ES48" s="112"/>
      <c r="ET48" s="112" t="n">
        <f aca="false">ET47+ET$7/100</f>
        <v>0.8</v>
      </c>
      <c r="EU48" s="122" t="n">
        <f aca="false">ET48-IF($I$3="Forward", $D$9, $G$9)</f>
        <v>0.8</v>
      </c>
      <c r="EV48" s="112" t="n">
        <f aca="false">ET48*TAN(RADIANS(EX$7))-(IF($B$4, 9.807, 32.174)*ET48^2)/(2*EW$7^2*COS(RADIANS(EX$7))^2)+$D$7</f>
        <v>4.3302152734165</v>
      </c>
      <c r="EW48" s="123" t="n">
        <f aca="false">MIN($V$5,EV48)</f>
        <v>4.3302152734165</v>
      </c>
      <c r="EX48" s="112"/>
    </row>
    <row r="49" s="131" customFormat="true" ht="15" hidden="false" customHeight="false" outlineLevel="0" collapsed="false">
      <c r="T49" s="112" t="n">
        <f aca="false">T48+T$7/100</f>
        <v>0.82</v>
      </c>
      <c r="U49" s="122" t="n">
        <f aca="false">T49+IF($I$3="Forward", $D$9, $G$9)</f>
        <v>0.82</v>
      </c>
      <c r="V49" s="112" t="n">
        <f aca="false">T49*TAN(RADIANS(X$7))-(IF($B$4, 9.807, 32.174)*T49^2)/(2*W$7^2*COS(RADIANS(X$7))^2)+$D$7</f>
        <v>4.37794614433105</v>
      </c>
      <c r="W49" s="123" t="n">
        <f aca="false">MIN($V$5,V49)</f>
        <v>4.37794614433105</v>
      </c>
      <c r="X49" s="112"/>
      <c r="Y49" s="112" t="n">
        <f aca="false">Y48+Y$7/100</f>
        <v>0.82</v>
      </c>
      <c r="Z49" s="112" t="n">
        <f aca="false">Y49</f>
        <v>0.82</v>
      </c>
      <c r="AA49" s="112" t="n">
        <f aca="false">Y49*TAN(RADIANS(AC$7))-(IF($B$4, 9.807, 32.174)*Y49^2)/(2*AB$7^2*COS(RADIANS(AC$7))^2)+$D$7</f>
        <v>4.37794614433105</v>
      </c>
      <c r="AB49" s="123" t="n">
        <f aca="false">MIN($V$5,AA49)</f>
        <v>4.37794614433105</v>
      </c>
      <c r="AC49" s="112"/>
      <c r="AD49" s="112" t="n">
        <f aca="false">AD48+AD$7/100</f>
        <v>0.82</v>
      </c>
      <c r="AE49" s="122" t="n">
        <f aca="false">AD49-IF($I$3="Forward", $D$9, $G$9)</f>
        <v>0.82</v>
      </c>
      <c r="AF49" s="112" t="n">
        <f aca="false">AD49*TAN(RADIANS(AH$7))-(IF($B$4, 9.807, 32.174)*AD49^2)/(2*AG$7^2*COS(RADIANS(AH$7))^2)+$D$7</f>
        <v>4.37794614433105</v>
      </c>
      <c r="AG49" s="123" t="n">
        <f aca="false">MIN($V$5,AF49)</f>
        <v>4.37794614433105</v>
      </c>
      <c r="AH49" s="112"/>
      <c r="AI49" s="112" t="n">
        <f aca="false">AI48+AI$7/100</f>
        <v>0.82</v>
      </c>
      <c r="AJ49" s="122" t="n">
        <f aca="false">AI49+IF($I$3="Forward", $D$9, $G$9)</f>
        <v>0.82</v>
      </c>
      <c r="AK49" s="112" t="n">
        <f aca="false">AI49*TAN(RADIANS(AM$7))-(IF($B$4, 9.807, 32.174)*AI49^2)/(2*AL$7^2*COS(RADIANS(AM$7))^2)+$D$7</f>
        <v>4.37794614433105</v>
      </c>
      <c r="AL49" s="123" t="n">
        <f aca="false">MIN($V$5,AK49)</f>
        <v>4.37794614433105</v>
      </c>
      <c r="AM49" s="112"/>
      <c r="AN49" s="112" t="n">
        <f aca="false">AN48+AN$7/100</f>
        <v>0.82</v>
      </c>
      <c r="AO49" s="112" t="n">
        <f aca="false">AN49</f>
        <v>0.82</v>
      </c>
      <c r="AP49" s="112" t="n">
        <f aca="false">AN49*TAN(RADIANS(AR$7))-(IF($B$4, 9.807, 32.174)*AN49^2)/(2*AQ$7^2*COS(RADIANS(AR$7))^2)+$D$7</f>
        <v>4.37794614433105</v>
      </c>
      <c r="AQ49" s="123" t="n">
        <f aca="false">MIN($V$5,AP49)</f>
        <v>4.37794614433105</v>
      </c>
      <c r="AR49" s="112"/>
      <c r="AS49" s="112" t="n">
        <f aca="false">AS48+AS$7/100</f>
        <v>0.82</v>
      </c>
      <c r="AT49" s="122" t="n">
        <f aca="false">AS49-IF($I$3="Forward", $D$9, $G$9)</f>
        <v>0.82</v>
      </c>
      <c r="AU49" s="112" t="n">
        <f aca="false">AS49*TAN(RADIANS(AW$7))-(IF($B$4, 9.807, 32.174)*AS49^2)/(2*AV$7^2*COS(RADIANS(AW$7))^2)+$D$7</f>
        <v>4.37794614433105</v>
      </c>
      <c r="AV49" s="123" t="n">
        <f aca="false">MIN($V$5,AU49)</f>
        <v>4.37794614433105</v>
      </c>
      <c r="AW49" s="112"/>
      <c r="AX49" s="112" t="n">
        <f aca="false">AX48+AX$7/100</f>
        <v>0.82</v>
      </c>
      <c r="AY49" s="122" t="n">
        <f aca="false">AX49+IF($I$3="Forward", $D$9, $G$9)</f>
        <v>0.82</v>
      </c>
      <c r="AZ49" s="112" t="n">
        <f aca="false">AX49*TAN(RADIANS(BB$7))-(IF($B$4, 9.807, 32.174)*AX49^2)/(2*BA$7^2*COS(RADIANS(BB$7))^2)+$D$7</f>
        <v>4.37794614433105</v>
      </c>
      <c r="BA49" s="123" t="n">
        <f aca="false">MIN($V$5,AZ49)</f>
        <v>4.37794614433105</v>
      </c>
      <c r="BB49" s="112"/>
      <c r="BC49" s="112" t="n">
        <f aca="false">BC48+BC$7/100</f>
        <v>0.82</v>
      </c>
      <c r="BD49" s="112" t="n">
        <f aca="false">BC49</f>
        <v>0.82</v>
      </c>
      <c r="BE49" s="112" t="n">
        <f aca="false">BC49*TAN(RADIANS(BG$7))-(IF($B$4, 9.807, 32.174)*BC49^2)/(2*BF$7^2*COS(RADIANS(BG$7))^2)+$D$7</f>
        <v>4.37794614433105</v>
      </c>
      <c r="BF49" s="123" t="n">
        <f aca="false">MIN($V$5,BE49)</f>
        <v>4.37794614433105</v>
      </c>
      <c r="BG49" s="112"/>
      <c r="BH49" s="112" t="n">
        <f aca="false">BH48+BH$7/100</f>
        <v>0.82</v>
      </c>
      <c r="BI49" s="122" t="n">
        <f aca="false">BH49-IF($I$3="Forward", $D$9, $G$9)</f>
        <v>0.82</v>
      </c>
      <c r="BJ49" s="112" t="n">
        <f aca="false">BH49*TAN(RADIANS(BL$7))-(IF($B$4, 9.807, 32.174)*BH49^2)/(2*BK$7^2*COS(RADIANS(BL$7))^2)+$D$7</f>
        <v>4.37794614433105</v>
      </c>
      <c r="BK49" s="123" t="n">
        <f aca="false">MIN($V$5,BJ49)</f>
        <v>4.37794614433105</v>
      </c>
      <c r="BL49" s="112"/>
      <c r="BM49" s="112" t="n">
        <f aca="false">BM48+BM$7/100</f>
        <v>0.82</v>
      </c>
      <c r="BN49" s="122" t="n">
        <f aca="false">BM49+IF($I$3="Forward", $D$9, $G$9)</f>
        <v>0.82</v>
      </c>
      <c r="BO49" s="112" t="n">
        <f aca="false">BM49*TAN(RADIANS(BQ$7))-(IF($B$4, 9.807, 32.174)*BM49^2)/(2*BP$7^2*COS(RADIANS(BQ$7))^2)+$D$7</f>
        <v>4.37794614433105</v>
      </c>
      <c r="BP49" s="123" t="n">
        <f aca="false">MIN($V$5,BO49)</f>
        <v>4.37794614433105</v>
      </c>
      <c r="BQ49" s="112"/>
      <c r="BR49" s="112" t="n">
        <f aca="false">BR48+BR$7/100</f>
        <v>0.82</v>
      </c>
      <c r="BS49" s="112" t="n">
        <f aca="false">BR49</f>
        <v>0.82</v>
      </c>
      <c r="BT49" s="112" t="n">
        <f aca="false">BR49*TAN(RADIANS(BV$7))-(IF($B$4, 9.807, 32.174)*BR49^2)/(2*BU$7^2*COS(RADIANS(BV$7))^2)+$D$7</f>
        <v>4.37794614433105</v>
      </c>
      <c r="BU49" s="123" t="n">
        <f aca="false">MIN($V$5,BT49)</f>
        <v>4.37794614433105</v>
      </c>
      <c r="BV49" s="112"/>
      <c r="BW49" s="112" t="n">
        <f aca="false">BW48+BW$7/100</f>
        <v>0.82</v>
      </c>
      <c r="BX49" s="122" t="n">
        <f aca="false">BW49-IF($I$3="Forward", $D$9, $G$9)</f>
        <v>0.82</v>
      </c>
      <c r="BY49" s="112" t="n">
        <f aca="false">BW49*TAN(RADIANS(CA$7))-(IF($B$4, 9.807, 32.174)*BW49^2)/(2*BZ$7^2*COS(RADIANS(CA$7))^2)+$D$7</f>
        <v>4.37794614433105</v>
      </c>
      <c r="BZ49" s="123" t="n">
        <f aca="false">MIN($V$5,BY49)</f>
        <v>4.37794614433105</v>
      </c>
      <c r="CA49" s="112"/>
      <c r="CB49" s="112" t="n">
        <f aca="false">CB48+CB$7/100</f>
        <v>0.82</v>
      </c>
      <c r="CC49" s="122" t="n">
        <f aca="false">CB49+IF($I$3="Forward", $D$9, $G$9)</f>
        <v>0.82</v>
      </c>
      <c r="CD49" s="112" t="n">
        <f aca="false">CB49*TAN(RADIANS(CF$7))-(IF($B$4, 9.807, 32.174)*CB49^2)/(2*CE$7^2*COS(RADIANS(CF$7))^2)+$D$7</f>
        <v>4.37794614433105</v>
      </c>
      <c r="CE49" s="123" t="n">
        <f aca="false">MIN($V$5,CD49)</f>
        <v>4.37794614433105</v>
      </c>
      <c r="CF49" s="112"/>
      <c r="CG49" s="124" t="n">
        <f aca="false">CG48+CG$7/100</f>
        <v>0.82</v>
      </c>
      <c r="CH49" s="124" t="n">
        <f aca="false">CG49</f>
        <v>0.82</v>
      </c>
      <c r="CI49" s="124" t="n">
        <f aca="false">CG49*TAN(RADIANS(CK$7))-(IF($B$4, 9.807, 32.174)*CG49^2)/(2*CJ$7^2*COS(RADIANS(CK$7))^2)+$D$7</f>
        <v>4.37794614433105</v>
      </c>
      <c r="CJ49" s="123" t="n">
        <f aca="false">MIN($V$5,CI49)</f>
        <v>4.37794614433105</v>
      </c>
      <c r="CK49" s="124"/>
      <c r="CL49" s="112" t="n">
        <f aca="false">CL48+CL$7/100</f>
        <v>0.82</v>
      </c>
      <c r="CM49" s="122" t="n">
        <f aca="false">CL49-IF($I$3="Forward", $D$9, $G$9)</f>
        <v>0.82</v>
      </c>
      <c r="CN49" s="112" t="n">
        <f aca="false">CL49*TAN(RADIANS(CP$7))-(IF($B$4, 9.807, 32.174)*CL49^2)/(2*CO$7^2*COS(RADIANS(CP$7))^2)+$D$7</f>
        <v>4.37794614433105</v>
      </c>
      <c r="CO49" s="123" t="n">
        <f aca="false">MIN($V$5,CN49)</f>
        <v>4.37794614433105</v>
      </c>
      <c r="CP49" s="112"/>
      <c r="CQ49" s="112" t="n">
        <f aca="false">CQ48+CQ$7/100</f>
        <v>0.82</v>
      </c>
      <c r="CR49" s="122" t="n">
        <f aca="false">CQ49+IF($I$3="Forward", $D$9, $G$9)</f>
        <v>0.82</v>
      </c>
      <c r="CS49" s="112" t="n">
        <f aca="false">CQ49*TAN(RADIANS(CU$7))-(IF($B$4, 9.807, 32.174)*CQ49^2)/(2*CT$7^2*COS(RADIANS(CU$7))^2)+$D$7</f>
        <v>4.37794614433105</v>
      </c>
      <c r="CT49" s="123" t="n">
        <f aca="false">MIN($V$5,CS49)</f>
        <v>4.37794614433105</v>
      </c>
      <c r="CU49" s="112"/>
      <c r="CV49" s="112" t="n">
        <f aca="false">CV48+CV$7/100</f>
        <v>0.82</v>
      </c>
      <c r="CW49" s="112" t="n">
        <f aca="false">CV49</f>
        <v>0.82</v>
      </c>
      <c r="CX49" s="112" t="n">
        <f aca="false">CV49*TAN(RADIANS(CZ$7))-(IF($B$4, 9.807, 32.174)*CV49^2)/(2*CY$7^2*COS(RADIANS(CZ$7))^2)+$D$7</f>
        <v>4.37794614433105</v>
      </c>
      <c r="CY49" s="123" t="n">
        <f aca="false">MIN($V$5,CX49)</f>
        <v>4.37794614433105</v>
      </c>
      <c r="CZ49" s="112"/>
      <c r="DA49" s="112" t="n">
        <f aca="false">DA48+DA$7/100</f>
        <v>0.82</v>
      </c>
      <c r="DB49" s="122" t="n">
        <f aca="false">DA49-IF($I$3="Forward", $D$9, $G$9)</f>
        <v>0.82</v>
      </c>
      <c r="DC49" s="112" t="n">
        <f aca="false">DA49*TAN(RADIANS(DE$7))-(IF($B$4, 9.807, 32.174)*DA49^2)/(2*DD$7^2*COS(RADIANS(DE$7))^2)+$D$7</f>
        <v>4.37794614433105</v>
      </c>
      <c r="DD49" s="123" t="n">
        <f aca="false">MIN($V$5,DC49)</f>
        <v>4.37794614433105</v>
      </c>
      <c r="DE49" s="112"/>
      <c r="DF49" s="112" t="n">
        <f aca="false">DF48+DF$7/100</f>
        <v>0.82</v>
      </c>
      <c r="DG49" s="122" t="n">
        <f aca="false">DF49+IF($I$3="Forward", $D$9, $G$9)</f>
        <v>0.82</v>
      </c>
      <c r="DH49" s="112" t="n">
        <f aca="false">DF49*TAN(RADIANS(DJ$7))-(IF($B$4, 9.807, 32.174)*DF49^2)/(2*DI$7^2*COS(RADIANS(DJ$7))^2)+$D$7</f>
        <v>4.37794614433105</v>
      </c>
      <c r="DI49" s="123" t="n">
        <f aca="false">MIN($V$5,DH49)</f>
        <v>4.37794614433105</v>
      </c>
      <c r="DJ49" s="112"/>
      <c r="DK49" s="112" t="n">
        <f aca="false">DK48+DK$7/100</f>
        <v>0.82</v>
      </c>
      <c r="DL49" s="112" t="n">
        <f aca="false">DK49</f>
        <v>0.82</v>
      </c>
      <c r="DM49" s="112" t="n">
        <f aca="false">DK49*TAN(RADIANS(DO$7))-(IF($B$4, 9.807, 32.174)*DK49^2)/(2*DN$7^2*COS(RADIANS(DO$7))^2)+$D$7</f>
        <v>4.37794614433105</v>
      </c>
      <c r="DN49" s="123" t="n">
        <f aca="false">MIN($V$5,DM49)</f>
        <v>4.37794614433105</v>
      </c>
      <c r="DO49" s="112"/>
      <c r="DP49" s="112" t="n">
        <f aca="false">DP48+DP$7/100</f>
        <v>0.82</v>
      </c>
      <c r="DQ49" s="122" t="n">
        <f aca="false">DP49-IF($I$3="Forward", $D$9, $G$9)</f>
        <v>0.82</v>
      </c>
      <c r="DR49" s="112" t="n">
        <f aca="false">DP49*TAN(RADIANS(DT$7))-(IF($B$4, 9.807, 32.174)*DP49^2)/(2*DS$7^2*COS(RADIANS(DT$7))^2)+$D$7</f>
        <v>4.37794614433105</v>
      </c>
      <c r="DS49" s="123" t="n">
        <f aca="false">MIN($V$5,DR49)</f>
        <v>4.37794614433105</v>
      </c>
      <c r="DT49" s="112"/>
      <c r="DU49" s="112" t="n">
        <f aca="false">DU48+DU$7/100</f>
        <v>0.82</v>
      </c>
      <c r="DV49" s="122" t="n">
        <f aca="false">DU49+IF($I$3="Forward", $D$9, $G$9)</f>
        <v>0.82</v>
      </c>
      <c r="DW49" s="112" t="n">
        <f aca="false">DU49*TAN(RADIANS(DY$7))-(IF($B$4, 9.807, 32.174)*DU49^2)/(2*DX$7^2*COS(RADIANS(DY$7))^2)+$D$7</f>
        <v>4.37794614433105</v>
      </c>
      <c r="DX49" s="123" t="n">
        <f aca="false">MIN($V$5,DW49)</f>
        <v>4.37794614433105</v>
      </c>
      <c r="DY49" s="112"/>
      <c r="DZ49" s="112" t="n">
        <f aca="false">DZ48+DZ$7/100</f>
        <v>0.82</v>
      </c>
      <c r="EA49" s="112" t="n">
        <f aca="false">DZ49</f>
        <v>0.82</v>
      </c>
      <c r="EB49" s="112" t="n">
        <f aca="false">DZ49*TAN(RADIANS(ED$7))-(IF($B$4, 9.807, 32.174)*DZ49^2)/(2*EC$7^2*COS(RADIANS(ED$7))^2)+$D$7</f>
        <v>4.37794614433105</v>
      </c>
      <c r="EC49" s="123" t="n">
        <f aca="false">MIN($V$5,EB49)</f>
        <v>4.37794614433105</v>
      </c>
      <c r="ED49" s="112"/>
      <c r="EE49" s="112" t="n">
        <f aca="false">EE48+EE$7/100</f>
        <v>0.82</v>
      </c>
      <c r="EF49" s="122" t="n">
        <f aca="false">EE49-IF($I$3="Forward", $D$9, $G$9)</f>
        <v>0.82</v>
      </c>
      <c r="EG49" s="112" t="n">
        <f aca="false">EE49*TAN(RADIANS(EI$7))-(IF($B$4, 9.807, 32.174)*EE49^2)/(2*EH$7^2*COS(RADIANS(EI$7))^2)+$D$7</f>
        <v>4.37794614433105</v>
      </c>
      <c r="EH49" s="123" t="n">
        <f aca="false">MIN($V$5,EG49)</f>
        <v>4.37794614433105</v>
      </c>
      <c r="EI49" s="112"/>
      <c r="EJ49" s="112" t="n">
        <f aca="false">EJ48+EJ$7/100</f>
        <v>0.82</v>
      </c>
      <c r="EK49" s="122" t="n">
        <f aca="false">EJ49+IF($I$3="Forward", $D$9, $G$9)</f>
        <v>0.82</v>
      </c>
      <c r="EL49" s="112" t="n">
        <f aca="false">EJ49*TAN(RADIANS(EN$7))-(IF($B$4, 9.807, 32.174)*EJ49^2)/(2*EM$7^2*COS(RADIANS(EN$7))^2)+$D$7</f>
        <v>4.37794614433105</v>
      </c>
      <c r="EM49" s="123" t="n">
        <f aca="false">MIN($V$5,EL49)</f>
        <v>4.37794614433105</v>
      </c>
      <c r="EN49" s="112"/>
      <c r="EO49" s="112" t="n">
        <f aca="false">EO48+EO$7/100</f>
        <v>0.82</v>
      </c>
      <c r="EP49" s="112" t="n">
        <f aca="false">EO49</f>
        <v>0.82</v>
      </c>
      <c r="EQ49" s="112" t="n">
        <f aca="false">EO49*TAN(RADIANS(ES$7))-(IF($B$4, 9.807, 32.174)*EO49^2)/(2*ER$7^2*COS(RADIANS(ES$7))^2)+$D$7</f>
        <v>4.37794614433105</v>
      </c>
      <c r="ER49" s="123" t="n">
        <f aca="false">MIN($V$5,EQ49)</f>
        <v>4.37794614433105</v>
      </c>
      <c r="ES49" s="112"/>
      <c r="ET49" s="112" t="n">
        <f aca="false">ET48+ET$7/100</f>
        <v>0.82</v>
      </c>
      <c r="EU49" s="122" t="n">
        <f aca="false">ET49-IF($I$3="Forward", $D$9, $G$9)</f>
        <v>0.82</v>
      </c>
      <c r="EV49" s="112" t="n">
        <f aca="false">ET49*TAN(RADIANS(EX$7))-(IF($B$4, 9.807, 32.174)*ET49^2)/(2*EW$7^2*COS(RADIANS(EX$7))^2)+$D$7</f>
        <v>4.37794614433105</v>
      </c>
      <c r="EW49" s="123" t="n">
        <f aca="false">MIN($V$5,EV49)</f>
        <v>4.37794614433105</v>
      </c>
      <c r="EX49" s="112"/>
    </row>
    <row r="50" s="131" customFormat="true" ht="15" hidden="false" customHeight="false" outlineLevel="0" collapsed="false">
      <c r="T50" s="112" t="n">
        <f aca="false">T49+T$7/100</f>
        <v>0.84</v>
      </c>
      <c r="U50" s="122" t="n">
        <f aca="false">T50+IF($I$3="Forward", $D$9, $G$9)</f>
        <v>0.84</v>
      </c>
      <c r="V50" s="112" t="n">
        <f aca="false">T50*TAN(RADIANS(X$7))-(IF($B$4, 9.807, 32.174)*T50^2)/(2*W$7^2*COS(RADIANS(X$7))^2)+$D$7</f>
        <v>4.42296850251775</v>
      </c>
      <c r="W50" s="123" t="n">
        <f aca="false">MIN($V$5,V50)</f>
        <v>4.42296850251775</v>
      </c>
      <c r="X50" s="112"/>
      <c r="Y50" s="112" t="n">
        <f aca="false">Y49+Y$7/100</f>
        <v>0.84</v>
      </c>
      <c r="Z50" s="112" t="n">
        <f aca="false">Y50</f>
        <v>0.84</v>
      </c>
      <c r="AA50" s="112" t="n">
        <f aca="false">Y50*TAN(RADIANS(AC$7))-(IF($B$4, 9.807, 32.174)*Y50^2)/(2*AB$7^2*COS(RADIANS(AC$7))^2)+$D$7</f>
        <v>4.42296850251775</v>
      </c>
      <c r="AB50" s="123" t="n">
        <f aca="false">MIN($V$5,AA50)</f>
        <v>4.42296850251775</v>
      </c>
      <c r="AC50" s="112"/>
      <c r="AD50" s="112" t="n">
        <f aca="false">AD49+AD$7/100</f>
        <v>0.84</v>
      </c>
      <c r="AE50" s="122" t="n">
        <f aca="false">AD50-IF($I$3="Forward", $D$9, $G$9)</f>
        <v>0.84</v>
      </c>
      <c r="AF50" s="112" t="n">
        <f aca="false">AD50*TAN(RADIANS(AH$7))-(IF($B$4, 9.807, 32.174)*AD50^2)/(2*AG$7^2*COS(RADIANS(AH$7))^2)+$D$7</f>
        <v>4.42296850251775</v>
      </c>
      <c r="AG50" s="123" t="n">
        <f aca="false">MIN($V$5,AF50)</f>
        <v>4.42296850251775</v>
      </c>
      <c r="AH50" s="112"/>
      <c r="AI50" s="112" t="n">
        <f aca="false">AI49+AI$7/100</f>
        <v>0.84</v>
      </c>
      <c r="AJ50" s="122" t="n">
        <f aca="false">AI50+IF($I$3="Forward", $D$9, $G$9)</f>
        <v>0.84</v>
      </c>
      <c r="AK50" s="112" t="n">
        <f aca="false">AI50*TAN(RADIANS(AM$7))-(IF($B$4, 9.807, 32.174)*AI50^2)/(2*AL$7^2*COS(RADIANS(AM$7))^2)+$D$7</f>
        <v>4.42296850251775</v>
      </c>
      <c r="AL50" s="123" t="n">
        <f aca="false">MIN($V$5,AK50)</f>
        <v>4.42296850251775</v>
      </c>
      <c r="AM50" s="112"/>
      <c r="AN50" s="112" t="n">
        <f aca="false">AN49+AN$7/100</f>
        <v>0.84</v>
      </c>
      <c r="AO50" s="112" t="n">
        <f aca="false">AN50</f>
        <v>0.84</v>
      </c>
      <c r="AP50" s="112" t="n">
        <f aca="false">AN50*TAN(RADIANS(AR$7))-(IF($B$4, 9.807, 32.174)*AN50^2)/(2*AQ$7^2*COS(RADIANS(AR$7))^2)+$D$7</f>
        <v>4.42296850251775</v>
      </c>
      <c r="AQ50" s="123" t="n">
        <f aca="false">MIN($V$5,AP50)</f>
        <v>4.42296850251775</v>
      </c>
      <c r="AR50" s="112"/>
      <c r="AS50" s="112" t="n">
        <f aca="false">AS49+AS$7/100</f>
        <v>0.84</v>
      </c>
      <c r="AT50" s="122" t="n">
        <f aca="false">AS50-IF($I$3="Forward", $D$9, $G$9)</f>
        <v>0.84</v>
      </c>
      <c r="AU50" s="112" t="n">
        <f aca="false">AS50*TAN(RADIANS(AW$7))-(IF($B$4, 9.807, 32.174)*AS50^2)/(2*AV$7^2*COS(RADIANS(AW$7))^2)+$D$7</f>
        <v>4.42296850251775</v>
      </c>
      <c r="AV50" s="123" t="n">
        <f aca="false">MIN($V$5,AU50)</f>
        <v>4.42296850251775</v>
      </c>
      <c r="AW50" s="112"/>
      <c r="AX50" s="112" t="n">
        <f aca="false">AX49+AX$7/100</f>
        <v>0.84</v>
      </c>
      <c r="AY50" s="122" t="n">
        <f aca="false">AX50+IF($I$3="Forward", $D$9, $G$9)</f>
        <v>0.84</v>
      </c>
      <c r="AZ50" s="112" t="n">
        <f aca="false">AX50*TAN(RADIANS(BB$7))-(IF($B$4, 9.807, 32.174)*AX50^2)/(2*BA$7^2*COS(RADIANS(BB$7))^2)+$D$7</f>
        <v>4.42296850251775</v>
      </c>
      <c r="BA50" s="123" t="n">
        <f aca="false">MIN($V$5,AZ50)</f>
        <v>4.42296850251775</v>
      </c>
      <c r="BB50" s="112"/>
      <c r="BC50" s="112" t="n">
        <f aca="false">BC49+BC$7/100</f>
        <v>0.84</v>
      </c>
      <c r="BD50" s="112" t="n">
        <f aca="false">BC50</f>
        <v>0.84</v>
      </c>
      <c r="BE50" s="112" t="n">
        <f aca="false">BC50*TAN(RADIANS(BG$7))-(IF($B$4, 9.807, 32.174)*BC50^2)/(2*BF$7^2*COS(RADIANS(BG$7))^2)+$D$7</f>
        <v>4.42296850251775</v>
      </c>
      <c r="BF50" s="123" t="n">
        <f aca="false">MIN($V$5,BE50)</f>
        <v>4.42296850251775</v>
      </c>
      <c r="BG50" s="112"/>
      <c r="BH50" s="112" t="n">
        <f aca="false">BH49+BH$7/100</f>
        <v>0.84</v>
      </c>
      <c r="BI50" s="122" t="n">
        <f aca="false">BH50-IF($I$3="Forward", $D$9, $G$9)</f>
        <v>0.84</v>
      </c>
      <c r="BJ50" s="112" t="n">
        <f aca="false">BH50*TAN(RADIANS(BL$7))-(IF($B$4, 9.807, 32.174)*BH50^2)/(2*BK$7^2*COS(RADIANS(BL$7))^2)+$D$7</f>
        <v>4.42296850251775</v>
      </c>
      <c r="BK50" s="123" t="n">
        <f aca="false">MIN($V$5,BJ50)</f>
        <v>4.42296850251775</v>
      </c>
      <c r="BL50" s="112"/>
      <c r="BM50" s="112" t="n">
        <f aca="false">BM49+BM$7/100</f>
        <v>0.84</v>
      </c>
      <c r="BN50" s="122" t="n">
        <f aca="false">BM50+IF($I$3="Forward", $D$9, $G$9)</f>
        <v>0.84</v>
      </c>
      <c r="BO50" s="112" t="n">
        <f aca="false">BM50*TAN(RADIANS(BQ$7))-(IF($B$4, 9.807, 32.174)*BM50^2)/(2*BP$7^2*COS(RADIANS(BQ$7))^2)+$D$7</f>
        <v>4.42296850251775</v>
      </c>
      <c r="BP50" s="123" t="n">
        <f aca="false">MIN($V$5,BO50)</f>
        <v>4.42296850251775</v>
      </c>
      <c r="BQ50" s="112"/>
      <c r="BR50" s="112" t="n">
        <f aca="false">BR49+BR$7/100</f>
        <v>0.84</v>
      </c>
      <c r="BS50" s="112" t="n">
        <f aca="false">BR50</f>
        <v>0.84</v>
      </c>
      <c r="BT50" s="112" t="n">
        <f aca="false">BR50*TAN(RADIANS(BV$7))-(IF($B$4, 9.807, 32.174)*BR50^2)/(2*BU$7^2*COS(RADIANS(BV$7))^2)+$D$7</f>
        <v>4.42296850251775</v>
      </c>
      <c r="BU50" s="123" t="n">
        <f aca="false">MIN($V$5,BT50)</f>
        <v>4.42296850251775</v>
      </c>
      <c r="BV50" s="112"/>
      <c r="BW50" s="112" t="n">
        <f aca="false">BW49+BW$7/100</f>
        <v>0.84</v>
      </c>
      <c r="BX50" s="122" t="n">
        <f aca="false">BW50-IF($I$3="Forward", $D$9, $G$9)</f>
        <v>0.84</v>
      </c>
      <c r="BY50" s="112" t="n">
        <f aca="false">BW50*TAN(RADIANS(CA$7))-(IF($B$4, 9.807, 32.174)*BW50^2)/(2*BZ$7^2*COS(RADIANS(CA$7))^2)+$D$7</f>
        <v>4.42296850251775</v>
      </c>
      <c r="BZ50" s="123" t="n">
        <f aca="false">MIN($V$5,BY50)</f>
        <v>4.42296850251775</v>
      </c>
      <c r="CA50" s="112"/>
      <c r="CB50" s="112" t="n">
        <f aca="false">CB49+CB$7/100</f>
        <v>0.84</v>
      </c>
      <c r="CC50" s="122" t="n">
        <f aca="false">CB50+IF($I$3="Forward", $D$9, $G$9)</f>
        <v>0.84</v>
      </c>
      <c r="CD50" s="112" t="n">
        <f aca="false">CB50*TAN(RADIANS(CF$7))-(IF($B$4, 9.807, 32.174)*CB50^2)/(2*CE$7^2*COS(RADIANS(CF$7))^2)+$D$7</f>
        <v>4.42296850251775</v>
      </c>
      <c r="CE50" s="123" t="n">
        <f aca="false">MIN($V$5,CD50)</f>
        <v>4.42296850251775</v>
      </c>
      <c r="CF50" s="112"/>
      <c r="CG50" s="124" t="n">
        <f aca="false">CG49+CG$7/100</f>
        <v>0.84</v>
      </c>
      <c r="CH50" s="124" t="n">
        <f aca="false">CG50</f>
        <v>0.84</v>
      </c>
      <c r="CI50" s="124" t="n">
        <f aca="false">CG50*TAN(RADIANS(CK$7))-(IF($B$4, 9.807, 32.174)*CG50^2)/(2*CJ$7^2*COS(RADIANS(CK$7))^2)+$D$7</f>
        <v>4.42296850251775</v>
      </c>
      <c r="CJ50" s="123" t="n">
        <f aca="false">MIN($V$5,CI50)</f>
        <v>4.42296850251775</v>
      </c>
      <c r="CK50" s="124"/>
      <c r="CL50" s="112" t="n">
        <f aca="false">CL49+CL$7/100</f>
        <v>0.84</v>
      </c>
      <c r="CM50" s="122" t="n">
        <f aca="false">CL50-IF($I$3="Forward", $D$9, $G$9)</f>
        <v>0.84</v>
      </c>
      <c r="CN50" s="112" t="n">
        <f aca="false">CL50*TAN(RADIANS(CP$7))-(IF($B$4, 9.807, 32.174)*CL50^2)/(2*CO$7^2*COS(RADIANS(CP$7))^2)+$D$7</f>
        <v>4.42296850251775</v>
      </c>
      <c r="CO50" s="123" t="n">
        <f aca="false">MIN($V$5,CN50)</f>
        <v>4.42296850251775</v>
      </c>
      <c r="CP50" s="112"/>
      <c r="CQ50" s="112" t="n">
        <f aca="false">CQ49+CQ$7/100</f>
        <v>0.84</v>
      </c>
      <c r="CR50" s="122" t="n">
        <f aca="false">CQ50+IF($I$3="Forward", $D$9, $G$9)</f>
        <v>0.84</v>
      </c>
      <c r="CS50" s="112" t="n">
        <f aca="false">CQ50*TAN(RADIANS(CU$7))-(IF($B$4, 9.807, 32.174)*CQ50^2)/(2*CT$7^2*COS(RADIANS(CU$7))^2)+$D$7</f>
        <v>4.42296850251775</v>
      </c>
      <c r="CT50" s="123" t="n">
        <f aca="false">MIN($V$5,CS50)</f>
        <v>4.42296850251775</v>
      </c>
      <c r="CU50" s="112"/>
      <c r="CV50" s="112" t="n">
        <f aca="false">CV49+CV$7/100</f>
        <v>0.84</v>
      </c>
      <c r="CW50" s="112" t="n">
        <f aca="false">CV50</f>
        <v>0.84</v>
      </c>
      <c r="CX50" s="112" t="n">
        <f aca="false">CV50*TAN(RADIANS(CZ$7))-(IF($B$4, 9.807, 32.174)*CV50^2)/(2*CY$7^2*COS(RADIANS(CZ$7))^2)+$D$7</f>
        <v>4.42296850251775</v>
      </c>
      <c r="CY50" s="123" t="n">
        <f aca="false">MIN($V$5,CX50)</f>
        <v>4.42296850251775</v>
      </c>
      <c r="CZ50" s="112"/>
      <c r="DA50" s="112" t="n">
        <f aca="false">DA49+DA$7/100</f>
        <v>0.84</v>
      </c>
      <c r="DB50" s="122" t="n">
        <f aca="false">DA50-IF($I$3="Forward", $D$9, $G$9)</f>
        <v>0.84</v>
      </c>
      <c r="DC50" s="112" t="n">
        <f aca="false">DA50*TAN(RADIANS(DE$7))-(IF($B$4, 9.807, 32.174)*DA50^2)/(2*DD$7^2*COS(RADIANS(DE$7))^2)+$D$7</f>
        <v>4.42296850251775</v>
      </c>
      <c r="DD50" s="123" t="n">
        <f aca="false">MIN($V$5,DC50)</f>
        <v>4.42296850251775</v>
      </c>
      <c r="DE50" s="112"/>
      <c r="DF50" s="112" t="n">
        <f aca="false">DF49+DF$7/100</f>
        <v>0.84</v>
      </c>
      <c r="DG50" s="122" t="n">
        <f aca="false">DF50+IF($I$3="Forward", $D$9, $G$9)</f>
        <v>0.84</v>
      </c>
      <c r="DH50" s="112" t="n">
        <f aca="false">DF50*TAN(RADIANS(DJ$7))-(IF($B$4, 9.807, 32.174)*DF50^2)/(2*DI$7^2*COS(RADIANS(DJ$7))^2)+$D$7</f>
        <v>4.42296850251775</v>
      </c>
      <c r="DI50" s="123" t="n">
        <f aca="false">MIN($V$5,DH50)</f>
        <v>4.42296850251775</v>
      </c>
      <c r="DJ50" s="112"/>
      <c r="DK50" s="112" t="n">
        <f aca="false">DK49+DK$7/100</f>
        <v>0.84</v>
      </c>
      <c r="DL50" s="112" t="n">
        <f aca="false">DK50</f>
        <v>0.84</v>
      </c>
      <c r="DM50" s="112" t="n">
        <f aca="false">DK50*TAN(RADIANS(DO$7))-(IF($B$4, 9.807, 32.174)*DK50^2)/(2*DN$7^2*COS(RADIANS(DO$7))^2)+$D$7</f>
        <v>4.42296850251775</v>
      </c>
      <c r="DN50" s="123" t="n">
        <f aca="false">MIN($V$5,DM50)</f>
        <v>4.42296850251775</v>
      </c>
      <c r="DO50" s="112"/>
      <c r="DP50" s="112" t="n">
        <f aca="false">DP49+DP$7/100</f>
        <v>0.84</v>
      </c>
      <c r="DQ50" s="122" t="n">
        <f aca="false">DP50-IF($I$3="Forward", $D$9, $G$9)</f>
        <v>0.84</v>
      </c>
      <c r="DR50" s="112" t="n">
        <f aca="false">DP50*TAN(RADIANS(DT$7))-(IF($B$4, 9.807, 32.174)*DP50^2)/(2*DS$7^2*COS(RADIANS(DT$7))^2)+$D$7</f>
        <v>4.42296850251775</v>
      </c>
      <c r="DS50" s="123" t="n">
        <f aca="false">MIN($V$5,DR50)</f>
        <v>4.42296850251775</v>
      </c>
      <c r="DT50" s="112"/>
      <c r="DU50" s="112" t="n">
        <f aca="false">DU49+DU$7/100</f>
        <v>0.84</v>
      </c>
      <c r="DV50" s="122" t="n">
        <f aca="false">DU50+IF($I$3="Forward", $D$9, $G$9)</f>
        <v>0.84</v>
      </c>
      <c r="DW50" s="112" t="n">
        <f aca="false">DU50*TAN(RADIANS(DY$7))-(IF($B$4, 9.807, 32.174)*DU50^2)/(2*DX$7^2*COS(RADIANS(DY$7))^2)+$D$7</f>
        <v>4.42296850251775</v>
      </c>
      <c r="DX50" s="123" t="n">
        <f aca="false">MIN($V$5,DW50)</f>
        <v>4.42296850251775</v>
      </c>
      <c r="DY50" s="112"/>
      <c r="DZ50" s="112" t="n">
        <f aca="false">DZ49+DZ$7/100</f>
        <v>0.84</v>
      </c>
      <c r="EA50" s="112" t="n">
        <f aca="false">DZ50</f>
        <v>0.84</v>
      </c>
      <c r="EB50" s="112" t="n">
        <f aca="false">DZ50*TAN(RADIANS(ED$7))-(IF($B$4, 9.807, 32.174)*DZ50^2)/(2*EC$7^2*COS(RADIANS(ED$7))^2)+$D$7</f>
        <v>4.42296850251775</v>
      </c>
      <c r="EC50" s="123" t="n">
        <f aca="false">MIN($V$5,EB50)</f>
        <v>4.42296850251775</v>
      </c>
      <c r="ED50" s="112"/>
      <c r="EE50" s="112" t="n">
        <f aca="false">EE49+EE$7/100</f>
        <v>0.84</v>
      </c>
      <c r="EF50" s="122" t="n">
        <f aca="false">EE50-IF($I$3="Forward", $D$9, $G$9)</f>
        <v>0.84</v>
      </c>
      <c r="EG50" s="112" t="n">
        <f aca="false">EE50*TAN(RADIANS(EI$7))-(IF($B$4, 9.807, 32.174)*EE50^2)/(2*EH$7^2*COS(RADIANS(EI$7))^2)+$D$7</f>
        <v>4.42296850251775</v>
      </c>
      <c r="EH50" s="123" t="n">
        <f aca="false">MIN($V$5,EG50)</f>
        <v>4.42296850251775</v>
      </c>
      <c r="EI50" s="112"/>
      <c r="EJ50" s="112" t="n">
        <f aca="false">EJ49+EJ$7/100</f>
        <v>0.84</v>
      </c>
      <c r="EK50" s="122" t="n">
        <f aca="false">EJ50+IF($I$3="Forward", $D$9, $G$9)</f>
        <v>0.84</v>
      </c>
      <c r="EL50" s="112" t="n">
        <f aca="false">EJ50*TAN(RADIANS(EN$7))-(IF($B$4, 9.807, 32.174)*EJ50^2)/(2*EM$7^2*COS(RADIANS(EN$7))^2)+$D$7</f>
        <v>4.42296850251775</v>
      </c>
      <c r="EM50" s="123" t="n">
        <f aca="false">MIN($V$5,EL50)</f>
        <v>4.42296850251775</v>
      </c>
      <c r="EN50" s="112"/>
      <c r="EO50" s="112" t="n">
        <f aca="false">EO49+EO$7/100</f>
        <v>0.84</v>
      </c>
      <c r="EP50" s="112" t="n">
        <f aca="false">EO50</f>
        <v>0.84</v>
      </c>
      <c r="EQ50" s="112" t="n">
        <f aca="false">EO50*TAN(RADIANS(ES$7))-(IF($B$4, 9.807, 32.174)*EO50^2)/(2*ER$7^2*COS(RADIANS(ES$7))^2)+$D$7</f>
        <v>4.42296850251775</v>
      </c>
      <c r="ER50" s="123" t="n">
        <f aca="false">MIN($V$5,EQ50)</f>
        <v>4.42296850251775</v>
      </c>
      <c r="ES50" s="112"/>
      <c r="ET50" s="112" t="n">
        <f aca="false">ET49+ET$7/100</f>
        <v>0.84</v>
      </c>
      <c r="EU50" s="122" t="n">
        <f aca="false">ET50-IF($I$3="Forward", $D$9, $G$9)</f>
        <v>0.84</v>
      </c>
      <c r="EV50" s="112" t="n">
        <f aca="false">ET50*TAN(RADIANS(EX$7))-(IF($B$4, 9.807, 32.174)*ET50^2)/(2*EW$7^2*COS(RADIANS(EX$7))^2)+$D$7</f>
        <v>4.42296850251775</v>
      </c>
      <c r="EW50" s="123" t="n">
        <f aca="false">MIN($V$5,EV50)</f>
        <v>4.42296850251775</v>
      </c>
      <c r="EX50" s="112"/>
    </row>
    <row r="51" s="131" customFormat="true" ht="15" hidden="false" customHeight="false" outlineLevel="0" collapsed="false">
      <c r="T51" s="112" t="n">
        <f aca="false">T50+T$7/100</f>
        <v>0.86</v>
      </c>
      <c r="U51" s="122" t="n">
        <f aca="false">T51+IF($I$3="Forward", $D$9, $G$9)</f>
        <v>0.86</v>
      </c>
      <c r="V51" s="112" t="n">
        <f aca="false">T51*TAN(RADIANS(X$7))-(IF($B$4, 9.807, 32.174)*T51^2)/(2*W$7^2*COS(RADIANS(X$7))^2)+$D$7</f>
        <v>4.4652823479766</v>
      </c>
      <c r="W51" s="123" t="n">
        <f aca="false">MIN($V$5,V51)</f>
        <v>4.4652823479766</v>
      </c>
      <c r="X51" s="112"/>
      <c r="Y51" s="112" t="n">
        <f aca="false">Y50+Y$7/100</f>
        <v>0.86</v>
      </c>
      <c r="Z51" s="112" t="n">
        <f aca="false">Y51</f>
        <v>0.86</v>
      </c>
      <c r="AA51" s="112" t="n">
        <f aca="false">Y51*TAN(RADIANS(AC$7))-(IF($B$4, 9.807, 32.174)*Y51^2)/(2*AB$7^2*COS(RADIANS(AC$7))^2)+$D$7</f>
        <v>4.4652823479766</v>
      </c>
      <c r="AB51" s="123" t="n">
        <f aca="false">MIN($V$5,AA51)</f>
        <v>4.4652823479766</v>
      </c>
      <c r="AC51" s="112"/>
      <c r="AD51" s="112" t="n">
        <f aca="false">AD50+AD$7/100</f>
        <v>0.86</v>
      </c>
      <c r="AE51" s="122" t="n">
        <f aca="false">AD51-IF($I$3="Forward", $D$9, $G$9)</f>
        <v>0.86</v>
      </c>
      <c r="AF51" s="112" t="n">
        <f aca="false">AD51*TAN(RADIANS(AH$7))-(IF($B$4, 9.807, 32.174)*AD51^2)/(2*AG$7^2*COS(RADIANS(AH$7))^2)+$D$7</f>
        <v>4.4652823479766</v>
      </c>
      <c r="AG51" s="123" t="n">
        <f aca="false">MIN($V$5,AF51)</f>
        <v>4.4652823479766</v>
      </c>
      <c r="AH51" s="112"/>
      <c r="AI51" s="112" t="n">
        <f aca="false">AI50+AI$7/100</f>
        <v>0.86</v>
      </c>
      <c r="AJ51" s="122" t="n">
        <f aca="false">AI51+IF($I$3="Forward", $D$9, $G$9)</f>
        <v>0.86</v>
      </c>
      <c r="AK51" s="112" t="n">
        <f aca="false">AI51*TAN(RADIANS(AM$7))-(IF($B$4, 9.807, 32.174)*AI51^2)/(2*AL$7^2*COS(RADIANS(AM$7))^2)+$D$7</f>
        <v>4.4652823479766</v>
      </c>
      <c r="AL51" s="123" t="n">
        <f aca="false">MIN($V$5,AK51)</f>
        <v>4.4652823479766</v>
      </c>
      <c r="AM51" s="112"/>
      <c r="AN51" s="112" t="n">
        <f aca="false">AN50+AN$7/100</f>
        <v>0.86</v>
      </c>
      <c r="AO51" s="112" t="n">
        <f aca="false">AN51</f>
        <v>0.86</v>
      </c>
      <c r="AP51" s="112" t="n">
        <f aca="false">AN51*TAN(RADIANS(AR$7))-(IF($B$4, 9.807, 32.174)*AN51^2)/(2*AQ$7^2*COS(RADIANS(AR$7))^2)+$D$7</f>
        <v>4.4652823479766</v>
      </c>
      <c r="AQ51" s="123" t="n">
        <f aca="false">MIN($V$5,AP51)</f>
        <v>4.4652823479766</v>
      </c>
      <c r="AR51" s="112"/>
      <c r="AS51" s="112" t="n">
        <f aca="false">AS50+AS$7/100</f>
        <v>0.86</v>
      </c>
      <c r="AT51" s="122" t="n">
        <f aca="false">AS51-IF($I$3="Forward", $D$9, $G$9)</f>
        <v>0.86</v>
      </c>
      <c r="AU51" s="112" t="n">
        <f aca="false">AS51*TAN(RADIANS(AW$7))-(IF($B$4, 9.807, 32.174)*AS51^2)/(2*AV$7^2*COS(RADIANS(AW$7))^2)+$D$7</f>
        <v>4.4652823479766</v>
      </c>
      <c r="AV51" s="123" t="n">
        <f aca="false">MIN($V$5,AU51)</f>
        <v>4.4652823479766</v>
      </c>
      <c r="AW51" s="112"/>
      <c r="AX51" s="112" t="n">
        <f aca="false">AX50+AX$7/100</f>
        <v>0.86</v>
      </c>
      <c r="AY51" s="122" t="n">
        <f aca="false">AX51+IF($I$3="Forward", $D$9, $G$9)</f>
        <v>0.86</v>
      </c>
      <c r="AZ51" s="112" t="n">
        <f aca="false">AX51*TAN(RADIANS(BB$7))-(IF($B$4, 9.807, 32.174)*AX51^2)/(2*BA$7^2*COS(RADIANS(BB$7))^2)+$D$7</f>
        <v>4.4652823479766</v>
      </c>
      <c r="BA51" s="123" t="n">
        <f aca="false">MIN($V$5,AZ51)</f>
        <v>4.4652823479766</v>
      </c>
      <c r="BB51" s="112"/>
      <c r="BC51" s="112" t="n">
        <f aca="false">BC50+BC$7/100</f>
        <v>0.86</v>
      </c>
      <c r="BD51" s="112" t="n">
        <f aca="false">BC51</f>
        <v>0.86</v>
      </c>
      <c r="BE51" s="112" t="n">
        <f aca="false">BC51*TAN(RADIANS(BG$7))-(IF($B$4, 9.807, 32.174)*BC51^2)/(2*BF$7^2*COS(RADIANS(BG$7))^2)+$D$7</f>
        <v>4.4652823479766</v>
      </c>
      <c r="BF51" s="123" t="n">
        <f aca="false">MIN($V$5,BE51)</f>
        <v>4.4652823479766</v>
      </c>
      <c r="BG51" s="112"/>
      <c r="BH51" s="112" t="n">
        <f aca="false">BH50+BH$7/100</f>
        <v>0.86</v>
      </c>
      <c r="BI51" s="122" t="n">
        <f aca="false">BH51-IF($I$3="Forward", $D$9, $G$9)</f>
        <v>0.86</v>
      </c>
      <c r="BJ51" s="112" t="n">
        <f aca="false">BH51*TAN(RADIANS(BL$7))-(IF($B$4, 9.807, 32.174)*BH51^2)/(2*BK$7^2*COS(RADIANS(BL$7))^2)+$D$7</f>
        <v>4.4652823479766</v>
      </c>
      <c r="BK51" s="123" t="n">
        <f aca="false">MIN($V$5,BJ51)</f>
        <v>4.4652823479766</v>
      </c>
      <c r="BL51" s="112"/>
      <c r="BM51" s="112" t="n">
        <f aca="false">BM50+BM$7/100</f>
        <v>0.86</v>
      </c>
      <c r="BN51" s="122" t="n">
        <f aca="false">BM51+IF($I$3="Forward", $D$9, $G$9)</f>
        <v>0.86</v>
      </c>
      <c r="BO51" s="112" t="n">
        <f aca="false">BM51*TAN(RADIANS(BQ$7))-(IF($B$4, 9.807, 32.174)*BM51^2)/(2*BP$7^2*COS(RADIANS(BQ$7))^2)+$D$7</f>
        <v>4.4652823479766</v>
      </c>
      <c r="BP51" s="123" t="n">
        <f aca="false">MIN($V$5,BO51)</f>
        <v>4.4652823479766</v>
      </c>
      <c r="BQ51" s="112"/>
      <c r="BR51" s="112" t="n">
        <f aca="false">BR50+BR$7/100</f>
        <v>0.86</v>
      </c>
      <c r="BS51" s="112" t="n">
        <f aca="false">BR51</f>
        <v>0.86</v>
      </c>
      <c r="BT51" s="112" t="n">
        <f aca="false">BR51*TAN(RADIANS(BV$7))-(IF($B$4, 9.807, 32.174)*BR51^2)/(2*BU$7^2*COS(RADIANS(BV$7))^2)+$D$7</f>
        <v>4.4652823479766</v>
      </c>
      <c r="BU51" s="123" t="n">
        <f aca="false">MIN($V$5,BT51)</f>
        <v>4.4652823479766</v>
      </c>
      <c r="BV51" s="112"/>
      <c r="BW51" s="112" t="n">
        <f aca="false">BW50+BW$7/100</f>
        <v>0.86</v>
      </c>
      <c r="BX51" s="122" t="n">
        <f aca="false">BW51-IF($I$3="Forward", $D$9, $G$9)</f>
        <v>0.86</v>
      </c>
      <c r="BY51" s="112" t="n">
        <f aca="false">BW51*TAN(RADIANS(CA$7))-(IF($B$4, 9.807, 32.174)*BW51^2)/(2*BZ$7^2*COS(RADIANS(CA$7))^2)+$D$7</f>
        <v>4.4652823479766</v>
      </c>
      <c r="BZ51" s="123" t="n">
        <f aca="false">MIN($V$5,BY51)</f>
        <v>4.4652823479766</v>
      </c>
      <c r="CA51" s="112"/>
      <c r="CB51" s="112" t="n">
        <f aca="false">CB50+CB$7/100</f>
        <v>0.86</v>
      </c>
      <c r="CC51" s="122" t="n">
        <f aca="false">CB51+IF($I$3="Forward", $D$9, $G$9)</f>
        <v>0.86</v>
      </c>
      <c r="CD51" s="112" t="n">
        <f aca="false">CB51*TAN(RADIANS(CF$7))-(IF($B$4, 9.807, 32.174)*CB51^2)/(2*CE$7^2*COS(RADIANS(CF$7))^2)+$D$7</f>
        <v>4.4652823479766</v>
      </c>
      <c r="CE51" s="123" t="n">
        <f aca="false">MIN($V$5,CD51)</f>
        <v>4.4652823479766</v>
      </c>
      <c r="CF51" s="112"/>
      <c r="CG51" s="124" t="n">
        <f aca="false">CG50+CG$7/100</f>
        <v>0.86</v>
      </c>
      <c r="CH51" s="124" t="n">
        <f aca="false">CG51</f>
        <v>0.86</v>
      </c>
      <c r="CI51" s="124" t="n">
        <f aca="false">CG51*TAN(RADIANS(CK$7))-(IF($B$4, 9.807, 32.174)*CG51^2)/(2*CJ$7^2*COS(RADIANS(CK$7))^2)+$D$7</f>
        <v>4.4652823479766</v>
      </c>
      <c r="CJ51" s="123" t="n">
        <f aca="false">MIN($V$5,CI51)</f>
        <v>4.4652823479766</v>
      </c>
      <c r="CK51" s="124"/>
      <c r="CL51" s="112" t="n">
        <f aca="false">CL50+CL$7/100</f>
        <v>0.86</v>
      </c>
      <c r="CM51" s="122" t="n">
        <f aca="false">CL51-IF($I$3="Forward", $D$9, $G$9)</f>
        <v>0.86</v>
      </c>
      <c r="CN51" s="112" t="n">
        <f aca="false">CL51*TAN(RADIANS(CP$7))-(IF($B$4, 9.807, 32.174)*CL51^2)/(2*CO$7^2*COS(RADIANS(CP$7))^2)+$D$7</f>
        <v>4.4652823479766</v>
      </c>
      <c r="CO51" s="123" t="n">
        <f aca="false">MIN($V$5,CN51)</f>
        <v>4.4652823479766</v>
      </c>
      <c r="CP51" s="112"/>
      <c r="CQ51" s="112" t="n">
        <f aca="false">CQ50+CQ$7/100</f>
        <v>0.86</v>
      </c>
      <c r="CR51" s="122" t="n">
        <f aca="false">CQ51+IF($I$3="Forward", $D$9, $G$9)</f>
        <v>0.86</v>
      </c>
      <c r="CS51" s="112" t="n">
        <f aca="false">CQ51*TAN(RADIANS(CU$7))-(IF($B$4, 9.807, 32.174)*CQ51^2)/(2*CT$7^2*COS(RADIANS(CU$7))^2)+$D$7</f>
        <v>4.4652823479766</v>
      </c>
      <c r="CT51" s="123" t="n">
        <f aca="false">MIN($V$5,CS51)</f>
        <v>4.4652823479766</v>
      </c>
      <c r="CU51" s="112"/>
      <c r="CV51" s="112" t="n">
        <f aca="false">CV50+CV$7/100</f>
        <v>0.86</v>
      </c>
      <c r="CW51" s="112" t="n">
        <f aca="false">CV51</f>
        <v>0.86</v>
      </c>
      <c r="CX51" s="112" t="n">
        <f aca="false">CV51*TAN(RADIANS(CZ$7))-(IF($B$4, 9.807, 32.174)*CV51^2)/(2*CY$7^2*COS(RADIANS(CZ$7))^2)+$D$7</f>
        <v>4.4652823479766</v>
      </c>
      <c r="CY51" s="123" t="n">
        <f aca="false">MIN($V$5,CX51)</f>
        <v>4.4652823479766</v>
      </c>
      <c r="CZ51" s="112"/>
      <c r="DA51" s="112" t="n">
        <f aca="false">DA50+DA$7/100</f>
        <v>0.86</v>
      </c>
      <c r="DB51" s="122" t="n">
        <f aca="false">DA51-IF($I$3="Forward", $D$9, $G$9)</f>
        <v>0.86</v>
      </c>
      <c r="DC51" s="112" t="n">
        <f aca="false">DA51*TAN(RADIANS(DE$7))-(IF($B$4, 9.807, 32.174)*DA51^2)/(2*DD$7^2*COS(RADIANS(DE$7))^2)+$D$7</f>
        <v>4.4652823479766</v>
      </c>
      <c r="DD51" s="123" t="n">
        <f aca="false">MIN($V$5,DC51)</f>
        <v>4.4652823479766</v>
      </c>
      <c r="DE51" s="112"/>
      <c r="DF51" s="112" t="n">
        <f aca="false">DF50+DF$7/100</f>
        <v>0.86</v>
      </c>
      <c r="DG51" s="122" t="n">
        <f aca="false">DF51+IF($I$3="Forward", $D$9, $G$9)</f>
        <v>0.86</v>
      </c>
      <c r="DH51" s="112" t="n">
        <f aca="false">DF51*TAN(RADIANS(DJ$7))-(IF($B$4, 9.807, 32.174)*DF51^2)/(2*DI$7^2*COS(RADIANS(DJ$7))^2)+$D$7</f>
        <v>4.4652823479766</v>
      </c>
      <c r="DI51" s="123" t="n">
        <f aca="false">MIN($V$5,DH51)</f>
        <v>4.4652823479766</v>
      </c>
      <c r="DJ51" s="112"/>
      <c r="DK51" s="112" t="n">
        <f aca="false">DK50+DK$7/100</f>
        <v>0.86</v>
      </c>
      <c r="DL51" s="112" t="n">
        <f aca="false">DK51</f>
        <v>0.86</v>
      </c>
      <c r="DM51" s="112" t="n">
        <f aca="false">DK51*TAN(RADIANS(DO$7))-(IF($B$4, 9.807, 32.174)*DK51^2)/(2*DN$7^2*COS(RADIANS(DO$7))^2)+$D$7</f>
        <v>4.4652823479766</v>
      </c>
      <c r="DN51" s="123" t="n">
        <f aca="false">MIN($V$5,DM51)</f>
        <v>4.4652823479766</v>
      </c>
      <c r="DO51" s="112"/>
      <c r="DP51" s="112" t="n">
        <f aca="false">DP50+DP$7/100</f>
        <v>0.86</v>
      </c>
      <c r="DQ51" s="122" t="n">
        <f aca="false">DP51-IF($I$3="Forward", $D$9, $G$9)</f>
        <v>0.86</v>
      </c>
      <c r="DR51" s="112" t="n">
        <f aca="false">DP51*TAN(RADIANS(DT$7))-(IF($B$4, 9.807, 32.174)*DP51^2)/(2*DS$7^2*COS(RADIANS(DT$7))^2)+$D$7</f>
        <v>4.4652823479766</v>
      </c>
      <c r="DS51" s="123" t="n">
        <f aca="false">MIN($V$5,DR51)</f>
        <v>4.4652823479766</v>
      </c>
      <c r="DT51" s="112"/>
      <c r="DU51" s="112" t="n">
        <f aca="false">DU50+DU$7/100</f>
        <v>0.86</v>
      </c>
      <c r="DV51" s="122" t="n">
        <f aca="false">DU51+IF($I$3="Forward", $D$9, $G$9)</f>
        <v>0.86</v>
      </c>
      <c r="DW51" s="112" t="n">
        <f aca="false">DU51*TAN(RADIANS(DY$7))-(IF($B$4, 9.807, 32.174)*DU51^2)/(2*DX$7^2*COS(RADIANS(DY$7))^2)+$D$7</f>
        <v>4.4652823479766</v>
      </c>
      <c r="DX51" s="123" t="n">
        <f aca="false">MIN($V$5,DW51)</f>
        <v>4.4652823479766</v>
      </c>
      <c r="DY51" s="112"/>
      <c r="DZ51" s="112" t="n">
        <f aca="false">DZ50+DZ$7/100</f>
        <v>0.86</v>
      </c>
      <c r="EA51" s="112" t="n">
        <f aca="false">DZ51</f>
        <v>0.86</v>
      </c>
      <c r="EB51" s="112" t="n">
        <f aca="false">DZ51*TAN(RADIANS(ED$7))-(IF($B$4, 9.807, 32.174)*DZ51^2)/(2*EC$7^2*COS(RADIANS(ED$7))^2)+$D$7</f>
        <v>4.4652823479766</v>
      </c>
      <c r="EC51" s="123" t="n">
        <f aca="false">MIN($V$5,EB51)</f>
        <v>4.4652823479766</v>
      </c>
      <c r="ED51" s="112"/>
      <c r="EE51" s="112" t="n">
        <f aca="false">EE50+EE$7/100</f>
        <v>0.86</v>
      </c>
      <c r="EF51" s="122" t="n">
        <f aca="false">EE51-IF($I$3="Forward", $D$9, $G$9)</f>
        <v>0.86</v>
      </c>
      <c r="EG51" s="112" t="n">
        <f aca="false">EE51*TAN(RADIANS(EI$7))-(IF($B$4, 9.807, 32.174)*EE51^2)/(2*EH$7^2*COS(RADIANS(EI$7))^2)+$D$7</f>
        <v>4.4652823479766</v>
      </c>
      <c r="EH51" s="123" t="n">
        <f aca="false">MIN($V$5,EG51)</f>
        <v>4.4652823479766</v>
      </c>
      <c r="EI51" s="112"/>
      <c r="EJ51" s="112" t="n">
        <f aca="false">EJ50+EJ$7/100</f>
        <v>0.86</v>
      </c>
      <c r="EK51" s="122" t="n">
        <f aca="false">EJ51+IF($I$3="Forward", $D$9, $G$9)</f>
        <v>0.86</v>
      </c>
      <c r="EL51" s="112" t="n">
        <f aca="false">EJ51*TAN(RADIANS(EN$7))-(IF($B$4, 9.807, 32.174)*EJ51^2)/(2*EM$7^2*COS(RADIANS(EN$7))^2)+$D$7</f>
        <v>4.4652823479766</v>
      </c>
      <c r="EM51" s="123" t="n">
        <f aca="false">MIN($V$5,EL51)</f>
        <v>4.4652823479766</v>
      </c>
      <c r="EN51" s="112"/>
      <c r="EO51" s="112" t="n">
        <f aca="false">EO50+EO$7/100</f>
        <v>0.86</v>
      </c>
      <c r="EP51" s="112" t="n">
        <f aca="false">EO51</f>
        <v>0.86</v>
      </c>
      <c r="EQ51" s="112" t="n">
        <f aca="false">EO51*TAN(RADIANS(ES$7))-(IF($B$4, 9.807, 32.174)*EO51^2)/(2*ER$7^2*COS(RADIANS(ES$7))^2)+$D$7</f>
        <v>4.4652823479766</v>
      </c>
      <c r="ER51" s="123" t="n">
        <f aca="false">MIN($V$5,EQ51)</f>
        <v>4.4652823479766</v>
      </c>
      <c r="ES51" s="112"/>
      <c r="ET51" s="112" t="n">
        <f aca="false">ET50+ET$7/100</f>
        <v>0.86</v>
      </c>
      <c r="EU51" s="122" t="n">
        <f aca="false">ET51-IF($I$3="Forward", $D$9, $G$9)</f>
        <v>0.86</v>
      </c>
      <c r="EV51" s="112" t="n">
        <f aca="false">ET51*TAN(RADIANS(EX$7))-(IF($B$4, 9.807, 32.174)*ET51^2)/(2*EW$7^2*COS(RADIANS(EX$7))^2)+$D$7</f>
        <v>4.4652823479766</v>
      </c>
      <c r="EW51" s="123" t="n">
        <f aca="false">MIN($V$5,EV51)</f>
        <v>4.4652823479766</v>
      </c>
      <c r="EX51" s="112"/>
    </row>
    <row r="52" s="131" customFormat="true" ht="15" hidden="false" customHeight="false" outlineLevel="0" collapsed="false">
      <c r="T52" s="112" t="n">
        <f aca="false">T51+T$7/100</f>
        <v>0.88</v>
      </c>
      <c r="U52" s="122" t="n">
        <f aca="false">T52+IF($I$3="Forward", $D$9, $G$9)</f>
        <v>0.88</v>
      </c>
      <c r="V52" s="112" t="n">
        <f aca="false">T52*TAN(RADIANS(X$7))-(IF($B$4, 9.807, 32.174)*T52^2)/(2*W$7^2*COS(RADIANS(X$7))^2)+$D$7</f>
        <v>4.50488768070761</v>
      </c>
      <c r="W52" s="123" t="n">
        <f aca="false">MIN($V$5,V52)</f>
        <v>4.50488768070761</v>
      </c>
      <c r="X52" s="112"/>
      <c r="Y52" s="112" t="n">
        <f aca="false">Y51+Y$7/100</f>
        <v>0.88</v>
      </c>
      <c r="Z52" s="112" t="n">
        <f aca="false">Y52</f>
        <v>0.88</v>
      </c>
      <c r="AA52" s="112" t="n">
        <f aca="false">Y52*TAN(RADIANS(AC$7))-(IF($B$4, 9.807, 32.174)*Y52^2)/(2*AB$7^2*COS(RADIANS(AC$7))^2)+$D$7</f>
        <v>4.50488768070761</v>
      </c>
      <c r="AB52" s="123" t="n">
        <f aca="false">MIN($V$5,AA52)</f>
        <v>4.50488768070761</v>
      </c>
      <c r="AC52" s="112"/>
      <c r="AD52" s="112" t="n">
        <f aca="false">AD51+AD$7/100</f>
        <v>0.88</v>
      </c>
      <c r="AE52" s="122" t="n">
        <f aca="false">AD52-IF($I$3="Forward", $D$9, $G$9)</f>
        <v>0.88</v>
      </c>
      <c r="AF52" s="112" t="n">
        <f aca="false">AD52*TAN(RADIANS(AH$7))-(IF($B$4, 9.807, 32.174)*AD52^2)/(2*AG$7^2*COS(RADIANS(AH$7))^2)+$D$7</f>
        <v>4.50488768070761</v>
      </c>
      <c r="AG52" s="123" t="n">
        <f aca="false">MIN($V$5,AF52)</f>
        <v>4.50488768070761</v>
      </c>
      <c r="AH52" s="112"/>
      <c r="AI52" s="112" t="n">
        <f aca="false">AI51+AI$7/100</f>
        <v>0.88</v>
      </c>
      <c r="AJ52" s="122" t="n">
        <f aca="false">AI52+IF($I$3="Forward", $D$9, $G$9)</f>
        <v>0.88</v>
      </c>
      <c r="AK52" s="112" t="n">
        <f aca="false">AI52*TAN(RADIANS(AM$7))-(IF($B$4, 9.807, 32.174)*AI52^2)/(2*AL$7^2*COS(RADIANS(AM$7))^2)+$D$7</f>
        <v>4.50488768070761</v>
      </c>
      <c r="AL52" s="123" t="n">
        <f aca="false">MIN($V$5,AK52)</f>
        <v>4.50488768070761</v>
      </c>
      <c r="AM52" s="112"/>
      <c r="AN52" s="112" t="n">
        <f aca="false">AN51+AN$7/100</f>
        <v>0.88</v>
      </c>
      <c r="AO52" s="112" t="n">
        <f aca="false">AN52</f>
        <v>0.88</v>
      </c>
      <c r="AP52" s="112" t="n">
        <f aca="false">AN52*TAN(RADIANS(AR$7))-(IF($B$4, 9.807, 32.174)*AN52^2)/(2*AQ$7^2*COS(RADIANS(AR$7))^2)+$D$7</f>
        <v>4.50488768070761</v>
      </c>
      <c r="AQ52" s="123" t="n">
        <f aca="false">MIN($V$5,AP52)</f>
        <v>4.50488768070761</v>
      </c>
      <c r="AR52" s="112"/>
      <c r="AS52" s="112" t="n">
        <f aca="false">AS51+AS$7/100</f>
        <v>0.88</v>
      </c>
      <c r="AT52" s="122" t="n">
        <f aca="false">AS52-IF($I$3="Forward", $D$9, $G$9)</f>
        <v>0.88</v>
      </c>
      <c r="AU52" s="112" t="n">
        <f aca="false">AS52*TAN(RADIANS(AW$7))-(IF($B$4, 9.807, 32.174)*AS52^2)/(2*AV$7^2*COS(RADIANS(AW$7))^2)+$D$7</f>
        <v>4.50488768070761</v>
      </c>
      <c r="AV52" s="123" t="n">
        <f aca="false">MIN($V$5,AU52)</f>
        <v>4.50488768070761</v>
      </c>
      <c r="AW52" s="112"/>
      <c r="AX52" s="112" t="n">
        <f aca="false">AX51+AX$7/100</f>
        <v>0.88</v>
      </c>
      <c r="AY52" s="122" t="n">
        <f aca="false">AX52+IF($I$3="Forward", $D$9, $G$9)</f>
        <v>0.88</v>
      </c>
      <c r="AZ52" s="112" t="n">
        <f aca="false">AX52*TAN(RADIANS(BB$7))-(IF($B$4, 9.807, 32.174)*AX52^2)/(2*BA$7^2*COS(RADIANS(BB$7))^2)+$D$7</f>
        <v>4.50488768070761</v>
      </c>
      <c r="BA52" s="123" t="n">
        <f aca="false">MIN($V$5,AZ52)</f>
        <v>4.50488768070761</v>
      </c>
      <c r="BB52" s="112"/>
      <c r="BC52" s="112" t="n">
        <f aca="false">BC51+BC$7/100</f>
        <v>0.88</v>
      </c>
      <c r="BD52" s="112" t="n">
        <f aca="false">BC52</f>
        <v>0.88</v>
      </c>
      <c r="BE52" s="112" t="n">
        <f aca="false">BC52*TAN(RADIANS(BG$7))-(IF($B$4, 9.807, 32.174)*BC52^2)/(2*BF$7^2*COS(RADIANS(BG$7))^2)+$D$7</f>
        <v>4.50488768070761</v>
      </c>
      <c r="BF52" s="123" t="n">
        <f aca="false">MIN($V$5,BE52)</f>
        <v>4.50488768070761</v>
      </c>
      <c r="BG52" s="112"/>
      <c r="BH52" s="112" t="n">
        <f aca="false">BH51+BH$7/100</f>
        <v>0.88</v>
      </c>
      <c r="BI52" s="122" t="n">
        <f aca="false">BH52-IF($I$3="Forward", $D$9, $G$9)</f>
        <v>0.88</v>
      </c>
      <c r="BJ52" s="112" t="n">
        <f aca="false">BH52*TAN(RADIANS(BL$7))-(IF($B$4, 9.807, 32.174)*BH52^2)/(2*BK$7^2*COS(RADIANS(BL$7))^2)+$D$7</f>
        <v>4.50488768070761</v>
      </c>
      <c r="BK52" s="123" t="n">
        <f aca="false">MIN($V$5,BJ52)</f>
        <v>4.50488768070761</v>
      </c>
      <c r="BL52" s="112"/>
      <c r="BM52" s="112" t="n">
        <f aca="false">BM51+BM$7/100</f>
        <v>0.88</v>
      </c>
      <c r="BN52" s="122" t="n">
        <f aca="false">BM52+IF($I$3="Forward", $D$9, $G$9)</f>
        <v>0.88</v>
      </c>
      <c r="BO52" s="112" t="n">
        <f aca="false">BM52*TAN(RADIANS(BQ$7))-(IF($B$4, 9.807, 32.174)*BM52^2)/(2*BP$7^2*COS(RADIANS(BQ$7))^2)+$D$7</f>
        <v>4.50488768070761</v>
      </c>
      <c r="BP52" s="123" t="n">
        <f aca="false">MIN($V$5,BO52)</f>
        <v>4.50488768070761</v>
      </c>
      <c r="BQ52" s="112"/>
      <c r="BR52" s="112" t="n">
        <f aca="false">BR51+BR$7/100</f>
        <v>0.88</v>
      </c>
      <c r="BS52" s="112" t="n">
        <f aca="false">BR52</f>
        <v>0.88</v>
      </c>
      <c r="BT52" s="112" t="n">
        <f aca="false">BR52*TAN(RADIANS(BV$7))-(IF($B$4, 9.807, 32.174)*BR52^2)/(2*BU$7^2*COS(RADIANS(BV$7))^2)+$D$7</f>
        <v>4.50488768070761</v>
      </c>
      <c r="BU52" s="123" t="n">
        <f aca="false">MIN($V$5,BT52)</f>
        <v>4.50488768070761</v>
      </c>
      <c r="BV52" s="112"/>
      <c r="BW52" s="112" t="n">
        <f aca="false">BW51+BW$7/100</f>
        <v>0.88</v>
      </c>
      <c r="BX52" s="122" t="n">
        <f aca="false">BW52-IF($I$3="Forward", $D$9, $G$9)</f>
        <v>0.88</v>
      </c>
      <c r="BY52" s="112" t="n">
        <f aca="false">BW52*TAN(RADIANS(CA$7))-(IF($B$4, 9.807, 32.174)*BW52^2)/(2*BZ$7^2*COS(RADIANS(CA$7))^2)+$D$7</f>
        <v>4.50488768070761</v>
      </c>
      <c r="BZ52" s="123" t="n">
        <f aca="false">MIN($V$5,BY52)</f>
        <v>4.50488768070761</v>
      </c>
      <c r="CA52" s="112"/>
      <c r="CB52" s="112" t="n">
        <f aca="false">CB51+CB$7/100</f>
        <v>0.88</v>
      </c>
      <c r="CC52" s="122" t="n">
        <f aca="false">CB52+IF($I$3="Forward", $D$9, $G$9)</f>
        <v>0.88</v>
      </c>
      <c r="CD52" s="112" t="n">
        <f aca="false">CB52*TAN(RADIANS(CF$7))-(IF($B$4, 9.807, 32.174)*CB52^2)/(2*CE$7^2*COS(RADIANS(CF$7))^2)+$D$7</f>
        <v>4.50488768070761</v>
      </c>
      <c r="CE52" s="123" t="n">
        <f aca="false">MIN($V$5,CD52)</f>
        <v>4.50488768070761</v>
      </c>
      <c r="CF52" s="112"/>
      <c r="CG52" s="124" t="n">
        <f aca="false">CG51+CG$7/100</f>
        <v>0.88</v>
      </c>
      <c r="CH52" s="124" t="n">
        <f aca="false">CG52</f>
        <v>0.88</v>
      </c>
      <c r="CI52" s="124" t="n">
        <f aca="false">CG52*TAN(RADIANS(CK$7))-(IF($B$4, 9.807, 32.174)*CG52^2)/(2*CJ$7^2*COS(RADIANS(CK$7))^2)+$D$7</f>
        <v>4.50488768070761</v>
      </c>
      <c r="CJ52" s="123" t="n">
        <f aca="false">MIN($V$5,CI52)</f>
        <v>4.50488768070761</v>
      </c>
      <c r="CK52" s="124"/>
      <c r="CL52" s="112" t="n">
        <f aca="false">CL51+CL$7/100</f>
        <v>0.88</v>
      </c>
      <c r="CM52" s="122" t="n">
        <f aca="false">CL52-IF($I$3="Forward", $D$9, $G$9)</f>
        <v>0.88</v>
      </c>
      <c r="CN52" s="112" t="n">
        <f aca="false">CL52*TAN(RADIANS(CP$7))-(IF($B$4, 9.807, 32.174)*CL52^2)/(2*CO$7^2*COS(RADIANS(CP$7))^2)+$D$7</f>
        <v>4.50488768070761</v>
      </c>
      <c r="CO52" s="123" t="n">
        <f aca="false">MIN($V$5,CN52)</f>
        <v>4.50488768070761</v>
      </c>
      <c r="CP52" s="112"/>
      <c r="CQ52" s="112" t="n">
        <f aca="false">CQ51+CQ$7/100</f>
        <v>0.88</v>
      </c>
      <c r="CR52" s="122" t="n">
        <f aca="false">CQ52+IF($I$3="Forward", $D$9, $G$9)</f>
        <v>0.88</v>
      </c>
      <c r="CS52" s="112" t="n">
        <f aca="false">CQ52*TAN(RADIANS(CU$7))-(IF($B$4, 9.807, 32.174)*CQ52^2)/(2*CT$7^2*COS(RADIANS(CU$7))^2)+$D$7</f>
        <v>4.50488768070761</v>
      </c>
      <c r="CT52" s="123" t="n">
        <f aca="false">MIN($V$5,CS52)</f>
        <v>4.50488768070761</v>
      </c>
      <c r="CU52" s="112"/>
      <c r="CV52" s="112" t="n">
        <f aca="false">CV51+CV$7/100</f>
        <v>0.88</v>
      </c>
      <c r="CW52" s="112" t="n">
        <f aca="false">CV52</f>
        <v>0.88</v>
      </c>
      <c r="CX52" s="112" t="n">
        <f aca="false">CV52*TAN(RADIANS(CZ$7))-(IF($B$4, 9.807, 32.174)*CV52^2)/(2*CY$7^2*COS(RADIANS(CZ$7))^2)+$D$7</f>
        <v>4.50488768070761</v>
      </c>
      <c r="CY52" s="123" t="n">
        <f aca="false">MIN($V$5,CX52)</f>
        <v>4.50488768070761</v>
      </c>
      <c r="CZ52" s="112"/>
      <c r="DA52" s="112" t="n">
        <f aca="false">DA51+DA$7/100</f>
        <v>0.88</v>
      </c>
      <c r="DB52" s="122" t="n">
        <f aca="false">DA52-IF($I$3="Forward", $D$9, $G$9)</f>
        <v>0.88</v>
      </c>
      <c r="DC52" s="112" t="n">
        <f aca="false">DA52*TAN(RADIANS(DE$7))-(IF($B$4, 9.807, 32.174)*DA52^2)/(2*DD$7^2*COS(RADIANS(DE$7))^2)+$D$7</f>
        <v>4.50488768070761</v>
      </c>
      <c r="DD52" s="123" t="n">
        <f aca="false">MIN($V$5,DC52)</f>
        <v>4.50488768070761</v>
      </c>
      <c r="DE52" s="112"/>
      <c r="DF52" s="112" t="n">
        <f aca="false">DF51+DF$7/100</f>
        <v>0.88</v>
      </c>
      <c r="DG52" s="122" t="n">
        <f aca="false">DF52+IF($I$3="Forward", $D$9, $G$9)</f>
        <v>0.88</v>
      </c>
      <c r="DH52" s="112" t="n">
        <f aca="false">DF52*TAN(RADIANS(DJ$7))-(IF($B$4, 9.807, 32.174)*DF52^2)/(2*DI$7^2*COS(RADIANS(DJ$7))^2)+$D$7</f>
        <v>4.50488768070761</v>
      </c>
      <c r="DI52" s="123" t="n">
        <f aca="false">MIN($V$5,DH52)</f>
        <v>4.50488768070761</v>
      </c>
      <c r="DJ52" s="112"/>
      <c r="DK52" s="112" t="n">
        <f aca="false">DK51+DK$7/100</f>
        <v>0.88</v>
      </c>
      <c r="DL52" s="112" t="n">
        <f aca="false">DK52</f>
        <v>0.88</v>
      </c>
      <c r="DM52" s="112" t="n">
        <f aca="false">DK52*TAN(RADIANS(DO$7))-(IF($B$4, 9.807, 32.174)*DK52^2)/(2*DN$7^2*COS(RADIANS(DO$7))^2)+$D$7</f>
        <v>4.50488768070761</v>
      </c>
      <c r="DN52" s="123" t="n">
        <f aca="false">MIN($V$5,DM52)</f>
        <v>4.50488768070761</v>
      </c>
      <c r="DO52" s="112"/>
      <c r="DP52" s="112" t="n">
        <f aca="false">DP51+DP$7/100</f>
        <v>0.88</v>
      </c>
      <c r="DQ52" s="122" t="n">
        <f aca="false">DP52-IF($I$3="Forward", $D$9, $G$9)</f>
        <v>0.88</v>
      </c>
      <c r="DR52" s="112" t="n">
        <f aca="false">DP52*TAN(RADIANS(DT$7))-(IF($B$4, 9.807, 32.174)*DP52^2)/(2*DS$7^2*COS(RADIANS(DT$7))^2)+$D$7</f>
        <v>4.50488768070761</v>
      </c>
      <c r="DS52" s="123" t="n">
        <f aca="false">MIN($V$5,DR52)</f>
        <v>4.50488768070761</v>
      </c>
      <c r="DT52" s="112"/>
      <c r="DU52" s="112" t="n">
        <f aca="false">DU51+DU$7/100</f>
        <v>0.88</v>
      </c>
      <c r="DV52" s="122" t="n">
        <f aca="false">DU52+IF($I$3="Forward", $D$9, $G$9)</f>
        <v>0.88</v>
      </c>
      <c r="DW52" s="112" t="n">
        <f aca="false">DU52*TAN(RADIANS(DY$7))-(IF($B$4, 9.807, 32.174)*DU52^2)/(2*DX$7^2*COS(RADIANS(DY$7))^2)+$D$7</f>
        <v>4.50488768070761</v>
      </c>
      <c r="DX52" s="123" t="n">
        <f aca="false">MIN($V$5,DW52)</f>
        <v>4.50488768070761</v>
      </c>
      <c r="DY52" s="112"/>
      <c r="DZ52" s="112" t="n">
        <f aca="false">DZ51+DZ$7/100</f>
        <v>0.88</v>
      </c>
      <c r="EA52" s="112" t="n">
        <f aca="false">DZ52</f>
        <v>0.88</v>
      </c>
      <c r="EB52" s="112" t="n">
        <f aca="false">DZ52*TAN(RADIANS(ED$7))-(IF($B$4, 9.807, 32.174)*DZ52^2)/(2*EC$7^2*COS(RADIANS(ED$7))^2)+$D$7</f>
        <v>4.50488768070761</v>
      </c>
      <c r="EC52" s="123" t="n">
        <f aca="false">MIN($V$5,EB52)</f>
        <v>4.50488768070761</v>
      </c>
      <c r="ED52" s="112"/>
      <c r="EE52" s="112" t="n">
        <f aca="false">EE51+EE$7/100</f>
        <v>0.88</v>
      </c>
      <c r="EF52" s="122" t="n">
        <f aca="false">EE52-IF($I$3="Forward", $D$9, $G$9)</f>
        <v>0.88</v>
      </c>
      <c r="EG52" s="112" t="n">
        <f aca="false">EE52*TAN(RADIANS(EI$7))-(IF($B$4, 9.807, 32.174)*EE52^2)/(2*EH$7^2*COS(RADIANS(EI$7))^2)+$D$7</f>
        <v>4.50488768070761</v>
      </c>
      <c r="EH52" s="123" t="n">
        <f aca="false">MIN($V$5,EG52)</f>
        <v>4.50488768070761</v>
      </c>
      <c r="EI52" s="112"/>
      <c r="EJ52" s="112" t="n">
        <f aca="false">EJ51+EJ$7/100</f>
        <v>0.88</v>
      </c>
      <c r="EK52" s="122" t="n">
        <f aca="false">EJ52+IF($I$3="Forward", $D$9, $G$9)</f>
        <v>0.88</v>
      </c>
      <c r="EL52" s="112" t="n">
        <f aca="false">EJ52*TAN(RADIANS(EN$7))-(IF($B$4, 9.807, 32.174)*EJ52^2)/(2*EM$7^2*COS(RADIANS(EN$7))^2)+$D$7</f>
        <v>4.50488768070761</v>
      </c>
      <c r="EM52" s="123" t="n">
        <f aca="false">MIN($V$5,EL52)</f>
        <v>4.50488768070761</v>
      </c>
      <c r="EN52" s="112"/>
      <c r="EO52" s="112" t="n">
        <f aca="false">EO51+EO$7/100</f>
        <v>0.88</v>
      </c>
      <c r="EP52" s="112" t="n">
        <f aca="false">EO52</f>
        <v>0.88</v>
      </c>
      <c r="EQ52" s="112" t="n">
        <f aca="false">EO52*TAN(RADIANS(ES$7))-(IF($B$4, 9.807, 32.174)*EO52^2)/(2*ER$7^2*COS(RADIANS(ES$7))^2)+$D$7</f>
        <v>4.50488768070761</v>
      </c>
      <c r="ER52" s="123" t="n">
        <f aca="false">MIN($V$5,EQ52)</f>
        <v>4.50488768070761</v>
      </c>
      <c r="ES52" s="112"/>
      <c r="ET52" s="112" t="n">
        <f aca="false">ET51+ET$7/100</f>
        <v>0.88</v>
      </c>
      <c r="EU52" s="122" t="n">
        <f aca="false">ET52-IF($I$3="Forward", $D$9, $G$9)</f>
        <v>0.88</v>
      </c>
      <c r="EV52" s="112" t="n">
        <f aca="false">ET52*TAN(RADIANS(EX$7))-(IF($B$4, 9.807, 32.174)*ET52^2)/(2*EW$7^2*COS(RADIANS(EX$7))^2)+$D$7</f>
        <v>4.50488768070761</v>
      </c>
      <c r="EW52" s="123" t="n">
        <f aca="false">MIN($V$5,EV52)</f>
        <v>4.50488768070761</v>
      </c>
      <c r="EX52" s="112"/>
    </row>
    <row r="53" s="131" customFormat="true" ht="15" hidden="false" customHeight="false" outlineLevel="0" collapsed="false">
      <c r="T53" s="112" t="n">
        <f aca="false">T52+T$7/100</f>
        <v>0.9</v>
      </c>
      <c r="U53" s="122" t="n">
        <f aca="false">T53+IF($I$3="Forward", $D$9, $G$9)</f>
        <v>0.9</v>
      </c>
      <c r="V53" s="112" t="n">
        <f aca="false">T53*TAN(RADIANS(X$7))-(IF($B$4, 9.807, 32.174)*T53^2)/(2*W$7^2*COS(RADIANS(X$7))^2)+$D$7</f>
        <v>4.54178450071077</v>
      </c>
      <c r="W53" s="123" t="n">
        <f aca="false">MIN($V$5,V53)</f>
        <v>4.54178450071077</v>
      </c>
      <c r="X53" s="112"/>
      <c r="Y53" s="112" t="n">
        <f aca="false">Y52+Y$7/100</f>
        <v>0.9</v>
      </c>
      <c r="Z53" s="112" t="n">
        <f aca="false">Y53</f>
        <v>0.9</v>
      </c>
      <c r="AA53" s="112" t="n">
        <f aca="false">Y53*TAN(RADIANS(AC$7))-(IF($B$4, 9.807, 32.174)*Y53^2)/(2*AB$7^2*COS(RADIANS(AC$7))^2)+$D$7</f>
        <v>4.54178450071077</v>
      </c>
      <c r="AB53" s="123" t="n">
        <f aca="false">MIN($V$5,AA53)</f>
        <v>4.54178450071077</v>
      </c>
      <c r="AC53" s="112"/>
      <c r="AD53" s="112" t="n">
        <f aca="false">AD52+AD$7/100</f>
        <v>0.9</v>
      </c>
      <c r="AE53" s="122" t="n">
        <f aca="false">AD53-IF($I$3="Forward", $D$9, $G$9)</f>
        <v>0.9</v>
      </c>
      <c r="AF53" s="112" t="n">
        <f aca="false">AD53*TAN(RADIANS(AH$7))-(IF($B$4, 9.807, 32.174)*AD53^2)/(2*AG$7^2*COS(RADIANS(AH$7))^2)+$D$7</f>
        <v>4.54178450071077</v>
      </c>
      <c r="AG53" s="123" t="n">
        <f aca="false">MIN($V$5,AF53)</f>
        <v>4.54178450071077</v>
      </c>
      <c r="AH53" s="112"/>
      <c r="AI53" s="112" t="n">
        <f aca="false">AI52+AI$7/100</f>
        <v>0.9</v>
      </c>
      <c r="AJ53" s="122" t="n">
        <f aca="false">AI53+IF($I$3="Forward", $D$9, $G$9)</f>
        <v>0.9</v>
      </c>
      <c r="AK53" s="112" t="n">
        <f aca="false">AI53*TAN(RADIANS(AM$7))-(IF($B$4, 9.807, 32.174)*AI53^2)/(2*AL$7^2*COS(RADIANS(AM$7))^2)+$D$7</f>
        <v>4.54178450071077</v>
      </c>
      <c r="AL53" s="123" t="n">
        <f aca="false">MIN($V$5,AK53)</f>
        <v>4.54178450071077</v>
      </c>
      <c r="AM53" s="112"/>
      <c r="AN53" s="112" t="n">
        <f aca="false">AN52+AN$7/100</f>
        <v>0.9</v>
      </c>
      <c r="AO53" s="112" t="n">
        <f aca="false">AN53</f>
        <v>0.9</v>
      </c>
      <c r="AP53" s="112" t="n">
        <f aca="false">AN53*TAN(RADIANS(AR$7))-(IF($B$4, 9.807, 32.174)*AN53^2)/(2*AQ$7^2*COS(RADIANS(AR$7))^2)+$D$7</f>
        <v>4.54178450071077</v>
      </c>
      <c r="AQ53" s="123" t="n">
        <f aca="false">MIN($V$5,AP53)</f>
        <v>4.54178450071077</v>
      </c>
      <c r="AR53" s="112"/>
      <c r="AS53" s="112" t="n">
        <f aca="false">AS52+AS$7/100</f>
        <v>0.9</v>
      </c>
      <c r="AT53" s="122" t="n">
        <f aca="false">AS53-IF($I$3="Forward", $D$9, $G$9)</f>
        <v>0.9</v>
      </c>
      <c r="AU53" s="112" t="n">
        <f aca="false">AS53*TAN(RADIANS(AW$7))-(IF($B$4, 9.807, 32.174)*AS53^2)/(2*AV$7^2*COS(RADIANS(AW$7))^2)+$D$7</f>
        <v>4.54178450071077</v>
      </c>
      <c r="AV53" s="123" t="n">
        <f aca="false">MIN($V$5,AU53)</f>
        <v>4.54178450071077</v>
      </c>
      <c r="AW53" s="112"/>
      <c r="AX53" s="112" t="n">
        <f aca="false">AX52+AX$7/100</f>
        <v>0.9</v>
      </c>
      <c r="AY53" s="122" t="n">
        <f aca="false">AX53+IF($I$3="Forward", $D$9, $G$9)</f>
        <v>0.9</v>
      </c>
      <c r="AZ53" s="112" t="n">
        <f aca="false">AX53*TAN(RADIANS(BB$7))-(IF($B$4, 9.807, 32.174)*AX53^2)/(2*BA$7^2*COS(RADIANS(BB$7))^2)+$D$7</f>
        <v>4.54178450071077</v>
      </c>
      <c r="BA53" s="123" t="n">
        <f aca="false">MIN($V$5,AZ53)</f>
        <v>4.54178450071077</v>
      </c>
      <c r="BB53" s="112"/>
      <c r="BC53" s="112" t="n">
        <f aca="false">BC52+BC$7/100</f>
        <v>0.9</v>
      </c>
      <c r="BD53" s="112" t="n">
        <f aca="false">BC53</f>
        <v>0.9</v>
      </c>
      <c r="BE53" s="112" t="n">
        <f aca="false">BC53*TAN(RADIANS(BG$7))-(IF($B$4, 9.807, 32.174)*BC53^2)/(2*BF$7^2*COS(RADIANS(BG$7))^2)+$D$7</f>
        <v>4.54178450071077</v>
      </c>
      <c r="BF53" s="123" t="n">
        <f aca="false">MIN($V$5,BE53)</f>
        <v>4.54178450071077</v>
      </c>
      <c r="BG53" s="112"/>
      <c r="BH53" s="112" t="n">
        <f aca="false">BH52+BH$7/100</f>
        <v>0.9</v>
      </c>
      <c r="BI53" s="122" t="n">
        <f aca="false">BH53-IF($I$3="Forward", $D$9, $G$9)</f>
        <v>0.9</v>
      </c>
      <c r="BJ53" s="112" t="n">
        <f aca="false">BH53*TAN(RADIANS(BL$7))-(IF($B$4, 9.807, 32.174)*BH53^2)/(2*BK$7^2*COS(RADIANS(BL$7))^2)+$D$7</f>
        <v>4.54178450071077</v>
      </c>
      <c r="BK53" s="123" t="n">
        <f aca="false">MIN($V$5,BJ53)</f>
        <v>4.54178450071077</v>
      </c>
      <c r="BL53" s="112"/>
      <c r="BM53" s="112" t="n">
        <f aca="false">BM52+BM$7/100</f>
        <v>0.9</v>
      </c>
      <c r="BN53" s="122" t="n">
        <f aca="false">BM53+IF($I$3="Forward", $D$9, $G$9)</f>
        <v>0.9</v>
      </c>
      <c r="BO53" s="112" t="n">
        <f aca="false">BM53*TAN(RADIANS(BQ$7))-(IF($B$4, 9.807, 32.174)*BM53^2)/(2*BP$7^2*COS(RADIANS(BQ$7))^2)+$D$7</f>
        <v>4.54178450071077</v>
      </c>
      <c r="BP53" s="123" t="n">
        <f aca="false">MIN($V$5,BO53)</f>
        <v>4.54178450071077</v>
      </c>
      <c r="BQ53" s="112"/>
      <c r="BR53" s="112" t="n">
        <f aca="false">BR52+BR$7/100</f>
        <v>0.9</v>
      </c>
      <c r="BS53" s="112" t="n">
        <f aca="false">BR53</f>
        <v>0.9</v>
      </c>
      <c r="BT53" s="112" t="n">
        <f aca="false">BR53*TAN(RADIANS(BV$7))-(IF($B$4, 9.807, 32.174)*BR53^2)/(2*BU$7^2*COS(RADIANS(BV$7))^2)+$D$7</f>
        <v>4.54178450071077</v>
      </c>
      <c r="BU53" s="123" t="n">
        <f aca="false">MIN($V$5,BT53)</f>
        <v>4.54178450071077</v>
      </c>
      <c r="BV53" s="112"/>
      <c r="BW53" s="112" t="n">
        <f aca="false">BW52+BW$7/100</f>
        <v>0.9</v>
      </c>
      <c r="BX53" s="122" t="n">
        <f aca="false">BW53-IF($I$3="Forward", $D$9, $G$9)</f>
        <v>0.9</v>
      </c>
      <c r="BY53" s="112" t="n">
        <f aca="false">BW53*TAN(RADIANS(CA$7))-(IF($B$4, 9.807, 32.174)*BW53^2)/(2*BZ$7^2*COS(RADIANS(CA$7))^2)+$D$7</f>
        <v>4.54178450071077</v>
      </c>
      <c r="BZ53" s="123" t="n">
        <f aca="false">MIN($V$5,BY53)</f>
        <v>4.54178450071077</v>
      </c>
      <c r="CA53" s="112"/>
      <c r="CB53" s="112" t="n">
        <f aca="false">CB52+CB$7/100</f>
        <v>0.9</v>
      </c>
      <c r="CC53" s="122" t="n">
        <f aca="false">CB53+IF($I$3="Forward", $D$9, $G$9)</f>
        <v>0.9</v>
      </c>
      <c r="CD53" s="112" t="n">
        <f aca="false">CB53*TAN(RADIANS(CF$7))-(IF($B$4, 9.807, 32.174)*CB53^2)/(2*CE$7^2*COS(RADIANS(CF$7))^2)+$D$7</f>
        <v>4.54178450071077</v>
      </c>
      <c r="CE53" s="123" t="n">
        <f aca="false">MIN($V$5,CD53)</f>
        <v>4.54178450071077</v>
      </c>
      <c r="CF53" s="112"/>
      <c r="CG53" s="124" t="n">
        <f aca="false">CG52+CG$7/100</f>
        <v>0.9</v>
      </c>
      <c r="CH53" s="124" t="n">
        <f aca="false">CG53</f>
        <v>0.9</v>
      </c>
      <c r="CI53" s="124" t="n">
        <f aca="false">CG53*TAN(RADIANS(CK$7))-(IF($B$4, 9.807, 32.174)*CG53^2)/(2*CJ$7^2*COS(RADIANS(CK$7))^2)+$D$7</f>
        <v>4.54178450071077</v>
      </c>
      <c r="CJ53" s="123" t="n">
        <f aca="false">MIN($V$5,CI53)</f>
        <v>4.54178450071077</v>
      </c>
      <c r="CK53" s="124"/>
      <c r="CL53" s="112" t="n">
        <f aca="false">CL52+CL$7/100</f>
        <v>0.9</v>
      </c>
      <c r="CM53" s="122" t="n">
        <f aca="false">CL53-IF($I$3="Forward", $D$9, $G$9)</f>
        <v>0.9</v>
      </c>
      <c r="CN53" s="112" t="n">
        <f aca="false">CL53*TAN(RADIANS(CP$7))-(IF($B$4, 9.807, 32.174)*CL53^2)/(2*CO$7^2*COS(RADIANS(CP$7))^2)+$D$7</f>
        <v>4.54178450071077</v>
      </c>
      <c r="CO53" s="123" t="n">
        <f aca="false">MIN($V$5,CN53)</f>
        <v>4.54178450071077</v>
      </c>
      <c r="CP53" s="112"/>
      <c r="CQ53" s="112" t="n">
        <f aca="false">CQ52+CQ$7/100</f>
        <v>0.9</v>
      </c>
      <c r="CR53" s="122" t="n">
        <f aca="false">CQ53+IF($I$3="Forward", $D$9, $G$9)</f>
        <v>0.9</v>
      </c>
      <c r="CS53" s="112" t="n">
        <f aca="false">CQ53*TAN(RADIANS(CU$7))-(IF($B$4, 9.807, 32.174)*CQ53^2)/(2*CT$7^2*COS(RADIANS(CU$7))^2)+$D$7</f>
        <v>4.54178450071077</v>
      </c>
      <c r="CT53" s="123" t="n">
        <f aca="false">MIN($V$5,CS53)</f>
        <v>4.54178450071077</v>
      </c>
      <c r="CU53" s="112"/>
      <c r="CV53" s="112" t="n">
        <f aca="false">CV52+CV$7/100</f>
        <v>0.9</v>
      </c>
      <c r="CW53" s="112" t="n">
        <f aca="false">CV53</f>
        <v>0.9</v>
      </c>
      <c r="CX53" s="112" t="n">
        <f aca="false">CV53*TAN(RADIANS(CZ$7))-(IF($B$4, 9.807, 32.174)*CV53^2)/(2*CY$7^2*COS(RADIANS(CZ$7))^2)+$D$7</f>
        <v>4.54178450071077</v>
      </c>
      <c r="CY53" s="123" t="n">
        <f aca="false">MIN($V$5,CX53)</f>
        <v>4.54178450071077</v>
      </c>
      <c r="CZ53" s="112"/>
      <c r="DA53" s="112" t="n">
        <f aca="false">DA52+DA$7/100</f>
        <v>0.9</v>
      </c>
      <c r="DB53" s="122" t="n">
        <f aca="false">DA53-IF($I$3="Forward", $D$9, $G$9)</f>
        <v>0.9</v>
      </c>
      <c r="DC53" s="112" t="n">
        <f aca="false">DA53*TAN(RADIANS(DE$7))-(IF($B$4, 9.807, 32.174)*DA53^2)/(2*DD$7^2*COS(RADIANS(DE$7))^2)+$D$7</f>
        <v>4.54178450071077</v>
      </c>
      <c r="DD53" s="123" t="n">
        <f aca="false">MIN($V$5,DC53)</f>
        <v>4.54178450071077</v>
      </c>
      <c r="DE53" s="112"/>
      <c r="DF53" s="112" t="n">
        <f aca="false">DF52+DF$7/100</f>
        <v>0.9</v>
      </c>
      <c r="DG53" s="122" t="n">
        <f aca="false">DF53+IF($I$3="Forward", $D$9, $G$9)</f>
        <v>0.9</v>
      </c>
      <c r="DH53" s="112" t="n">
        <f aca="false">DF53*TAN(RADIANS(DJ$7))-(IF($B$4, 9.807, 32.174)*DF53^2)/(2*DI$7^2*COS(RADIANS(DJ$7))^2)+$D$7</f>
        <v>4.54178450071077</v>
      </c>
      <c r="DI53" s="123" t="n">
        <f aca="false">MIN($V$5,DH53)</f>
        <v>4.54178450071077</v>
      </c>
      <c r="DJ53" s="112"/>
      <c r="DK53" s="112" t="n">
        <f aca="false">DK52+DK$7/100</f>
        <v>0.9</v>
      </c>
      <c r="DL53" s="112" t="n">
        <f aca="false">DK53</f>
        <v>0.9</v>
      </c>
      <c r="DM53" s="112" t="n">
        <f aca="false">DK53*TAN(RADIANS(DO$7))-(IF($B$4, 9.807, 32.174)*DK53^2)/(2*DN$7^2*COS(RADIANS(DO$7))^2)+$D$7</f>
        <v>4.54178450071077</v>
      </c>
      <c r="DN53" s="123" t="n">
        <f aca="false">MIN($V$5,DM53)</f>
        <v>4.54178450071077</v>
      </c>
      <c r="DO53" s="112"/>
      <c r="DP53" s="112" t="n">
        <f aca="false">DP52+DP$7/100</f>
        <v>0.9</v>
      </c>
      <c r="DQ53" s="122" t="n">
        <f aca="false">DP53-IF($I$3="Forward", $D$9, $G$9)</f>
        <v>0.9</v>
      </c>
      <c r="DR53" s="112" t="n">
        <f aca="false">DP53*TAN(RADIANS(DT$7))-(IF($B$4, 9.807, 32.174)*DP53^2)/(2*DS$7^2*COS(RADIANS(DT$7))^2)+$D$7</f>
        <v>4.54178450071077</v>
      </c>
      <c r="DS53" s="123" t="n">
        <f aca="false">MIN($V$5,DR53)</f>
        <v>4.54178450071077</v>
      </c>
      <c r="DT53" s="112"/>
      <c r="DU53" s="112" t="n">
        <f aca="false">DU52+DU$7/100</f>
        <v>0.9</v>
      </c>
      <c r="DV53" s="122" t="n">
        <f aca="false">DU53+IF($I$3="Forward", $D$9, $G$9)</f>
        <v>0.9</v>
      </c>
      <c r="DW53" s="112" t="n">
        <f aca="false">DU53*TAN(RADIANS(DY$7))-(IF($B$4, 9.807, 32.174)*DU53^2)/(2*DX$7^2*COS(RADIANS(DY$7))^2)+$D$7</f>
        <v>4.54178450071077</v>
      </c>
      <c r="DX53" s="123" t="n">
        <f aca="false">MIN($V$5,DW53)</f>
        <v>4.54178450071077</v>
      </c>
      <c r="DY53" s="112"/>
      <c r="DZ53" s="112" t="n">
        <f aca="false">DZ52+DZ$7/100</f>
        <v>0.9</v>
      </c>
      <c r="EA53" s="112" t="n">
        <f aca="false">DZ53</f>
        <v>0.9</v>
      </c>
      <c r="EB53" s="112" t="n">
        <f aca="false">DZ53*TAN(RADIANS(ED$7))-(IF($B$4, 9.807, 32.174)*DZ53^2)/(2*EC$7^2*COS(RADIANS(ED$7))^2)+$D$7</f>
        <v>4.54178450071077</v>
      </c>
      <c r="EC53" s="123" t="n">
        <f aca="false">MIN($V$5,EB53)</f>
        <v>4.54178450071077</v>
      </c>
      <c r="ED53" s="112"/>
      <c r="EE53" s="112" t="n">
        <f aca="false">EE52+EE$7/100</f>
        <v>0.9</v>
      </c>
      <c r="EF53" s="122" t="n">
        <f aca="false">EE53-IF($I$3="Forward", $D$9, $G$9)</f>
        <v>0.9</v>
      </c>
      <c r="EG53" s="112" t="n">
        <f aca="false">EE53*TAN(RADIANS(EI$7))-(IF($B$4, 9.807, 32.174)*EE53^2)/(2*EH$7^2*COS(RADIANS(EI$7))^2)+$D$7</f>
        <v>4.54178450071077</v>
      </c>
      <c r="EH53" s="123" t="n">
        <f aca="false">MIN($V$5,EG53)</f>
        <v>4.54178450071077</v>
      </c>
      <c r="EI53" s="112"/>
      <c r="EJ53" s="112" t="n">
        <f aca="false">EJ52+EJ$7/100</f>
        <v>0.9</v>
      </c>
      <c r="EK53" s="122" t="n">
        <f aca="false">EJ53+IF($I$3="Forward", $D$9, $G$9)</f>
        <v>0.9</v>
      </c>
      <c r="EL53" s="112" t="n">
        <f aca="false">EJ53*TAN(RADIANS(EN$7))-(IF($B$4, 9.807, 32.174)*EJ53^2)/(2*EM$7^2*COS(RADIANS(EN$7))^2)+$D$7</f>
        <v>4.54178450071077</v>
      </c>
      <c r="EM53" s="123" t="n">
        <f aca="false">MIN($V$5,EL53)</f>
        <v>4.54178450071077</v>
      </c>
      <c r="EN53" s="112"/>
      <c r="EO53" s="112" t="n">
        <f aca="false">EO52+EO$7/100</f>
        <v>0.9</v>
      </c>
      <c r="EP53" s="112" t="n">
        <f aca="false">EO53</f>
        <v>0.9</v>
      </c>
      <c r="EQ53" s="112" t="n">
        <f aca="false">EO53*TAN(RADIANS(ES$7))-(IF($B$4, 9.807, 32.174)*EO53^2)/(2*ER$7^2*COS(RADIANS(ES$7))^2)+$D$7</f>
        <v>4.54178450071077</v>
      </c>
      <c r="ER53" s="123" t="n">
        <f aca="false">MIN($V$5,EQ53)</f>
        <v>4.54178450071077</v>
      </c>
      <c r="ES53" s="112"/>
      <c r="ET53" s="112" t="n">
        <f aca="false">ET52+ET$7/100</f>
        <v>0.9</v>
      </c>
      <c r="EU53" s="122" t="n">
        <f aca="false">ET53-IF($I$3="Forward", $D$9, $G$9)</f>
        <v>0.9</v>
      </c>
      <c r="EV53" s="112" t="n">
        <f aca="false">ET53*TAN(RADIANS(EX$7))-(IF($B$4, 9.807, 32.174)*ET53^2)/(2*EW$7^2*COS(RADIANS(EX$7))^2)+$D$7</f>
        <v>4.54178450071077</v>
      </c>
      <c r="EW53" s="123" t="n">
        <f aca="false">MIN($V$5,EV53)</f>
        <v>4.54178450071077</v>
      </c>
      <c r="EX53" s="112"/>
    </row>
    <row r="54" s="131" customFormat="true" ht="15" hidden="false" customHeight="false" outlineLevel="0" collapsed="false">
      <c r="T54" s="112" t="n">
        <f aca="false">T53+T$7/100</f>
        <v>0.92</v>
      </c>
      <c r="U54" s="122" t="n">
        <f aca="false">T54+IF($I$3="Forward", $D$9, $G$9)</f>
        <v>0.92</v>
      </c>
      <c r="V54" s="112" t="n">
        <f aca="false">T54*TAN(RADIANS(X$7))-(IF($B$4, 9.807, 32.174)*T54^2)/(2*W$7^2*COS(RADIANS(X$7))^2)+$D$7</f>
        <v>4.57597280798608</v>
      </c>
      <c r="W54" s="123" t="n">
        <f aca="false">MIN($V$5,V54)</f>
        <v>4.57597280798608</v>
      </c>
      <c r="X54" s="112"/>
      <c r="Y54" s="112" t="n">
        <f aca="false">Y53+Y$7/100</f>
        <v>0.92</v>
      </c>
      <c r="Z54" s="112" t="n">
        <f aca="false">Y54</f>
        <v>0.92</v>
      </c>
      <c r="AA54" s="112" t="n">
        <f aca="false">Y54*TAN(RADIANS(AC$7))-(IF($B$4, 9.807, 32.174)*Y54^2)/(2*AB$7^2*COS(RADIANS(AC$7))^2)+$D$7</f>
        <v>4.57597280798608</v>
      </c>
      <c r="AB54" s="123" t="n">
        <f aca="false">MIN($V$5,AA54)</f>
        <v>4.57597280798608</v>
      </c>
      <c r="AC54" s="112"/>
      <c r="AD54" s="112" t="n">
        <f aca="false">AD53+AD$7/100</f>
        <v>0.92</v>
      </c>
      <c r="AE54" s="122" t="n">
        <f aca="false">AD54-IF($I$3="Forward", $D$9, $G$9)</f>
        <v>0.92</v>
      </c>
      <c r="AF54" s="112" t="n">
        <f aca="false">AD54*TAN(RADIANS(AH$7))-(IF($B$4, 9.807, 32.174)*AD54^2)/(2*AG$7^2*COS(RADIANS(AH$7))^2)+$D$7</f>
        <v>4.57597280798608</v>
      </c>
      <c r="AG54" s="123" t="n">
        <f aca="false">MIN($V$5,AF54)</f>
        <v>4.57597280798608</v>
      </c>
      <c r="AH54" s="112"/>
      <c r="AI54" s="112" t="n">
        <f aca="false">AI53+AI$7/100</f>
        <v>0.92</v>
      </c>
      <c r="AJ54" s="122" t="n">
        <f aca="false">AI54+IF($I$3="Forward", $D$9, $G$9)</f>
        <v>0.92</v>
      </c>
      <c r="AK54" s="112" t="n">
        <f aca="false">AI54*TAN(RADIANS(AM$7))-(IF($B$4, 9.807, 32.174)*AI54^2)/(2*AL$7^2*COS(RADIANS(AM$7))^2)+$D$7</f>
        <v>4.57597280798608</v>
      </c>
      <c r="AL54" s="123" t="n">
        <f aca="false">MIN($V$5,AK54)</f>
        <v>4.57597280798608</v>
      </c>
      <c r="AM54" s="112"/>
      <c r="AN54" s="112" t="n">
        <f aca="false">AN53+AN$7/100</f>
        <v>0.92</v>
      </c>
      <c r="AO54" s="112" t="n">
        <f aca="false">AN54</f>
        <v>0.92</v>
      </c>
      <c r="AP54" s="112" t="n">
        <f aca="false">AN54*TAN(RADIANS(AR$7))-(IF($B$4, 9.807, 32.174)*AN54^2)/(2*AQ$7^2*COS(RADIANS(AR$7))^2)+$D$7</f>
        <v>4.57597280798608</v>
      </c>
      <c r="AQ54" s="123" t="n">
        <f aca="false">MIN($V$5,AP54)</f>
        <v>4.57597280798608</v>
      </c>
      <c r="AR54" s="112"/>
      <c r="AS54" s="112" t="n">
        <f aca="false">AS53+AS$7/100</f>
        <v>0.92</v>
      </c>
      <c r="AT54" s="122" t="n">
        <f aca="false">AS54-IF($I$3="Forward", $D$9, $G$9)</f>
        <v>0.92</v>
      </c>
      <c r="AU54" s="112" t="n">
        <f aca="false">AS54*TAN(RADIANS(AW$7))-(IF($B$4, 9.807, 32.174)*AS54^2)/(2*AV$7^2*COS(RADIANS(AW$7))^2)+$D$7</f>
        <v>4.57597280798608</v>
      </c>
      <c r="AV54" s="123" t="n">
        <f aca="false">MIN($V$5,AU54)</f>
        <v>4.57597280798608</v>
      </c>
      <c r="AW54" s="112"/>
      <c r="AX54" s="112" t="n">
        <f aca="false">AX53+AX$7/100</f>
        <v>0.92</v>
      </c>
      <c r="AY54" s="122" t="n">
        <f aca="false">AX54+IF($I$3="Forward", $D$9, $G$9)</f>
        <v>0.92</v>
      </c>
      <c r="AZ54" s="112" t="n">
        <f aca="false">AX54*TAN(RADIANS(BB$7))-(IF($B$4, 9.807, 32.174)*AX54^2)/(2*BA$7^2*COS(RADIANS(BB$7))^2)+$D$7</f>
        <v>4.57597280798608</v>
      </c>
      <c r="BA54" s="123" t="n">
        <f aca="false">MIN($V$5,AZ54)</f>
        <v>4.57597280798608</v>
      </c>
      <c r="BB54" s="112"/>
      <c r="BC54" s="112" t="n">
        <f aca="false">BC53+BC$7/100</f>
        <v>0.92</v>
      </c>
      <c r="BD54" s="112" t="n">
        <f aca="false">BC54</f>
        <v>0.92</v>
      </c>
      <c r="BE54" s="112" t="n">
        <f aca="false">BC54*TAN(RADIANS(BG$7))-(IF($B$4, 9.807, 32.174)*BC54^2)/(2*BF$7^2*COS(RADIANS(BG$7))^2)+$D$7</f>
        <v>4.57597280798608</v>
      </c>
      <c r="BF54" s="123" t="n">
        <f aca="false">MIN($V$5,BE54)</f>
        <v>4.57597280798608</v>
      </c>
      <c r="BG54" s="112"/>
      <c r="BH54" s="112" t="n">
        <f aca="false">BH53+BH$7/100</f>
        <v>0.92</v>
      </c>
      <c r="BI54" s="122" t="n">
        <f aca="false">BH54-IF($I$3="Forward", $D$9, $G$9)</f>
        <v>0.92</v>
      </c>
      <c r="BJ54" s="112" t="n">
        <f aca="false">BH54*TAN(RADIANS(BL$7))-(IF($B$4, 9.807, 32.174)*BH54^2)/(2*BK$7^2*COS(RADIANS(BL$7))^2)+$D$7</f>
        <v>4.57597280798608</v>
      </c>
      <c r="BK54" s="123" t="n">
        <f aca="false">MIN($V$5,BJ54)</f>
        <v>4.57597280798608</v>
      </c>
      <c r="BL54" s="112"/>
      <c r="BM54" s="112" t="n">
        <f aca="false">BM53+BM$7/100</f>
        <v>0.92</v>
      </c>
      <c r="BN54" s="122" t="n">
        <f aca="false">BM54+IF($I$3="Forward", $D$9, $G$9)</f>
        <v>0.92</v>
      </c>
      <c r="BO54" s="112" t="n">
        <f aca="false">BM54*TAN(RADIANS(BQ$7))-(IF($B$4, 9.807, 32.174)*BM54^2)/(2*BP$7^2*COS(RADIANS(BQ$7))^2)+$D$7</f>
        <v>4.57597280798608</v>
      </c>
      <c r="BP54" s="123" t="n">
        <f aca="false">MIN($V$5,BO54)</f>
        <v>4.57597280798608</v>
      </c>
      <c r="BQ54" s="112"/>
      <c r="BR54" s="112" t="n">
        <f aca="false">BR53+BR$7/100</f>
        <v>0.92</v>
      </c>
      <c r="BS54" s="112" t="n">
        <f aca="false">BR54</f>
        <v>0.92</v>
      </c>
      <c r="BT54" s="112" t="n">
        <f aca="false">BR54*TAN(RADIANS(BV$7))-(IF($B$4, 9.807, 32.174)*BR54^2)/(2*BU$7^2*COS(RADIANS(BV$7))^2)+$D$7</f>
        <v>4.57597280798608</v>
      </c>
      <c r="BU54" s="123" t="n">
        <f aca="false">MIN($V$5,BT54)</f>
        <v>4.57597280798608</v>
      </c>
      <c r="BV54" s="112"/>
      <c r="BW54" s="112" t="n">
        <f aca="false">BW53+BW$7/100</f>
        <v>0.92</v>
      </c>
      <c r="BX54" s="122" t="n">
        <f aca="false">BW54-IF($I$3="Forward", $D$9, $G$9)</f>
        <v>0.92</v>
      </c>
      <c r="BY54" s="112" t="n">
        <f aca="false">BW54*TAN(RADIANS(CA$7))-(IF($B$4, 9.807, 32.174)*BW54^2)/(2*BZ$7^2*COS(RADIANS(CA$7))^2)+$D$7</f>
        <v>4.57597280798608</v>
      </c>
      <c r="BZ54" s="123" t="n">
        <f aca="false">MIN($V$5,BY54)</f>
        <v>4.57597280798608</v>
      </c>
      <c r="CA54" s="112"/>
      <c r="CB54" s="112" t="n">
        <f aca="false">CB53+CB$7/100</f>
        <v>0.92</v>
      </c>
      <c r="CC54" s="122" t="n">
        <f aca="false">CB54+IF($I$3="Forward", $D$9, $G$9)</f>
        <v>0.92</v>
      </c>
      <c r="CD54" s="112" t="n">
        <f aca="false">CB54*TAN(RADIANS(CF$7))-(IF($B$4, 9.807, 32.174)*CB54^2)/(2*CE$7^2*COS(RADIANS(CF$7))^2)+$D$7</f>
        <v>4.57597280798608</v>
      </c>
      <c r="CE54" s="123" t="n">
        <f aca="false">MIN($V$5,CD54)</f>
        <v>4.57597280798608</v>
      </c>
      <c r="CF54" s="112"/>
      <c r="CG54" s="124" t="n">
        <f aca="false">CG53+CG$7/100</f>
        <v>0.92</v>
      </c>
      <c r="CH54" s="124" t="n">
        <f aca="false">CG54</f>
        <v>0.92</v>
      </c>
      <c r="CI54" s="124" t="n">
        <f aca="false">CG54*TAN(RADIANS(CK$7))-(IF($B$4, 9.807, 32.174)*CG54^2)/(2*CJ$7^2*COS(RADIANS(CK$7))^2)+$D$7</f>
        <v>4.57597280798608</v>
      </c>
      <c r="CJ54" s="123" t="n">
        <f aca="false">MIN($V$5,CI54)</f>
        <v>4.57597280798608</v>
      </c>
      <c r="CK54" s="124"/>
      <c r="CL54" s="112" t="n">
        <f aca="false">CL53+CL$7/100</f>
        <v>0.92</v>
      </c>
      <c r="CM54" s="122" t="n">
        <f aca="false">CL54-IF($I$3="Forward", $D$9, $G$9)</f>
        <v>0.92</v>
      </c>
      <c r="CN54" s="112" t="n">
        <f aca="false">CL54*TAN(RADIANS(CP$7))-(IF($B$4, 9.807, 32.174)*CL54^2)/(2*CO$7^2*COS(RADIANS(CP$7))^2)+$D$7</f>
        <v>4.57597280798608</v>
      </c>
      <c r="CO54" s="123" t="n">
        <f aca="false">MIN($V$5,CN54)</f>
        <v>4.57597280798608</v>
      </c>
      <c r="CP54" s="112"/>
      <c r="CQ54" s="112" t="n">
        <f aca="false">CQ53+CQ$7/100</f>
        <v>0.92</v>
      </c>
      <c r="CR54" s="122" t="n">
        <f aca="false">CQ54+IF($I$3="Forward", $D$9, $G$9)</f>
        <v>0.92</v>
      </c>
      <c r="CS54" s="112" t="n">
        <f aca="false">CQ54*TAN(RADIANS(CU$7))-(IF($B$4, 9.807, 32.174)*CQ54^2)/(2*CT$7^2*COS(RADIANS(CU$7))^2)+$D$7</f>
        <v>4.57597280798608</v>
      </c>
      <c r="CT54" s="123" t="n">
        <f aca="false">MIN($V$5,CS54)</f>
        <v>4.57597280798608</v>
      </c>
      <c r="CU54" s="112"/>
      <c r="CV54" s="112" t="n">
        <f aca="false">CV53+CV$7/100</f>
        <v>0.92</v>
      </c>
      <c r="CW54" s="112" t="n">
        <f aca="false">CV54</f>
        <v>0.92</v>
      </c>
      <c r="CX54" s="112" t="n">
        <f aca="false">CV54*TAN(RADIANS(CZ$7))-(IF($B$4, 9.807, 32.174)*CV54^2)/(2*CY$7^2*COS(RADIANS(CZ$7))^2)+$D$7</f>
        <v>4.57597280798608</v>
      </c>
      <c r="CY54" s="123" t="n">
        <f aca="false">MIN($V$5,CX54)</f>
        <v>4.57597280798608</v>
      </c>
      <c r="CZ54" s="112"/>
      <c r="DA54" s="112" t="n">
        <f aca="false">DA53+DA$7/100</f>
        <v>0.92</v>
      </c>
      <c r="DB54" s="122" t="n">
        <f aca="false">DA54-IF($I$3="Forward", $D$9, $G$9)</f>
        <v>0.92</v>
      </c>
      <c r="DC54" s="112" t="n">
        <f aca="false">DA54*TAN(RADIANS(DE$7))-(IF($B$4, 9.807, 32.174)*DA54^2)/(2*DD$7^2*COS(RADIANS(DE$7))^2)+$D$7</f>
        <v>4.57597280798608</v>
      </c>
      <c r="DD54" s="123" t="n">
        <f aca="false">MIN($V$5,DC54)</f>
        <v>4.57597280798608</v>
      </c>
      <c r="DE54" s="112"/>
      <c r="DF54" s="112" t="n">
        <f aca="false">DF53+DF$7/100</f>
        <v>0.92</v>
      </c>
      <c r="DG54" s="122" t="n">
        <f aca="false">DF54+IF($I$3="Forward", $D$9, $G$9)</f>
        <v>0.92</v>
      </c>
      <c r="DH54" s="112" t="n">
        <f aca="false">DF54*TAN(RADIANS(DJ$7))-(IF($B$4, 9.807, 32.174)*DF54^2)/(2*DI$7^2*COS(RADIANS(DJ$7))^2)+$D$7</f>
        <v>4.57597280798608</v>
      </c>
      <c r="DI54" s="123" t="n">
        <f aca="false">MIN($V$5,DH54)</f>
        <v>4.57597280798608</v>
      </c>
      <c r="DJ54" s="112"/>
      <c r="DK54" s="112" t="n">
        <f aca="false">DK53+DK$7/100</f>
        <v>0.92</v>
      </c>
      <c r="DL54" s="112" t="n">
        <f aca="false">DK54</f>
        <v>0.92</v>
      </c>
      <c r="DM54" s="112" t="n">
        <f aca="false">DK54*TAN(RADIANS(DO$7))-(IF($B$4, 9.807, 32.174)*DK54^2)/(2*DN$7^2*COS(RADIANS(DO$7))^2)+$D$7</f>
        <v>4.57597280798608</v>
      </c>
      <c r="DN54" s="123" t="n">
        <f aca="false">MIN($V$5,DM54)</f>
        <v>4.57597280798608</v>
      </c>
      <c r="DO54" s="112"/>
      <c r="DP54" s="112" t="n">
        <f aca="false">DP53+DP$7/100</f>
        <v>0.92</v>
      </c>
      <c r="DQ54" s="122" t="n">
        <f aca="false">DP54-IF($I$3="Forward", $D$9, $G$9)</f>
        <v>0.92</v>
      </c>
      <c r="DR54" s="112" t="n">
        <f aca="false">DP54*TAN(RADIANS(DT$7))-(IF($B$4, 9.807, 32.174)*DP54^2)/(2*DS$7^2*COS(RADIANS(DT$7))^2)+$D$7</f>
        <v>4.57597280798608</v>
      </c>
      <c r="DS54" s="123" t="n">
        <f aca="false">MIN($V$5,DR54)</f>
        <v>4.57597280798608</v>
      </c>
      <c r="DT54" s="112"/>
      <c r="DU54" s="112" t="n">
        <f aca="false">DU53+DU$7/100</f>
        <v>0.92</v>
      </c>
      <c r="DV54" s="122" t="n">
        <f aca="false">DU54+IF($I$3="Forward", $D$9, $G$9)</f>
        <v>0.92</v>
      </c>
      <c r="DW54" s="112" t="n">
        <f aca="false">DU54*TAN(RADIANS(DY$7))-(IF($B$4, 9.807, 32.174)*DU54^2)/(2*DX$7^2*COS(RADIANS(DY$7))^2)+$D$7</f>
        <v>4.57597280798608</v>
      </c>
      <c r="DX54" s="123" t="n">
        <f aca="false">MIN($V$5,DW54)</f>
        <v>4.57597280798608</v>
      </c>
      <c r="DY54" s="112"/>
      <c r="DZ54" s="112" t="n">
        <f aca="false">DZ53+DZ$7/100</f>
        <v>0.92</v>
      </c>
      <c r="EA54" s="112" t="n">
        <f aca="false">DZ54</f>
        <v>0.92</v>
      </c>
      <c r="EB54" s="112" t="n">
        <f aca="false">DZ54*TAN(RADIANS(ED$7))-(IF($B$4, 9.807, 32.174)*DZ54^2)/(2*EC$7^2*COS(RADIANS(ED$7))^2)+$D$7</f>
        <v>4.57597280798608</v>
      </c>
      <c r="EC54" s="123" t="n">
        <f aca="false">MIN($V$5,EB54)</f>
        <v>4.57597280798608</v>
      </c>
      <c r="ED54" s="112"/>
      <c r="EE54" s="112" t="n">
        <f aca="false">EE53+EE$7/100</f>
        <v>0.92</v>
      </c>
      <c r="EF54" s="122" t="n">
        <f aca="false">EE54-IF($I$3="Forward", $D$9, $G$9)</f>
        <v>0.92</v>
      </c>
      <c r="EG54" s="112" t="n">
        <f aca="false">EE54*TAN(RADIANS(EI$7))-(IF($B$4, 9.807, 32.174)*EE54^2)/(2*EH$7^2*COS(RADIANS(EI$7))^2)+$D$7</f>
        <v>4.57597280798608</v>
      </c>
      <c r="EH54" s="123" t="n">
        <f aca="false">MIN($V$5,EG54)</f>
        <v>4.57597280798608</v>
      </c>
      <c r="EI54" s="112"/>
      <c r="EJ54" s="112" t="n">
        <f aca="false">EJ53+EJ$7/100</f>
        <v>0.92</v>
      </c>
      <c r="EK54" s="122" t="n">
        <f aca="false">EJ54+IF($I$3="Forward", $D$9, $G$9)</f>
        <v>0.92</v>
      </c>
      <c r="EL54" s="112" t="n">
        <f aca="false">EJ54*TAN(RADIANS(EN$7))-(IF($B$4, 9.807, 32.174)*EJ54^2)/(2*EM$7^2*COS(RADIANS(EN$7))^2)+$D$7</f>
        <v>4.57597280798608</v>
      </c>
      <c r="EM54" s="123" t="n">
        <f aca="false">MIN($V$5,EL54)</f>
        <v>4.57597280798608</v>
      </c>
      <c r="EN54" s="112"/>
      <c r="EO54" s="112" t="n">
        <f aca="false">EO53+EO$7/100</f>
        <v>0.92</v>
      </c>
      <c r="EP54" s="112" t="n">
        <f aca="false">EO54</f>
        <v>0.92</v>
      </c>
      <c r="EQ54" s="112" t="n">
        <f aca="false">EO54*TAN(RADIANS(ES$7))-(IF($B$4, 9.807, 32.174)*EO54^2)/(2*ER$7^2*COS(RADIANS(ES$7))^2)+$D$7</f>
        <v>4.57597280798608</v>
      </c>
      <c r="ER54" s="123" t="n">
        <f aca="false">MIN($V$5,EQ54)</f>
        <v>4.57597280798608</v>
      </c>
      <c r="ES54" s="112"/>
      <c r="ET54" s="112" t="n">
        <f aca="false">ET53+ET$7/100</f>
        <v>0.92</v>
      </c>
      <c r="EU54" s="122" t="n">
        <f aca="false">ET54-IF($I$3="Forward", $D$9, $G$9)</f>
        <v>0.92</v>
      </c>
      <c r="EV54" s="112" t="n">
        <f aca="false">ET54*TAN(RADIANS(EX$7))-(IF($B$4, 9.807, 32.174)*ET54^2)/(2*EW$7^2*COS(RADIANS(EX$7))^2)+$D$7</f>
        <v>4.57597280798608</v>
      </c>
      <c r="EW54" s="123" t="n">
        <f aca="false">MIN($V$5,EV54)</f>
        <v>4.57597280798608</v>
      </c>
      <c r="EX54" s="112"/>
    </row>
    <row r="55" s="131" customFormat="true" ht="15" hidden="false" customHeight="false" outlineLevel="0" collapsed="false">
      <c r="T55" s="112" t="n">
        <f aca="false">T54+T$7/100</f>
        <v>0.94</v>
      </c>
      <c r="U55" s="122" t="n">
        <f aca="false">T55+IF($I$3="Forward", $D$9, $G$9)</f>
        <v>0.94</v>
      </c>
      <c r="V55" s="112" t="n">
        <f aca="false">T55*TAN(RADIANS(X$7))-(IF($B$4, 9.807, 32.174)*T55^2)/(2*W$7^2*COS(RADIANS(X$7))^2)+$D$7</f>
        <v>4.60745260253354</v>
      </c>
      <c r="W55" s="123" t="n">
        <f aca="false">MIN($V$5,V55)</f>
        <v>4.60745260253354</v>
      </c>
      <c r="X55" s="112"/>
      <c r="Y55" s="112" t="n">
        <f aca="false">Y54+Y$7/100</f>
        <v>0.94</v>
      </c>
      <c r="Z55" s="112" t="n">
        <f aca="false">Y55</f>
        <v>0.94</v>
      </c>
      <c r="AA55" s="112" t="n">
        <f aca="false">Y55*TAN(RADIANS(AC$7))-(IF($B$4, 9.807, 32.174)*Y55^2)/(2*AB$7^2*COS(RADIANS(AC$7))^2)+$D$7</f>
        <v>4.60745260253354</v>
      </c>
      <c r="AB55" s="123" t="n">
        <f aca="false">MIN($V$5,AA55)</f>
        <v>4.60745260253354</v>
      </c>
      <c r="AC55" s="112"/>
      <c r="AD55" s="112" t="n">
        <f aca="false">AD54+AD$7/100</f>
        <v>0.94</v>
      </c>
      <c r="AE55" s="122" t="n">
        <f aca="false">AD55-IF($I$3="Forward", $D$9, $G$9)</f>
        <v>0.94</v>
      </c>
      <c r="AF55" s="112" t="n">
        <f aca="false">AD55*TAN(RADIANS(AH$7))-(IF($B$4, 9.807, 32.174)*AD55^2)/(2*AG$7^2*COS(RADIANS(AH$7))^2)+$D$7</f>
        <v>4.60745260253354</v>
      </c>
      <c r="AG55" s="123" t="n">
        <f aca="false">MIN($V$5,AF55)</f>
        <v>4.60745260253354</v>
      </c>
      <c r="AH55" s="112"/>
      <c r="AI55" s="112" t="n">
        <f aca="false">AI54+AI$7/100</f>
        <v>0.94</v>
      </c>
      <c r="AJ55" s="122" t="n">
        <f aca="false">AI55+IF($I$3="Forward", $D$9, $G$9)</f>
        <v>0.94</v>
      </c>
      <c r="AK55" s="112" t="n">
        <f aca="false">AI55*TAN(RADIANS(AM$7))-(IF($B$4, 9.807, 32.174)*AI55^2)/(2*AL$7^2*COS(RADIANS(AM$7))^2)+$D$7</f>
        <v>4.60745260253354</v>
      </c>
      <c r="AL55" s="123" t="n">
        <f aca="false">MIN($V$5,AK55)</f>
        <v>4.60745260253354</v>
      </c>
      <c r="AM55" s="112"/>
      <c r="AN55" s="112" t="n">
        <f aca="false">AN54+AN$7/100</f>
        <v>0.94</v>
      </c>
      <c r="AO55" s="112" t="n">
        <f aca="false">AN55</f>
        <v>0.94</v>
      </c>
      <c r="AP55" s="112" t="n">
        <f aca="false">AN55*TAN(RADIANS(AR$7))-(IF($B$4, 9.807, 32.174)*AN55^2)/(2*AQ$7^2*COS(RADIANS(AR$7))^2)+$D$7</f>
        <v>4.60745260253354</v>
      </c>
      <c r="AQ55" s="123" t="n">
        <f aca="false">MIN($V$5,AP55)</f>
        <v>4.60745260253354</v>
      </c>
      <c r="AR55" s="112"/>
      <c r="AS55" s="112" t="n">
        <f aca="false">AS54+AS$7/100</f>
        <v>0.94</v>
      </c>
      <c r="AT55" s="122" t="n">
        <f aca="false">AS55-IF($I$3="Forward", $D$9, $G$9)</f>
        <v>0.94</v>
      </c>
      <c r="AU55" s="112" t="n">
        <f aca="false">AS55*TAN(RADIANS(AW$7))-(IF($B$4, 9.807, 32.174)*AS55^2)/(2*AV$7^2*COS(RADIANS(AW$7))^2)+$D$7</f>
        <v>4.60745260253354</v>
      </c>
      <c r="AV55" s="123" t="n">
        <f aca="false">MIN($V$5,AU55)</f>
        <v>4.60745260253354</v>
      </c>
      <c r="AW55" s="112"/>
      <c r="AX55" s="112" t="n">
        <f aca="false">AX54+AX$7/100</f>
        <v>0.94</v>
      </c>
      <c r="AY55" s="122" t="n">
        <f aca="false">AX55+IF($I$3="Forward", $D$9, $G$9)</f>
        <v>0.94</v>
      </c>
      <c r="AZ55" s="112" t="n">
        <f aca="false">AX55*TAN(RADIANS(BB$7))-(IF($B$4, 9.807, 32.174)*AX55^2)/(2*BA$7^2*COS(RADIANS(BB$7))^2)+$D$7</f>
        <v>4.60745260253354</v>
      </c>
      <c r="BA55" s="123" t="n">
        <f aca="false">MIN($V$5,AZ55)</f>
        <v>4.60745260253354</v>
      </c>
      <c r="BB55" s="112"/>
      <c r="BC55" s="112" t="n">
        <f aca="false">BC54+BC$7/100</f>
        <v>0.94</v>
      </c>
      <c r="BD55" s="112" t="n">
        <f aca="false">BC55</f>
        <v>0.94</v>
      </c>
      <c r="BE55" s="112" t="n">
        <f aca="false">BC55*TAN(RADIANS(BG$7))-(IF($B$4, 9.807, 32.174)*BC55^2)/(2*BF$7^2*COS(RADIANS(BG$7))^2)+$D$7</f>
        <v>4.60745260253354</v>
      </c>
      <c r="BF55" s="123" t="n">
        <f aca="false">MIN($V$5,BE55)</f>
        <v>4.60745260253354</v>
      </c>
      <c r="BG55" s="112"/>
      <c r="BH55" s="112" t="n">
        <f aca="false">BH54+BH$7/100</f>
        <v>0.94</v>
      </c>
      <c r="BI55" s="122" t="n">
        <f aca="false">BH55-IF($I$3="Forward", $D$9, $G$9)</f>
        <v>0.94</v>
      </c>
      <c r="BJ55" s="112" t="n">
        <f aca="false">BH55*TAN(RADIANS(BL$7))-(IF($B$4, 9.807, 32.174)*BH55^2)/(2*BK$7^2*COS(RADIANS(BL$7))^2)+$D$7</f>
        <v>4.60745260253354</v>
      </c>
      <c r="BK55" s="123" t="n">
        <f aca="false">MIN($V$5,BJ55)</f>
        <v>4.60745260253354</v>
      </c>
      <c r="BL55" s="112"/>
      <c r="BM55" s="112" t="n">
        <f aca="false">BM54+BM$7/100</f>
        <v>0.94</v>
      </c>
      <c r="BN55" s="122" t="n">
        <f aca="false">BM55+IF($I$3="Forward", $D$9, $G$9)</f>
        <v>0.94</v>
      </c>
      <c r="BO55" s="112" t="n">
        <f aca="false">BM55*TAN(RADIANS(BQ$7))-(IF($B$4, 9.807, 32.174)*BM55^2)/(2*BP$7^2*COS(RADIANS(BQ$7))^2)+$D$7</f>
        <v>4.60745260253354</v>
      </c>
      <c r="BP55" s="123" t="n">
        <f aca="false">MIN($V$5,BO55)</f>
        <v>4.60745260253354</v>
      </c>
      <c r="BQ55" s="112"/>
      <c r="BR55" s="112" t="n">
        <f aca="false">BR54+BR$7/100</f>
        <v>0.94</v>
      </c>
      <c r="BS55" s="112" t="n">
        <f aca="false">BR55</f>
        <v>0.94</v>
      </c>
      <c r="BT55" s="112" t="n">
        <f aca="false">BR55*TAN(RADIANS(BV$7))-(IF($B$4, 9.807, 32.174)*BR55^2)/(2*BU$7^2*COS(RADIANS(BV$7))^2)+$D$7</f>
        <v>4.60745260253354</v>
      </c>
      <c r="BU55" s="123" t="n">
        <f aca="false">MIN($V$5,BT55)</f>
        <v>4.60745260253354</v>
      </c>
      <c r="BV55" s="112"/>
      <c r="BW55" s="112" t="n">
        <f aca="false">BW54+BW$7/100</f>
        <v>0.94</v>
      </c>
      <c r="BX55" s="122" t="n">
        <f aca="false">BW55-IF($I$3="Forward", $D$9, $G$9)</f>
        <v>0.94</v>
      </c>
      <c r="BY55" s="112" t="n">
        <f aca="false">BW55*TAN(RADIANS(CA$7))-(IF($B$4, 9.807, 32.174)*BW55^2)/(2*BZ$7^2*COS(RADIANS(CA$7))^2)+$D$7</f>
        <v>4.60745260253354</v>
      </c>
      <c r="BZ55" s="123" t="n">
        <f aca="false">MIN($V$5,BY55)</f>
        <v>4.60745260253354</v>
      </c>
      <c r="CA55" s="112"/>
      <c r="CB55" s="112" t="n">
        <f aca="false">CB54+CB$7/100</f>
        <v>0.94</v>
      </c>
      <c r="CC55" s="122" t="n">
        <f aca="false">CB55+IF($I$3="Forward", $D$9, $G$9)</f>
        <v>0.94</v>
      </c>
      <c r="CD55" s="112" t="n">
        <f aca="false">CB55*TAN(RADIANS(CF$7))-(IF($B$4, 9.807, 32.174)*CB55^2)/(2*CE$7^2*COS(RADIANS(CF$7))^2)+$D$7</f>
        <v>4.60745260253354</v>
      </c>
      <c r="CE55" s="123" t="n">
        <f aca="false">MIN($V$5,CD55)</f>
        <v>4.60745260253354</v>
      </c>
      <c r="CF55" s="112"/>
      <c r="CG55" s="124" t="n">
        <f aca="false">CG54+CG$7/100</f>
        <v>0.94</v>
      </c>
      <c r="CH55" s="124" t="n">
        <f aca="false">CG55</f>
        <v>0.94</v>
      </c>
      <c r="CI55" s="124" t="n">
        <f aca="false">CG55*TAN(RADIANS(CK$7))-(IF($B$4, 9.807, 32.174)*CG55^2)/(2*CJ$7^2*COS(RADIANS(CK$7))^2)+$D$7</f>
        <v>4.60745260253354</v>
      </c>
      <c r="CJ55" s="123" t="n">
        <f aca="false">MIN($V$5,CI55)</f>
        <v>4.60745260253354</v>
      </c>
      <c r="CK55" s="124"/>
      <c r="CL55" s="112" t="n">
        <f aca="false">CL54+CL$7/100</f>
        <v>0.94</v>
      </c>
      <c r="CM55" s="122" t="n">
        <f aca="false">CL55-IF($I$3="Forward", $D$9, $G$9)</f>
        <v>0.94</v>
      </c>
      <c r="CN55" s="112" t="n">
        <f aca="false">CL55*TAN(RADIANS(CP$7))-(IF($B$4, 9.807, 32.174)*CL55^2)/(2*CO$7^2*COS(RADIANS(CP$7))^2)+$D$7</f>
        <v>4.60745260253354</v>
      </c>
      <c r="CO55" s="123" t="n">
        <f aca="false">MIN($V$5,CN55)</f>
        <v>4.60745260253354</v>
      </c>
      <c r="CP55" s="112"/>
      <c r="CQ55" s="112" t="n">
        <f aca="false">CQ54+CQ$7/100</f>
        <v>0.94</v>
      </c>
      <c r="CR55" s="122" t="n">
        <f aca="false">CQ55+IF($I$3="Forward", $D$9, $G$9)</f>
        <v>0.94</v>
      </c>
      <c r="CS55" s="112" t="n">
        <f aca="false">CQ55*TAN(RADIANS(CU$7))-(IF($B$4, 9.807, 32.174)*CQ55^2)/(2*CT$7^2*COS(RADIANS(CU$7))^2)+$D$7</f>
        <v>4.60745260253354</v>
      </c>
      <c r="CT55" s="123" t="n">
        <f aca="false">MIN($V$5,CS55)</f>
        <v>4.60745260253354</v>
      </c>
      <c r="CU55" s="112"/>
      <c r="CV55" s="112" t="n">
        <f aca="false">CV54+CV$7/100</f>
        <v>0.94</v>
      </c>
      <c r="CW55" s="112" t="n">
        <f aca="false">CV55</f>
        <v>0.94</v>
      </c>
      <c r="CX55" s="112" t="n">
        <f aca="false">CV55*TAN(RADIANS(CZ$7))-(IF($B$4, 9.807, 32.174)*CV55^2)/(2*CY$7^2*COS(RADIANS(CZ$7))^2)+$D$7</f>
        <v>4.60745260253354</v>
      </c>
      <c r="CY55" s="123" t="n">
        <f aca="false">MIN($V$5,CX55)</f>
        <v>4.60745260253354</v>
      </c>
      <c r="CZ55" s="112"/>
      <c r="DA55" s="112" t="n">
        <f aca="false">DA54+DA$7/100</f>
        <v>0.94</v>
      </c>
      <c r="DB55" s="122" t="n">
        <f aca="false">DA55-IF($I$3="Forward", $D$9, $G$9)</f>
        <v>0.94</v>
      </c>
      <c r="DC55" s="112" t="n">
        <f aca="false">DA55*TAN(RADIANS(DE$7))-(IF($B$4, 9.807, 32.174)*DA55^2)/(2*DD$7^2*COS(RADIANS(DE$7))^2)+$D$7</f>
        <v>4.60745260253354</v>
      </c>
      <c r="DD55" s="123" t="n">
        <f aca="false">MIN($V$5,DC55)</f>
        <v>4.60745260253354</v>
      </c>
      <c r="DE55" s="112"/>
      <c r="DF55" s="112" t="n">
        <f aca="false">DF54+DF$7/100</f>
        <v>0.94</v>
      </c>
      <c r="DG55" s="122" t="n">
        <f aca="false">DF55+IF($I$3="Forward", $D$9, $G$9)</f>
        <v>0.94</v>
      </c>
      <c r="DH55" s="112" t="n">
        <f aca="false">DF55*TAN(RADIANS(DJ$7))-(IF($B$4, 9.807, 32.174)*DF55^2)/(2*DI$7^2*COS(RADIANS(DJ$7))^2)+$D$7</f>
        <v>4.60745260253354</v>
      </c>
      <c r="DI55" s="123" t="n">
        <f aca="false">MIN($V$5,DH55)</f>
        <v>4.60745260253354</v>
      </c>
      <c r="DJ55" s="112"/>
      <c r="DK55" s="112" t="n">
        <f aca="false">DK54+DK$7/100</f>
        <v>0.94</v>
      </c>
      <c r="DL55" s="112" t="n">
        <f aca="false">DK55</f>
        <v>0.94</v>
      </c>
      <c r="DM55" s="112" t="n">
        <f aca="false">DK55*TAN(RADIANS(DO$7))-(IF($B$4, 9.807, 32.174)*DK55^2)/(2*DN$7^2*COS(RADIANS(DO$7))^2)+$D$7</f>
        <v>4.60745260253354</v>
      </c>
      <c r="DN55" s="123" t="n">
        <f aca="false">MIN($V$5,DM55)</f>
        <v>4.60745260253354</v>
      </c>
      <c r="DO55" s="112"/>
      <c r="DP55" s="112" t="n">
        <f aca="false">DP54+DP$7/100</f>
        <v>0.94</v>
      </c>
      <c r="DQ55" s="122" t="n">
        <f aca="false">DP55-IF($I$3="Forward", $D$9, $G$9)</f>
        <v>0.94</v>
      </c>
      <c r="DR55" s="112" t="n">
        <f aca="false">DP55*TAN(RADIANS(DT$7))-(IF($B$4, 9.807, 32.174)*DP55^2)/(2*DS$7^2*COS(RADIANS(DT$7))^2)+$D$7</f>
        <v>4.60745260253354</v>
      </c>
      <c r="DS55" s="123" t="n">
        <f aca="false">MIN($V$5,DR55)</f>
        <v>4.60745260253354</v>
      </c>
      <c r="DT55" s="112"/>
      <c r="DU55" s="112" t="n">
        <f aca="false">DU54+DU$7/100</f>
        <v>0.94</v>
      </c>
      <c r="DV55" s="122" t="n">
        <f aca="false">DU55+IF($I$3="Forward", $D$9, $G$9)</f>
        <v>0.94</v>
      </c>
      <c r="DW55" s="112" t="n">
        <f aca="false">DU55*TAN(RADIANS(DY$7))-(IF($B$4, 9.807, 32.174)*DU55^2)/(2*DX$7^2*COS(RADIANS(DY$7))^2)+$D$7</f>
        <v>4.60745260253354</v>
      </c>
      <c r="DX55" s="123" t="n">
        <f aca="false">MIN($V$5,DW55)</f>
        <v>4.60745260253354</v>
      </c>
      <c r="DY55" s="112"/>
      <c r="DZ55" s="112" t="n">
        <f aca="false">DZ54+DZ$7/100</f>
        <v>0.94</v>
      </c>
      <c r="EA55" s="112" t="n">
        <f aca="false">DZ55</f>
        <v>0.94</v>
      </c>
      <c r="EB55" s="112" t="n">
        <f aca="false">DZ55*TAN(RADIANS(ED$7))-(IF($B$4, 9.807, 32.174)*DZ55^2)/(2*EC$7^2*COS(RADIANS(ED$7))^2)+$D$7</f>
        <v>4.60745260253354</v>
      </c>
      <c r="EC55" s="123" t="n">
        <f aca="false">MIN($V$5,EB55)</f>
        <v>4.60745260253354</v>
      </c>
      <c r="ED55" s="112"/>
      <c r="EE55" s="112" t="n">
        <f aca="false">EE54+EE$7/100</f>
        <v>0.94</v>
      </c>
      <c r="EF55" s="122" t="n">
        <f aca="false">EE55-IF($I$3="Forward", $D$9, $G$9)</f>
        <v>0.94</v>
      </c>
      <c r="EG55" s="112" t="n">
        <f aca="false">EE55*TAN(RADIANS(EI$7))-(IF($B$4, 9.807, 32.174)*EE55^2)/(2*EH$7^2*COS(RADIANS(EI$7))^2)+$D$7</f>
        <v>4.60745260253354</v>
      </c>
      <c r="EH55" s="123" t="n">
        <f aca="false">MIN($V$5,EG55)</f>
        <v>4.60745260253354</v>
      </c>
      <c r="EI55" s="112"/>
      <c r="EJ55" s="112" t="n">
        <f aca="false">EJ54+EJ$7/100</f>
        <v>0.94</v>
      </c>
      <c r="EK55" s="122" t="n">
        <f aca="false">EJ55+IF($I$3="Forward", $D$9, $G$9)</f>
        <v>0.94</v>
      </c>
      <c r="EL55" s="112" t="n">
        <f aca="false">EJ55*TAN(RADIANS(EN$7))-(IF($B$4, 9.807, 32.174)*EJ55^2)/(2*EM$7^2*COS(RADIANS(EN$7))^2)+$D$7</f>
        <v>4.60745260253354</v>
      </c>
      <c r="EM55" s="123" t="n">
        <f aca="false">MIN($V$5,EL55)</f>
        <v>4.60745260253354</v>
      </c>
      <c r="EN55" s="112"/>
      <c r="EO55" s="112" t="n">
        <f aca="false">EO54+EO$7/100</f>
        <v>0.94</v>
      </c>
      <c r="EP55" s="112" t="n">
        <f aca="false">EO55</f>
        <v>0.94</v>
      </c>
      <c r="EQ55" s="112" t="n">
        <f aca="false">EO55*TAN(RADIANS(ES$7))-(IF($B$4, 9.807, 32.174)*EO55^2)/(2*ER$7^2*COS(RADIANS(ES$7))^2)+$D$7</f>
        <v>4.60745260253354</v>
      </c>
      <c r="ER55" s="123" t="n">
        <f aca="false">MIN($V$5,EQ55)</f>
        <v>4.60745260253354</v>
      </c>
      <c r="ES55" s="112"/>
      <c r="ET55" s="112" t="n">
        <f aca="false">ET54+ET$7/100</f>
        <v>0.94</v>
      </c>
      <c r="EU55" s="122" t="n">
        <f aca="false">ET55-IF($I$3="Forward", $D$9, $G$9)</f>
        <v>0.94</v>
      </c>
      <c r="EV55" s="112" t="n">
        <f aca="false">ET55*TAN(RADIANS(EX$7))-(IF($B$4, 9.807, 32.174)*ET55^2)/(2*EW$7^2*COS(RADIANS(EX$7))^2)+$D$7</f>
        <v>4.60745260253354</v>
      </c>
      <c r="EW55" s="123" t="n">
        <f aca="false">MIN($V$5,EV55)</f>
        <v>4.60745260253354</v>
      </c>
      <c r="EX55" s="112"/>
    </row>
    <row r="56" s="131" customFormat="true" ht="15" hidden="false" customHeight="false" outlineLevel="0" collapsed="false">
      <c r="T56" s="112" t="n">
        <f aca="false">T55+T$7/100</f>
        <v>0.960000000000001</v>
      </c>
      <c r="U56" s="122" t="n">
        <f aca="false">T56+IF($I$3="Forward", $D$9, $G$9)</f>
        <v>0.960000000000001</v>
      </c>
      <c r="V56" s="112" t="n">
        <f aca="false">T56*TAN(RADIANS(X$7))-(IF($B$4, 9.807, 32.174)*T56^2)/(2*W$7^2*COS(RADIANS(X$7))^2)+$D$7</f>
        <v>4.63622388435316</v>
      </c>
      <c r="W56" s="123" t="n">
        <f aca="false">MIN($V$5,V56)</f>
        <v>4.63622388435316</v>
      </c>
      <c r="X56" s="112"/>
      <c r="Y56" s="112" t="n">
        <f aca="false">Y55+Y$7/100</f>
        <v>0.960000000000001</v>
      </c>
      <c r="Z56" s="112" t="n">
        <f aca="false">Y56</f>
        <v>0.960000000000001</v>
      </c>
      <c r="AA56" s="112" t="n">
        <f aca="false">Y56*TAN(RADIANS(AC$7))-(IF($B$4, 9.807, 32.174)*Y56^2)/(2*AB$7^2*COS(RADIANS(AC$7))^2)+$D$7</f>
        <v>4.63622388435316</v>
      </c>
      <c r="AB56" s="123" t="n">
        <f aca="false">MIN($V$5,AA56)</f>
        <v>4.63622388435316</v>
      </c>
      <c r="AC56" s="112"/>
      <c r="AD56" s="112" t="n">
        <f aca="false">AD55+AD$7/100</f>
        <v>0.960000000000001</v>
      </c>
      <c r="AE56" s="122" t="n">
        <f aca="false">AD56-IF($I$3="Forward", $D$9, $G$9)</f>
        <v>0.960000000000001</v>
      </c>
      <c r="AF56" s="112" t="n">
        <f aca="false">AD56*TAN(RADIANS(AH$7))-(IF($B$4, 9.807, 32.174)*AD56^2)/(2*AG$7^2*COS(RADIANS(AH$7))^2)+$D$7</f>
        <v>4.63622388435316</v>
      </c>
      <c r="AG56" s="123" t="n">
        <f aca="false">MIN($V$5,AF56)</f>
        <v>4.63622388435316</v>
      </c>
      <c r="AH56" s="112"/>
      <c r="AI56" s="112" t="n">
        <f aca="false">AI55+AI$7/100</f>
        <v>0.960000000000001</v>
      </c>
      <c r="AJ56" s="122" t="n">
        <f aca="false">AI56+IF($I$3="Forward", $D$9, $G$9)</f>
        <v>0.960000000000001</v>
      </c>
      <c r="AK56" s="112" t="n">
        <f aca="false">AI56*TAN(RADIANS(AM$7))-(IF($B$4, 9.807, 32.174)*AI56^2)/(2*AL$7^2*COS(RADIANS(AM$7))^2)+$D$7</f>
        <v>4.63622388435316</v>
      </c>
      <c r="AL56" s="123" t="n">
        <f aca="false">MIN($V$5,AK56)</f>
        <v>4.63622388435316</v>
      </c>
      <c r="AM56" s="112"/>
      <c r="AN56" s="112" t="n">
        <f aca="false">AN55+AN$7/100</f>
        <v>0.960000000000001</v>
      </c>
      <c r="AO56" s="112" t="n">
        <f aca="false">AN56</f>
        <v>0.960000000000001</v>
      </c>
      <c r="AP56" s="112" t="n">
        <f aca="false">AN56*TAN(RADIANS(AR$7))-(IF($B$4, 9.807, 32.174)*AN56^2)/(2*AQ$7^2*COS(RADIANS(AR$7))^2)+$D$7</f>
        <v>4.63622388435316</v>
      </c>
      <c r="AQ56" s="123" t="n">
        <f aca="false">MIN($V$5,AP56)</f>
        <v>4.63622388435316</v>
      </c>
      <c r="AR56" s="112"/>
      <c r="AS56" s="112" t="n">
        <f aca="false">AS55+AS$7/100</f>
        <v>0.960000000000001</v>
      </c>
      <c r="AT56" s="122" t="n">
        <f aca="false">AS56-IF($I$3="Forward", $D$9, $G$9)</f>
        <v>0.960000000000001</v>
      </c>
      <c r="AU56" s="112" t="n">
        <f aca="false">AS56*TAN(RADIANS(AW$7))-(IF($B$4, 9.807, 32.174)*AS56^2)/(2*AV$7^2*COS(RADIANS(AW$7))^2)+$D$7</f>
        <v>4.63622388435316</v>
      </c>
      <c r="AV56" s="123" t="n">
        <f aca="false">MIN($V$5,AU56)</f>
        <v>4.63622388435316</v>
      </c>
      <c r="AW56" s="112"/>
      <c r="AX56" s="112" t="n">
        <f aca="false">AX55+AX$7/100</f>
        <v>0.960000000000001</v>
      </c>
      <c r="AY56" s="122" t="n">
        <f aca="false">AX56+IF($I$3="Forward", $D$9, $G$9)</f>
        <v>0.960000000000001</v>
      </c>
      <c r="AZ56" s="112" t="n">
        <f aca="false">AX56*TAN(RADIANS(BB$7))-(IF($B$4, 9.807, 32.174)*AX56^2)/(2*BA$7^2*COS(RADIANS(BB$7))^2)+$D$7</f>
        <v>4.63622388435316</v>
      </c>
      <c r="BA56" s="123" t="n">
        <f aca="false">MIN($V$5,AZ56)</f>
        <v>4.63622388435316</v>
      </c>
      <c r="BB56" s="112"/>
      <c r="BC56" s="112" t="n">
        <f aca="false">BC55+BC$7/100</f>
        <v>0.960000000000001</v>
      </c>
      <c r="BD56" s="112" t="n">
        <f aca="false">BC56</f>
        <v>0.960000000000001</v>
      </c>
      <c r="BE56" s="112" t="n">
        <f aca="false">BC56*TAN(RADIANS(BG$7))-(IF($B$4, 9.807, 32.174)*BC56^2)/(2*BF$7^2*COS(RADIANS(BG$7))^2)+$D$7</f>
        <v>4.63622388435316</v>
      </c>
      <c r="BF56" s="123" t="n">
        <f aca="false">MIN($V$5,BE56)</f>
        <v>4.63622388435316</v>
      </c>
      <c r="BG56" s="112"/>
      <c r="BH56" s="112" t="n">
        <f aca="false">BH55+BH$7/100</f>
        <v>0.960000000000001</v>
      </c>
      <c r="BI56" s="122" t="n">
        <f aca="false">BH56-IF($I$3="Forward", $D$9, $G$9)</f>
        <v>0.960000000000001</v>
      </c>
      <c r="BJ56" s="112" t="n">
        <f aca="false">BH56*TAN(RADIANS(BL$7))-(IF($B$4, 9.807, 32.174)*BH56^2)/(2*BK$7^2*COS(RADIANS(BL$7))^2)+$D$7</f>
        <v>4.63622388435316</v>
      </c>
      <c r="BK56" s="123" t="n">
        <f aca="false">MIN($V$5,BJ56)</f>
        <v>4.63622388435316</v>
      </c>
      <c r="BL56" s="112"/>
      <c r="BM56" s="112" t="n">
        <f aca="false">BM55+BM$7/100</f>
        <v>0.960000000000001</v>
      </c>
      <c r="BN56" s="122" t="n">
        <f aca="false">BM56+IF($I$3="Forward", $D$9, $G$9)</f>
        <v>0.960000000000001</v>
      </c>
      <c r="BO56" s="112" t="n">
        <f aca="false">BM56*TAN(RADIANS(BQ$7))-(IF($B$4, 9.807, 32.174)*BM56^2)/(2*BP$7^2*COS(RADIANS(BQ$7))^2)+$D$7</f>
        <v>4.63622388435316</v>
      </c>
      <c r="BP56" s="123" t="n">
        <f aca="false">MIN($V$5,BO56)</f>
        <v>4.63622388435316</v>
      </c>
      <c r="BQ56" s="112"/>
      <c r="BR56" s="112" t="n">
        <f aca="false">BR55+BR$7/100</f>
        <v>0.960000000000001</v>
      </c>
      <c r="BS56" s="112" t="n">
        <f aca="false">BR56</f>
        <v>0.960000000000001</v>
      </c>
      <c r="BT56" s="112" t="n">
        <f aca="false">BR56*TAN(RADIANS(BV$7))-(IF($B$4, 9.807, 32.174)*BR56^2)/(2*BU$7^2*COS(RADIANS(BV$7))^2)+$D$7</f>
        <v>4.63622388435316</v>
      </c>
      <c r="BU56" s="123" t="n">
        <f aca="false">MIN($V$5,BT56)</f>
        <v>4.63622388435316</v>
      </c>
      <c r="BV56" s="112"/>
      <c r="BW56" s="112" t="n">
        <f aca="false">BW55+BW$7/100</f>
        <v>0.960000000000001</v>
      </c>
      <c r="BX56" s="122" t="n">
        <f aca="false">BW56-IF($I$3="Forward", $D$9, $G$9)</f>
        <v>0.960000000000001</v>
      </c>
      <c r="BY56" s="112" t="n">
        <f aca="false">BW56*TAN(RADIANS(CA$7))-(IF($B$4, 9.807, 32.174)*BW56^2)/(2*BZ$7^2*COS(RADIANS(CA$7))^2)+$D$7</f>
        <v>4.63622388435316</v>
      </c>
      <c r="BZ56" s="123" t="n">
        <f aca="false">MIN($V$5,BY56)</f>
        <v>4.63622388435316</v>
      </c>
      <c r="CA56" s="112"/>
      <c r="CB56" s="112" t="n">
        <f aca="false">CB55+CB$7/100</f>
        <v>0.960000000000001</v>
      </c>
      <c r="CC56" s="122" t="n">
        <f aca="false">CB56+IF($I$3="Forward", $D$9, $G$9)</f>
        <v>0.960000000000001</v>
      </c>
      <c r="CD56" s="112" t="n">
        <f aca="false">CB56*TAN(RADIANS(CF$7))-(IF($B$4, 9.807, 32.174)*CB56^2)/(2*CE$7^2*COS(RADIANS(CF$7))^2)+$D$7</f>
        <v>4.63622388435316</v>
      </c>
      <c r="CE56" s="123" t="n">
        <f aca="false">MIN($V$5,CD56)</f>
        <v>4.63622388435316</v>
      </c>
      <c r="CF56" s="112"/>
      <c r="CG56" s="124" t="n">
        <f aca="false">CG55+CG$7/100</f>
        <v>0.960000000000001</v>
      </c>
      <c r="CH56" s="124" t="n">
        <f aca="false">CG56</f>
        <v>0.960000000000001</v>
      </c>
      <c r="CI56" s="124" t="n">
        <f aca="false">CG56*TAN(RADIANS(CK$7))-(IF($B$4, 9.807, 32.174)*CG56^2)/(2*CJ$7^2*COS(RADIANS(CK$7))^2)+$D$7</f>
        <v>4.63622388435316</v>
      </c>
      <c r="CJ56" s="123" t="n">
        <f aca="false">MIN($V$5,CI56)</f>
        <v>4.63622388435316</v>
      </c>
      <c r="CK56" s="124"/>
      <c r="CL56" s="112" t="n">
        <f aca="false">CL55+CL$7/100</f>
        <v>0.960000000000001</v>
      </c>
      <c r="CM56" s="122" t="n">
        <f aca="false">CL56-IF($I$3="Forward", $D$9, $G$9)</f>
        <v>0.960000000000001</v>
      </c>
      <c r="CN56" s="112" t="n">
        <f aca="false">CL56*TAN(RADIANS(CP$7))-(IF($B$4, 9.807, 32.174)*CL56^2)/(2*CO$7^2*COS(RADIANS(CP$7))^2)+$D$7</f>
        <v>4.63622388435316</v>
      </c>
      <c r="CO56" s="123" t="n">
        <f aca="false">MIN($V$5,CN56)</f>
        <v>4.63622388435316</v>
      </c>
      <c r="CP56" s="112"/>
      <c r="CQ56" s="112" t="n">
        <f aca="false">CQ55+CQ$7/100</f>
        <v>0.960000000000001</v>
      </c>
      <c r="CR56" s="122" t="n">
        <f aca="false">CQ56+IF($I$3="Forward", $D$9, $G$9)</f>
        <v>0.960000000000001</v>
      </c>
      <c r="CS56" s="112" t="n">
        <f aca="false">CQ56*TAN(RADIANS(CU$7))-(IF($B$4, 9.807, 32.174)*CQ56^2)/(2*CT$7^2*COS(RADIANS(CU$7))^2)+$D$7</f>
        <v>4.63622388435316</v>
      </c>
      <c r="CT56" s="123" t="n">
        <f aca="false">MIN($V$5,CS56)</f>
        <v>4.63622388435316</v>
      </c>
      <c r="CU56" s="112"/>
      <c r="CV56" s="112" t="n">
        <f aca="false">CV55+CV$7/100</f>
        <v>0.960000000000001</v>
      </c>
      <c r="CW56" s="112" t="n">
        <f aca="false">CV56</f>
        <v>0.960000000000001</v>
      </c>
      <c r="CX56" s="112" t="n">
        <f aca="false">CV56*TAN(RADIANS(CZ$7))-(IF($B$4, 9.807, 32.174)*CV56^2)/(2*CY$7^2*COS(RADIANS(CZ$7))^2)+$D$7</f>
        <v>4.63622388435316</v>
      </c>
      <c r="CY56" s="123" t="n">
        <f aca="false">MIN($V$5,CX56)</f>
        <v>4.63622388435316</v>
      </c>
      <c r="CZ56" s="112"/>
      <c r="DA56" s="112" t="n">
        <f aca="false">DA55+DA$7/100</f>
        <v>0.960000000000001</v>
      </c>
      <c r="DB56" s="122" t="n">
        <f aca="false">DA56-IF($I$3="Forward", $D$9, $G$9)</f>
        <v>0.960000000000001</v>
      </c>
      <c r="DC56" s="112" t="n">
        <f aca="false">DA56*TAN(RADIANS(DE$7))-(IF($B$4, 9.807, 32.174)*DA56^2)/(2*DD$7^2*COS(RADIANS(DE$7))^2)+$D$7</f>
        <v>4.63622388435316</v>
      </c>
      <c r="DD56" s="123" t="n">
        <f aca="false">MIN($V$5,DC56)</f>
        <v>4.63622388435316</v>
      </c>
      <c r="DE56" s="112"/>
      <c r="DF56" s="112" t="n">
        <f aca="false">DF55+DF$7/100</f>
        <v>0.960000000000001</v>
      </c>
      <c r="DG56" s="122" t="n">
        <f aca="false">DF56+IF($I$3="Forward", $D$9, $G$9)</f>
        <v>0.960000000000001</v>
      </c>
      <c r="DH56" s="112" t="n">
        <f aca="false">DF56*TAN(RADIANS(DJ$7))-(IF($B$4, 9.807, 32.174)*DF56^2)/(2*DI$7^2*COS(RADIANS(DJ$7))^2)+$D$7</f>
        <v>4.63622388435316</v>
      </c>
      <c r="DI56" s="123" t="n">
        <f aca="false">MIN($V$5,DH56)</f>
        <v>4.63622388435316</v>
      </c>
      <c r="DJ56" s="112"/>
      <c r="DK56" s="112" t="n">
        <f aca="false">DK55+DK$7/100</f>
        <v>0.960000000000001</v>
      </c>
      <c r="DL56" s="112" t="n">
        <f aca="false">DK56</f>
        <v>0.960000000000001</v>
      </c>
      <c r="DM56" s="112" t="n">
        <f aca="false">DK56*TAN(RADIANS(DO$7))-(IF($B$4, 9.807, 32.174)*DK56^2)/(2*DN$7^2*COS(RADIANS(DO$7))^2)+$D$7</f>
        <v>4.63622388435316</v>
      </c>
      <c r="DN56" s="123" t="n">
        <f aca="false">MIN($V$5,DM56)</f>
        <v>4.63622388435316</v>
      </c>
      <c r="DO56" s="112"/>
      <c r="DP56" s="112" t="n">
        <f aca="false">DP55+DP$7/100</f>
        <v>0.960000000000001</v>
      </c>
      <c r="DQ56" s="122" t="n">
        <f aca="false">DP56-IF($I$3="Forward", $D$9, $G$9)</f>
        <v>0.960000000000001</v>
      </c>
      <c r="DR56" s="112" t="n">
        <f aca="false">DP56*TAN(RADIANS(DT$7))-(IF($B$4, 9.807, 32.174)*DP56^2)/(2*DS$7^2*COS(RADIANS(DT$7))^2)+$D$7</f>
        <v>4.63622388435316</v>
      </c>
      <c r="DS56" s="123" t="n">
        <f aca="false">MIN($V$5,DR56)</f>
        <v>4.63622388435316</v>
      </c>
      <c r="DT56" s="112"/>
      <c r="DU56" s="112" t="n">
        <f aca="false">DU55+DU$7/100</f>
        <v>0.960000000000001</v>
      </c>
      <c r="DV56" s="122" t="n">
        <f aca="false">DU56+IF($I$3="Forward", $D$9, $G$9)</f>
        <v>0.960000000000001</v>
      </c>
      <c r="DW56" s="112" t="n">
        <f aca="false">DU56*TAN(RADIANS(DY$7))-(IF($B$4, 9.807, 32.174)*DU56^2)/(2*DX$7^2*COS(RADIANS(DY$7))^2)+$D$7</f>
        <v>4.63622388435316</v>
      </c>
      <c r="DX56" s="123" t="n">
        <f aca="false">MIN($V$5,DW56)</f>
        <v>4.63622388435316</v>
      </c>
      <c r="DY56" s="112"/>
      <c r="DZ56" s="112" t="n">
        <f aca="false">DZ55+DZ$7/100</f>
        <v>0.960000000000001</v>
      </c>
      <c r="EA56" s="112" t="n">
        <f aca="false">DZ56</f>
        <v>0.960000000000001</v>
      </c>
      <c r="EB56" s="112" t="n">
        <f aca="false">DZ56*TAN(RADIANS(ED$7))-(IF($B$4, 9.807, 32.174)*DZ56^2)/(2*EC$7^2*COS(RADIANS(ED$7))^2)+$D$7</f>
        <v>4.63622388435316</v>
      </c>
      <c r="EC56" s="123" t="n">
        <f aca="false">MIN($V$5,EB56)</f>
        <v>4.63622388435316</v>
      </c>
      <c r="ED56" s="112"/>
      <c r="EE56" s="112" t="n">
        <f aca="false">EE55+EE$7/100</f>
        <v>0.960000000000001</v>
      </c>
      <c r="EF56" s="122" t="n">
        <f aca="false">EE56-IF($I$3="Forward", $D$9, $G$9)</f>
        <v>0.960000000000001</v>
      </c>
      <c r="EG56" s="112" t="n">
        <f aca="false">EE56*TAN(RADIANS(EI$7))-(IF($B$4, 9.807, 32.174)*EE56^2)/(2*EH$7^2*COS(RADIANS(EI$7))^2)+$D$7</f>
        <v>4.63622388435316</v>
      </c>
      <c r="EH56" s="123" t="n">
        <f aca="false">MIN($V$5,EG56)</f>
        <v>4.63622388435316</v>
      </c>
      <c r="EI56" s="112"/>
      <c r="EJ56" s="112" t="n">
        <f aca="false">EJ55+EJ$7/100</f>
        <v>0.960000000000001</v>
      </c>
      <c r="EK56" s="122" t="n">
        <f aca="false">EJ56+IF($I$3="Forward", $D$9, $G$9)</f>
        <v>0.960000000000001</v>
      </c>
      <c r="EL56" s="112" t="n">
        <f aca="false">EJ56*TAN(RADIANS(EN$7))-(IF($B$4, 9.807, 32.174)*EJ56^2)/(2*EM$7^2*COS(RADIANS(EN$7))^2)+$D$7</f>
        <v>4.63622388435316</v>
      </c>
      <c r="EM56" s="123" t="n">
        <f aca="false">MIN($V$5,EL56)</f>
        <v>4.63622388435316</v>
      </c>
      <c r="EN56" s="112"/>
      <c r="EO56" s="112" t="n">
        <f aca="false">EO55+EO$7/100</f>
        <v>0.960000000000001</v>
      </c>
      <c r="EP56" s="112" t="n">
        <f aca="false">EO56</f>
        <v>0.960000000000001</v>
      </c>
      <c r="EQ56" s="112" t="n">
        <f aca="false">EO56*TAN(RADIANS(ES$7))-(IF($B$4, 9.807, 32.174)*EO56^2)/(2*ER$7^2*COS(RADIANS(ES$7))^2)+$D$7</f>
        <v>4.63622388435316</v>
      </c>
      <c r="ER56" s="123" t="n">
        <f aca="false">MIN($V$5,EQ56)</f>
        <v>4.63622388435316</v>
      </c>
      <c r="ES56" s="112"/>
      <c r="ET56" s="112" t="n">
        <f aca="false">ET55+ET$7/100</f>
        <v>0.960000000000001</v>
      </c>
      <c r="EU56" s="122" t="n">
        <f aca="false">ET56-IF($I$3="Forward", $D$9, $G$9)</f>
        <v>0.960000000000001</v>
      </c>
      <c r="EV56" s="112" t="n">
        <f aca="false">ET56*TAN(RADIANS(EX$7))-(IF($B$4, 9.807, 32.174)*ET56^2)/(2*EW$7^2*COS(RADIANS(EX$7))^2)+$D$7</f>
        <v>4.63622388435316</v>
      </c>
      <c r="EW56" s="123" t="n">
        <f aca="false">MIN($V$5,EV56)</f>
        <v>4.63622388435316</v>
      </c>
      <c r="EX56" s="112"/>
    </row>
    <row r="57" s="131" customFormat="true" ht="15" hidden="false" customHeight="false" outlineLevel="0" collapsed="false">
      <c r="T57" s="112" t="n">
        <f aca="false">T56+T$7/100</f>
        <v>0.98</v>
      </c>
      <c r="U57" s="122" t="n">
        <f aca="false">T57+IF($I$3="Forward", $D$9, $G$9)</f>
        <v>0.98</v>
      </c>
      <c r="V57" s="112" t="n">
        <f aca="false">T57*TAN(RADIANS(X$7))-(IF($B$4, 9.807, 32.174)*T57^2)/(2*W$7^2*COS(RADIANS(X$7))^2)+$D$7</f>
        <v>4.66228665344493</v>
      </c>
      <c r="W57" s="123" t="n">
        <f aca="false">MIN($V$5,V57)</f>
        <v>4.66228665344493</v>
      </c>
      <c r="X57" s="112"/>
      <c r="Y57" s="112" t="n">
        <f aca="false">Y56+Y$7/100</f>
        <v>0.98</v>
      </c>
      <c r="Z57" s="112" t="n">
        <f aca="false">Y57</f>
        <v>0.98</v>
      </c>
      <c r="AA57" s="112" t="n">
        <f aca="false">Y57*TAN(RADIANS(AC$7))-(IF($B$4, 9.807, 32.174)*Y57^2)/(2*AB$7^2*COS(RADIANS(AC$7))^2)+$D$7</f>
        <v>4.66228665344493</v>
      </c>
      <c r="AB57" s="123" t="n">
        <f aca="false">MIN($V$5,AA57)</f>
        <v>4.66228665344493</v>
      </c>
      <c r="AC57" s="112"/>
      <c r="AD57" s="112" t="n">
        <f aca="false">AD56+AD$7/100</f>
        <v>0.98</v>
      </c>
      <c r="AE57" s="122" t="n">
        <f aca="false">AD57-IF($I$3="Forward", $D$9, $G$9)</f>
        <v>0.98</v>
      </c>
      <c r="AF57" s="112" t="n">
        <f aca="false">AD57*TAN(RADIANS(AH$7))-(IF($B$4, 9.807, 32.174)*AD57^2)/(2*AG$7^2*COS(RADIANS(AH$7))^2)+$D$7</f>
        <v>4.66228665344493</v>
      </c>
      <c r="AG57" s="123" t="n">
        <f aca="false">MIN($V$5,AF57)</f>
        <v>4.66228665344493</v>
      </c>
      <c r="AH57" s="112"/>
      <c r="AI57" s="112" t="n">
        <f aca="false">AI56+AI$7/100</f>
        <v>0.98</v>
      </c>
      <c r="AJ57" s="122" t="n">
        <f aca="false">AI57+IF($I$3="Forward", $D$9, $G$9)</f>
        <v>0.98</v>
      </c>
      <c r="AK57" s="112" t="n">
        <f aca="false">AI57*TAN(RADIANS(AM$7))-(IF($B$4, 9.807, 32.174)*AI57^2)/(2*AL$7^2*COS(RADIANS(AM$7))^2)+$D$7</f>
        <v>4.66228665344493</v>
      </c>
      <c r="AL57" s="123" t="n">
        <f aca="false">MIN($V$5,AK57)</f>
        <v>4.66228665344493</v>
      </c>
      <c r="AM57" s="112"/>
      <c r="AN57" s="112" t="n">
        <f aca="false">AN56+AN$7/100</f>
        <v>0.98</v>
      </c>
      <c r="AO57" s="112" t="n">
        <f aca="false">AN57</f>
        <v>0.98</v>
      </c>
      <c r="AP57" s="112" t="n">
        <f aca="false">AN57*TAN(RADIANS(AR$7))-(IF($B$4, 9.807, 32.174)*AN57^2)/(2*AQ$7^2*COS(RADIANS(AR$7))^2)+$D$7</f>
        <v>4.66228665344493</v>
      </c>
      <c r="AQ57" s="123" t="n">
        <f aca="false">MIN($V$5,AP57)</f>
        <v>4.66228665344493</v>
      </c>
      <c r="AR57" s="112"/>
      <c r="AS57" s="112" t="n">
        <f aca="false">AS56+AS$7/100</f>
        <v>0.98</v>
      </c>
      <c r="AT57" s="122" t="n">
        <f aca="false">AS57-IF($I$3="Forward", $D$9, $G$9)</f>
        <v>0.98</v>
      </c>
      <c r="AU57" s="112" t="n">
        <f aca="false">AS57*TAN(RADIANS(AW$7))-(IF($B$4, 9.807, 32.174)*AS57^2)/(2*AV$7^2*COS(RADIANS(AW$7))^2)+$D$7</f>
        <v>4.66228665344493</v>
      </c>
      <c r="AV57" s="123" t="n">
        <f aca="false">MIN($V$5,AU57)</f>
        <v>4.66228665344493</v>
      </c>
      <c r="AW57" s="112"/>
      <c r="AX57" s="112" t="n">
        <f aca="false">AX56+AX$7/100</f>
        <v>0.98</v>
      </c>
      <c r="AY57" s="122" t="n">
        <f aca="false">AX57+IF($I$3="Forward", $D$9, $G$9)</f>
        <v>0.98</v>
      </c>
      <c r="AZ57" s="112" t="n">
        <f aca="false">AX57*TAN(RADIANS(BB$7))-(IF($B$4, 9.807, 32.174)*AX57^2)/(2*BA$7^2*COS(RADIANS(BB$7))^2)+$D$7</f>
        <v>4.66228665344493</v>
      </c>
      <c r="BA57" s="123" t="n">
        <f aca="false">MIN($V$5,AZ57)</f>
        <v>4.66228665344493</v>
      </c>
      <c r="BB57" s="112"/>
      <c r="BC57" s="112" t="n">
        <f aca="false">BC56+BC$7/100</f>
        <v>0.98</v>
      </c>
      <c r="BD57" s="112" t="n">
        <f aca="false">BC57</f>
        <v>0.98</v>
      </c>
      <c r="BE57" s="112" t="n">
        <f aca="false">BC57*TAN(RADIANS(BG$7))-(IF($B$4, 9.807, 32.174)*BC57^2)/(2*BF$7^2*COS(RADIANS(BG$7))^2)+$D$7</f>
        <v>4.66228665344493</v>
      </c>
      <c r="BF57" s="123" t="n">
        <f aca="false">MIN($V$5,BE57)</f>
        <v>4.66228665344493</v>
      </c>
      <c r="BG57" s="112"/>
      <c r="BH57" s="112" t="n">
        <f aca="false">BH56+BH$7/100</f>
        <v>0.98</v>
      </c>
      <c r="BI57" s="122" t="n">
        <f aca="false">BH57-IF($I$3="Forward", $D$9, $G$9)</f>
        <v>0.98</v>
      </c>
      <c r="BJ57" s="112" t="n">
        <f aca="false">BH57*TAN(RADIANS(BL$7))-(IF($B$4, 9.807, 32.174)*BH57^2)/(2*BK$7^2*COS(RADIANS(BL$7))^2)+$D$7</f>
        <v>4.66228665344493</v>
      </c>
      <c r="BK57" s="123" t="n">
        <f aca="false">MIN($V$5,BJ57)</f>
        <v>4.66228665344493</v>
      </c>
      <c r="BL57" s="112"/>
      <c r="BM57" s="112" t="n">
        <f aca="false">BM56+BM$7/100</f>
        <v>0.98</v>
      </c>
      <c r="BN57" s="122" t="n">
        <f aca="false">BM57+IF($I$3="Forward", $D$9, $G$9)</f>
        <v>0.98</v>
      </c>
      <c r="BO57" s="112" t="n">
        <f aca="false">BM57*TAN(RADIANS(BQ$7))-(IF($B$4, 9.807, 32.174)*BM57^2)/(2*BP$7^2*COS(RADIANS(BQ$7))^2)+$D$7</f>
        <v>4.66228665344493</v>
      </c>
      <c r="BP57" s="123" t="n">
        <f aca="false">MIN($V$5,BO57)</f>
        <v>4.66228665344493</v>
      </c>
      <c r="BQ57" s="112"/>
      <c r="BR57" s="112" t="n">
        <f aca="false">BR56+BR$7/100</f>
        <v>0.98</v>
      </c>
      <c r="BS57" s="112" t="n">
        <f aca="false">BR57</f>
        <v>0.98</v>
      </c>
      <c r="BT57" s="112" t="n">
        <f aca="false">BR57*TAN(RADIANS(BV$7))-(IF($B$4, 9.807, 32.174)*BR57^2)/(2*BU$7^2*COS(RADIANS(BV$7))^2)+$D$7</f>
        <v>4.66228665344493</v>
      </c>
      <c r="BU57" s="123" t="n">
        <f aca="false">MIN($V$5,BT57)</f>
        <v>4.66228665344493</v>
      </c>
      <c r="BV57" s="112"/>
      <c r="BW57" s="112" t="n">
        <f aca="false">BW56+BW$7/100</f>
        <v>0.98</v>
      </c>
      <c r="BX57" s="122" t="n">
        <f aca="false">BW57-IF($I$3="Forward", $D$9, $G$9)</f>
        <v>0.98</v>
      </c>
      <c r="BY57" s="112" t="n">
        <f aca="false">BW57*TAN(RADIANS(CA$7))-(IF($B$4, 9.807, 32.174)*BW57^2)/(2*BZ$7^2*COS(RADIANS(CA$7))^2)+$D$7</f>
        <v>4.66228665344493</v>
      </c>
      <c r="BZ57" s="123" t="n">
        <f aca="false">MIN($V$5,BY57)</f>
        <v>4.66228665344493</v>
      </c>
      <c r="CA57" s="112"/>
      <c r="CB57" s="112" t="n">
        <f aca="false">CB56+CB$7/100</f>
        <v>0.98</v>
      </c>
      <c r="CC57" s="122" t="n">
        <f aca="false">CB57+IF($I$3="Forward", $D$9, $G$9)</f>
        <v>0.98</v>
      </c>
      <c r="CD57" s="112" t="n">
        <f aca="false">CB57*TAN(RADIANS(CF$7))-(IF($B$4, 9.807, 32.174)*CB57^2)/(2*CE$7^2*COS(RADIANS(CF$7))^2)+$D$7</f>
        <v>4.66228665344493</v>
      </c>
      <c r="CE57" s="123" t="n">
        <f aca="false">MIN($V$5,CD57)</f>
        <v>4.66228665344493</v>
      </c>
      <c r="CF57" s="112"/>
      <c r="CG57" s="124" t="n">
        <f aca="false">CG56+CG$7/100</f>
        <v>0.98</v>
      </c>
      <c r="CH57" s="124" t="n">
        <f aca="false">CG57</f>
        <v>0.98</v>
      </c>
      <c r="CI57" s="124" t="n">
        <f aca="false">CG57*TAN(RADIANS(CK$7))-(IF($B$4, 9.807, 32.174)*CG57^2)/(2*CJ$7^2*COS(RADIANS(CK$7))^2)+$D$7</f>
        <v>4.66228665344493</v>
      </c>
      <c r="CJ57" s="123" t="n">
        <f aca="false">MIN($V$5,CI57)</f>
        <v>4.66228665344493</v>
      </c>
      <c r="CK57" s="124"/>
      <c r="CL57" s="112" t="n">
        <f aca="false">CL56+CL$7/100</f>
        <v>0.98</v>
      </c>
      <c r="CM57" s="122" t="n">
        <f aca="false">CL57-IF($I$3="Forward", $D$9, $G$9)</f>
        <v>0.98</v>
      </c>
      <c r="CN57" s="112" t="n">
        <f aca="false">CL57*TAN(RADIANS(CP$7))-(IF($B$4, 9.807, 32.174)*CL57^2)/(2*CO$7^2*COS(RADIANS(CP$7))^2)+$D$7</f>
        <v>4.66228665344493</v>
      </c>
      <c r="CO57" s="123" t="n">
        <f aca="false">MIN($V$5,CN57)</f>
        <v>4.66228665344493</v>
      </c>
      <c r="CP57" s="112"/>
      <c r="CQ57" s="112" t="n">
        <f aca="false">CQ56+CQ$7/100</f>
        <v>0.98</v>
      </c>
      <c r="CR57" s="122" t="n">
        <f aca="false">CQ57+IF($I$3="Forward", $D$9, $G$9)</f>
        <v>0.98</v>
      </c>
      <c r="CS57" s="112" t="n">
        <f aca="false">CQ57*TAN(RADIANS(CU$7))-(IF($B$4, 9.807, 32.174)*CQ57^2)/(2*CT$7^2*COS(RADIANS(CU$7))^2)+$D$7</f>
        <v>4.66228665344493</v>
      </c>
      <c r="CT57" s="123" t="n">
        <f aca="false">MIN($V$5,CS57)</f>
        <v>4.66228665344493</v>
      </c>
      <c r="CU57" s="112"/>
      <c r="CV57" s="112" t="n">
        <f aca="false">CV56+CV$7/100</f>
        <v>0.98</v>
      </c>
      <c r="CW57" s="112" t="n">
        <f aca="false">CV57</f>
        <v>0.98</v>
      </c>
      <c r="CX57" s="112" t="n">
        <f aca="false">CV57*TAN(RADIANS(CZ$7))-(IF($B$4, 9.807, 32.174)*CV57^2)/(2*CY$7^2*COS(RADIANS(CZ$7))^2)+$D$7</f>
        <v>4.66228665344493</v>
      </c>
      <c r="CY57" s="123" t="n">
        <f aca="false">MIN($V$5,CX57)</f>
        <v>4.66228665344493</v>
      </c>
      <c r="CZ57" s="112"/>
      <c r="DA57" s="112" t="n">
        <f aca="false">DA56+DA$7/100</f>
        <v>0.98</v>
      </c>
      <c r="DB57" s="122" t="n">
        <f aca="false">DA57-IF($I$3="Forward", $D$9, $G$9)</f>
        <v>0.98</v>
      </c>
      <c r="DC57" s="112" t="n">
        <f aca="false">DA57*TAN(RADIANS(DE$7))-(IF($B$4, 9.807, 32.174)*DA57^2)/(2*DD$7^2*COS(RADIANS(DE$7))^2)+$D$7</f>
        <v>4.66228665344493</v>
      </c>
      <c r="DD57" s="123" t="n">
        <f aca="false">MIN($V$5,DC57)</f>
        <v>4.66228665344493</v>
      </c>
      <c r="DE57" s="112"/>
      <c r="DF57" s="112" t="n">
        <f aca="false">DF56+DF$7/100</f>
        <v>0.98</v>
      </c>
      <c r="DG57" s="122" t="n">
        <f aca="false">DF57+IF($I$3="Forward", $D$9, $G$9)</f>
        <v>0.98</v>
      </c>
      <c r="DH57" s="112" t="n">
        <f aca="false">DF57*TAN(RADIANS(DJ$7))-(IF($B$4, 9.807, 32.174)*DF57^2)/(2*DI$7^2*COS(RADIANS(DJ$7))^2)+$D$7</f>
        <v>4.66228665344493</v>
      </c>
      <c r="DI57" s="123" t="n">
        <f aca="false">MIN($V$5,DH57)</f>
        <v>4.66228665344493</v>
      </c>
      <c r="DJ57" s="112"/>
      <c r="DK57" s="112" t="n">
        <f aca="false">DK56+DK$7/100</f>
        <v>0.98</v>
      </c>
      <c r="DL57" s="112" t="n">
        <f aca="false">DK57</f>
        <v>0.98</v>
      </c>
      <c r="DM57" s="112" t="n">
        <f aca="false">DK57*TAN(RADIANS(DO$7))-(IF($B$4, 9.807, 32.174)*DK57^2)/(2*DN$7^2*COS(RADIANS(DO$7))^2)+$D$7</f>
        <v>4.66228665344493</v>
      </c>
      <c r="DN57" s="123" t="n">
        <f aca="false">MIN($V$5,DM57)</f>
        <v>4.66228665344493</v>
      </c>
      <c r="DO57" s="112"/>
      <c r="DP57" s="112" t="n">
        <f aca="false">DP56+DP$7/100</f>
        <v>0.98</v>
      </c>
      <c r="DQ57" s="122" t="n">
        <f aca="false">DP57-IF($I$3="Forward", $D$9, $G$9)</f>
        <v>0.98</v>
      </c>
      <c r="DR57" s="112" t="n">
        <f aca="false">DP57*TAN(RADIANS(DT$7))-(IF($B$4, 9.807, 32.174)*DP57^2)/(2*DS$7^2*COS(RADIANS(DT$7))^2)+$D$7</f>
        <v>4.66228665344493</v>
      </c>
      <c r="DS57" s="123" t="n">
        <f aca="false">MIN($V$5,DR57)</f>
        <v>4.66228665344493</v>
      </c>
      <c r="DT57" s="112"/>
      <c r="DU57" s="112" t="n">
        <f aca="false">DU56+DU$7/100</f>
        <v>0.98</v>
      </c>
      <c r="DV57" s="122" t="n">
        <f aca="false">DU57+IF($I$3="Forward", $D$9, $G$9)</f>
        <v>0.98</v>
      </c>
      <c r="DW57" s="112" t="n">
        <f aca="false">DU57*TAN(RADIANS(DY$7))-(IF($B$4, 9.807, 32.174)*DU57^2)/(2*DX$7^2*COS(RADIANS(DY$7))^2)+$D$7</f>
        <v>4.66228665344493</v>
      </c>
      <c r="DX57" s="123" t="n">
        <f aca="false">MIN($V$5,DW57)</f>
        <v>4.66228665344493</v>
      </c>
      <c r="DY57" s="112"/>
      <c r="DZ57" s="112" t="n">
        <f aca="false">DZ56+DZ$7/100</f>
        <v>0.98</v>
      </c>
      <c r="EA57" s="112" t="n">
        <f aca="false">DZ57</f>
        <v>0.98</v>
      </c>
      <c r="EB57" s="112" t="n">
        <f aca="false">DZ57*TAN(RADIANS(ED$7))-(IF($B$4, 9.807, 32.174)*DZ57^2)/(2*EC$7^2*COS(RADIANS(ED$7))^2)+$D$7</f>
        <v>4.66228665344493</v>
      </c>
      <c r="EC57" s="123" t="n">
        <f aca="false">MIN($V$5,EB57)</f>
        <v>4.66228665344493</v>
      </c>
      <c r="ED57" s="112"/>
      <c r="EE57" s="112" t="n">
        <f aca="false">EE56+EE$7/100</f>
        <v>0.98</v>
      </c>
      <c r="EF57" s="122" t="n">
        <f aca="false">EE57-IF($I$3="Forward", $D$9, $G$9)</f>
        <v>0.98</v>
      </c>
      <c r="EG57" s="112" t="n">
        <f aca="false">EE57*TAN(RADIANS(EI$7))-(IF($B$4, 9.807, 32.174)*EE57^2)/(2*EH$7^2*COS(RADIANS(EI$7))^2)+$D$7</f>
        <v>4.66228665344493</v>
      </c>
      <c r="EH57" s="123" t="n">
        <f aca="false">MIN($V$5,EG57)</f>
        <v>4.66228665344493</v>
      </c>
      <c r="EI57" s="112"/>
      <c r="EJ57" s="112" t="n">
        <f aca="false">EJ56+EJ$7/100</f>
        <v>0.98</v>
      </c>
      <c r="EK57" s="122" t="n">
        <f aca="false">EJ57+IF($I$3="Forward", $D$9, $G$9)</f>
        <v>0.98</v>
      </c>
      <c r="EL57" s="112" t="n">
        <f aca="false">EJ57*TAN(RADIANS(EN$7))-(IF($B$4, 9.807, 32.174)*EJ57^2)/(2*EM$7^2*COS(RADIANS(EN$7))^2)+$D$7</f>
        <v>4.66228665344493</v>
      </c>
      <c r="EM57" s="123" t="n">
        <f aca="false">MIN($V$5,EL57)</f>
        <v>4.66228665344493</v>
      </c>
      <c r="EN57" s="112"/>
      <c r="EO57" s="112" t="n">
        <f aca="false">EO56+EO$7/100</f>
        <v>0.98</v>
      </c>
      <c r="EP57" s="112" t="n">
        <f aca="false">EO57</f>
        <v>0.98</v>
      </c>
      <c r="EQ57" s="112" t="n">
        <f aca="false">EO57*TAN(RADIANS(ES$7))-(IF($B$4, 9.807, 32.174)*EO57^2)/(2*ER$7^2*COS(RADIANS(ES$7))^2)+$D$7</f>
        <v>4.66228665344493</v>
      </c>
      <c r="ER57" s="123" t="n">
        <f aca="false">MIN($V$5,EQ57)</f>
        <v>4.66228665344493</v>
      </c>
      <c r="ES57" s="112"/>
      <c r="ET57" s="112" t="n">
        <f aca="false">ET56+ET$7/100</f>
        <v>0.98</v>
      </c>
      <c r="EU57" s="122" t="n">
        <f aca="false">ET57-IF($I$3="Forward", $D$9, $G$9)</f>
        <v>0.98</v>
      </c>
      <c r="EV57" s="112" t="n">
        <f aca="false">ET57*TAN(RADIANS(EX$7))-(IF($B$4, 9.807, 32.174)*ET57^2)/(2*EW$7^2*COS(RADIANS(EX$7))^2)+$D$7</f>
        <v>4.66228665344493</v>
      </c>
      <c r="EW57" s="123" t="n">
        <f aca="false">MIN($V$5,EV57)</f>
        <v>4.66228665344493</v>
      </c>
      <c r="EX57" s="112"/>
    </row>
    <row r="58" s="131" customFormat="true" ht="15" hidden="false" customHeight="false" outlineLevel="0" collapsed="false">
      <c r="T58" s="112" t="n">
        <f aca="false">T57+T$7/100</f>
        <v>1</v>
      </c>
      <c r="U58" s="122" t="n">
        <f aca="false">T58+IF($I$3="Forward", $D$9, $G$9)</f>
        <v>1</v>
      </c>
      <c r="V58" s="112" t="n">
        <f aca="false">T58*TAN(RADIANS(X$7))-(IF($B$4, 9.807, 32.174)*T58^2)/(2*W$7^2*COS(RADIANS(X$7))^2)+$D$7</f>
        <v>4.68564090980886</v>
      </c>
      <c r="W58" s="123" t="n">
        <f aca="false">MIN($V$5,V58)</f>
        <v>4.68564090980886</v>
      </c>
      <c r="X58" s="112"/>
      <c r="Y58" s="112" t="n">
        <f aca="false">Y57+Y$7/100</f>
        <v>1</v>
      </c>
      <c r="Z58" s="112" t="n">
        <f aca="false">Y58</f>
        <v>1</v>
      </c>
      <c r="AA58" s="112" t="n">
        <f aca="false">Y58*TAN(RADIANS(AC$7))-(IF($B$4, 9.807, 32.174)*Y58^2)/(2*AB$7^2*COS(RADIANS(AC$7))^2)+$D$7</f>
        <v>4.68564090980886</v>
      </c>
      <c r="AB58" s="123" t="n">
        <f aca="false">MIN($V$5,AA58)</f>
        <v>4.68564090980886</v>
      </c>
      <c r="AC58" s="112"/>
      <c r="AD58" s="112" t="n">
        <f aca="false">AD57+AD$7/100</f>
        <v>1</v>
      </c>
      <c r="AE58" s="122" t="n">
        <f aca="false">AD58-IF($I$3="Forward", $D$9, $G$9)</f>
        <v>1</v>
      </c>
      <c r="AF58" s="112" t="n">
        <f aca="false">AD58*TAN(RADIANS(AH$7))-(IF($B$4, 9.807, 32.174)*AD58^2)/(2*AG$7^2*COS(RADIANS(AH$7))^2)+$D$7</f>
        <v>4.68564090980886</v>
      </c>
      <c r="AG58" s="123" t="n">
        <f aca="false">MIN($V$5,AF58)</f>
        <v>4.68564090980886</v>
      </c>
      <c r="AH58" s="112"/>
      <c r="AI58" s="112" t="n">
        <f aca="false">AI57+AI$7/100</f>
        <v>1</v>
      </c>
      <c r="AJ58" s="122" t="n">
        <f aca="false">AI58+IF($I$3="Forward", $D$9, $G$9)</f>
        <v>1</v>
      </c>
      <c r="AK58" s="112" t="n">
        <f aca="false">AI58*TAN(RADIANS(AM$7))-(IF($B$4, 9.807, 32.174)*AI58^2)/(2*AL$7^2*COS(RADIANS(AM$7))^2)+$D$7</f>
        <v>4.68564090980886</v>
      </c>
      <c r="AL58" s="123" t="n">
        <f aca="false">MIN($V$5,AK58)</f>
        <v>4.68564090980886</v>
      </c>
      <c r="AM58" s="112"/>
      <c r="AN58" s="112" t="n">
        <f aca="false">AN57+AN$7/100</f>
        <v>1</v>
      </c>
      <c r="AO58" s="112" t="n">
        <f aca="false">AN58</f>
        <v>1</v>
      </c>
      <c r="AP58" s="112" t="n">
        <f aca="false">AN58*TAN(RADIANS(AR$7))-(IF($B$4, 9.807, 32.174)*AN58^2)/(2*AQ$7^2*COS(RADIANS(AR$7))^2)+$D$7</f>
        <v>4.68564090980886</v>
      </c>
      <c r="AQ58" s="123" t="n">
        <f aca="false">MIN($V$5,AP58)</f>
        <v>4.68564090980886</v>
      </c>
      <c r="AR58" s="112"/>
      <c r="AS58" s="112" t="n">
        <f aca="false">AS57+AS$7/100</f>
        <v>1</v>
      </c>
      <c r="AT58" s="122" t="n">
        <f aca="false">AS58-IF($I$3="Forward", $D$9, $G$9)</f>
        <v>1</v>
      </c>
      <c r="AU58" s="112" t="n">
        <f aca="false">AS58*TAN(RADIANS(AW$7))-(IF($B$4, 9.807, 32.174)*AS58^2)/(2*AV$7^2*COS(RADIANS(AW$7))^2)+$D$7</f>
        <v>4.68564090980886</v>
      </c>
      <c r="AV58" s="123" t="n">
        <f aca="false">MIN($V$5,AU58)</f>
        <v>4.68564090980886</v>
      </c>
      <c r="AW58" s="112"/>
      <c r="AX58" s="112" t="n">
        <f aca="false">AX57+AX$7/100</f>
        <v>1</v>
      </c>
      <c r="AY58" s="122" t="n">
        <f aca="false">AX58+IF($I$3="Forward", $D$9, $G$9)</f>
        <v>1</v>
      </c>
      <c r="AZ58" s="112" t="n">
        <f aca="false">AX58*TAN(RADIANS(BB$7))-(IF($B$4, 9.807, 32.174)*AX58^2)/(2*BA$7^2*COS(RADIANS(BB$7))^2)+$D$7</f>
        <v>4.68564090980886</v>
      </c>
      <c r="BA58" s="123" t="n">
        <f aca="false">MIN($V$5,AZ58)</f>
        <v>4.68564090980886</v>
      </c>
      <c r="BB58" s="112"/>
      <c r="BC58" s="112" t="n">
        <f aca="false">BC57+BC$7/100</f>
        <v>1</v>
      </c>
      <c r="BD58" s="112" t="n">
        <f aca="false">BC58</f>
        <v>1</v>
      </c>
      <c r="BE58" s="112" t="n">
        <f aca="false">BC58*TAN(RADIANS(BG$7))-(IF($B$4, 9.807, 32.174)*BC58^2)/(2*BF$7^2*COS(RADIANS(BG$7))^2)+$D$7</f>
        <v>4.68564090980886</v>
      </c>
      <c r="BF58" s="123" t="n">
        <f aca="false">MIN($V$5,BE58)</f>
        <v>4.68564090980886</v>
      </c>
      <c r="BG58" s="112"/>
      <c r="BH58" s="112" t="n">
        <f aca="false">BH57+BH$7/100</f>
        <v>1</v>
      </c>
      <c r="BI58" s="122" t="n">
        <f aca="false">BH58-IF($I$3="Forward", $D$9, $G$9)</f>
        <v>1</v>
      </c>
      <c r="BJ58" s="112" t="n">
        <f aca="false">BH58*TAN(RADIANS(BL$7))-(IF($B$4, 9.807, 32.174)*BH58^2)/(2*BK$7^2*COS(RADIANS(BL$7))^2)+$D$7</f>
        <v>4.68564090980886</v>
      </c>
      <c r="BK58" s="123" t="n">
        <f aca="false">MIN($V$5,BJ58)</f>
        <v>4.68564090980886</v>
      </c>
      <c r="BL58" s="112"/>
      <c r="BM58" s="112" t="n">
        <f aca="false">BM57+BM$7/100</f>
        <v>1</v>
      </c>
      <c r="BN58" s="122" t="n">
        <f aca="false">BM58+IF($I$3="Forward", $D$9, $G$9)</f>
        <v>1</v>
      </c>
      <c r="BO58" s="112" t="n">
        <f aca="false">BM58*TAN(RADIANS(BQ$7))-(IF($B$4, 9.807, 32.174)*BM58^2)/(2*BP$7^2*COS(RADIANS(BQ$7))^2)+$D$7</f>
        <v>4.68564090980886</v>
      </c>
      <c r="BP58" s="123" t="n">
        <f aca="false">MIN($V$5,BO58)</f>
        <v>4.68564090980886</v>
      </c>
      <c r="BQ58" s="112"/>
      <c r="BR58" s="112" t="n">
        <f aca="false">BR57+BR$7/100</f>
        <v>1</v>
      </c>
      <c r="BS58" s="112" t="n">
        <f aca="false">BR58</f>
        <v>1</v>
      </c>
      <c r="BT58" s="112" t="n">
        <f aca="false">BR58*TAN(RADIANS(BV$7))-(IF($B$4, 9.807, 32.174)*BR58^2)/(2*BU$7^2*COS(RADIANS(BV$7))^2)+$D$7</f>
        <v>4.68564090980886</v>
      </c>
      <c r="BU58" s="123" t="n">
        <f aca="false">MIN($V$5,BT58)</f>
        <v>4.68564090980886</v>
      </c>
      <c r="BV58" s="112"/>
      <c r="BW58" s="112" t="n">
        <f aca="false">BW57+BW$7/100</f>
        <v>1</v>
      </c>
      <c r="BX58" s="122" t="n">
        <f aca="false">BW58-IF($I$3="Forward", $D$9, $G$9)</f>
        <v>1</v>
      </c>
      <c r="BY58" s="112" t="n">
        <f aca="false">BW58*TAN(RADIANS(CA$7))-(IF($B$4, 9.807, 32.174)*BW58^2)/(2*BZ$7^2*COS(RADIANS(CA$7))^2)+$D$7</f>
        <v>4.68564090980886</v>
      </c>
      <c r="BZ58" s="123" t="n">
        <f aca="false">MIN($V$5,BY58)</f>
        <v>4.68564090980886</v>
      </c>
      <c r="CA58" s="112"/>
      <c r="CB58" s="112" t="n">
        <f aca="false">CB57+CB$7/100</f>
        <v>1</v>
      </c>
      <c r="CC58" s="122" t="n">
        <f aca="false">CB58+IF($I$3="Forward", $D$9, $G$9)</f>
        <v>1</v>
      </c>
      <c r="CD58" s="112" t="n">
        <f aca="false">CB58*TAN(RADIANS(CF$7))-(IF($B$4, 9.807, 32.174)*CB58^2)/(2*CE$7^2*COS(RADIANS(CF$7))^2)+$D$7</f>
        <v>4.68564090980886</v>
      </c>
      <c r="CE58" s="123" t="n">
        <f aca="false">MIN($V$5,CD58)</f>
        <v>4.68564090980886</v>
      </c>
      <c r="CF58" s="112"/>
      <c r="CG58" s="124" t="n">
        <f aca="false">CG57+CG$7/100</f>
        <v>1</v>
      </c>
      <c r="CH58" s="124" t="n">
        <f aca="false">CG58</f>
        <v>1</v>
      </c>
      <c r="CI58" s="124" t="n">
        <f aca="false">CG58*TAN(RADIANS(CK$7))-(IF($B$4, 9.807, 32.174)*CG58^2)/(2*CJ$7^2*COS(RADIANS(CK$7))^2)+$D$7</f>
        <v>4.68564090980886</v>
      </c>
      <c r="CJ58" s="123" t="n">
        <f aca="false">MIN($V$5,CI58)</f>
        <v>4.68564090980886</v>
      </c>
      <c r="CK58" s="124"/>
      <c r="CL58" s="112" t="n">
        <f aca="false">CL57+CL$7/100</f>
        <v>1</v>
      </c>
      <c r="CM58" s="122" t="n">
        <f aca="false">CL58-IF($I$3="Forward", $D$9, $G$9)</f>
        <v>1</v>
      </c>
      <c r="CN58" s="112" t="n">
        <f aca="false">CL58*TAN(RADIANS(CP$7))-(IF($B$4, 9.807, 32.174)*CL58^2)/(2*CO$7^2*COS(RADIANS(CP$7))^2)+$D$7</f>
        <v>4.68564090980886</v>
      </c>
      <c r="CO58" s="123" t="n">
        <f aca="false">MIN($V$5,CN58)</f>
        <v>4.68564090980886</v>
      </c>
      <c r="CP58" s="112"/>
      <c r="CQ58" s="112" t="n">
        <f aca="false">CQ57+CQ$7/100</f>
        <v>1</v>
      </c>
      <c r="CR58" s="122" t="n">
        <f aca="false">CQ58+IF($I$3="Forward", $D$9, $G$9)</f>
        <v>1</v>
      </c>
      <c r="CS58" s="112" t="n">
        <f aca="false">CQ58*TAN(RADIANS(CU$7))-(IF($B$4, 9.807, 32.174)*CQ58^2)/(2*CT$7^2*COS(RADIANS(CU$7))^2)+$D$7</f>
        <v>4.68564090980886</v>
      </c>
      <c r="CT58" s="123" t="n">
        <f aca="false">MIN($V$5,CS58)</f>
        <v>4.68564090980886</v>
      </c>
      <c r="CU58" s="112"/>
      <c r="CV58" s="112" t="n">
        <f aca="false">CV57+CV$7/100</f>
        <v>1</v>
      </c>
      <c r="CW58" s="112" t="n">
        <f aca="false">CV58</f>
        <v>1</v>
      </c>
      <c r="CX58" s="112" t="n">
        <f aca="false">CV58*TAN(RADIANS(CZ$7))-(IF($B$4, 9.807, 32.174)*CV58^2)/(2*CY$7^2*COS(RADIANS(CZ$7))^2)+$D$7</f>
        <v>4.68564090980886</v>
      </c>
      <c r="CY58" s="123" t="n">
        <f aca="false">MIN($V$5,CX58)</f>
        <v>4.68564090980886</v>
      </c>
      <c r="CZ58" s="112"/>
      <c r="DA58" s="112" t="n">
        <f aca="false">DA57+DA$7/100</f>
        <v>1</v>
      </c>
      <c r="DB58" s="122" t="n">
        <f aca="false">DA58-IF($I$3="Forward", $D$9, $G$9)</f>
        <v>1</v>
      </c>
      <c r="DC58" s="112" t="n">
        <f aca="false">DA58*TAN(RADIANS(DE$7))-(IF($B$4, 9.807, 32.174)*DA58^2)/(2*DD$7^2*COS(RADIANS(DE$7))^2)+$D$7</f>
        <v>4.68564090980886</v>
      </c>
      <c r="DD58" s="123" t="n">
        <f aca="false">MIN($V$5,DC58)</f>
        <v>4.68564090980886</v>
      </c>
      <c r="DE58" s="112"/>
      <c r="DF58" s="112" t="n">
        <f aca="false">DF57+DF$7/100</f>
        <v>1</v>
      </c>
      <c r="DG58" s="122" t="n">
        <f aca="false">DF58+IF($I$3="Forward", $D$9, $G$9)</f>
        <v>1</v>
      </c>
      <c r="DH58" s="112" t="n">
        <f aca="false">DF58*TAN(RADIANS(DJ$7))-(IF($B$4, 9.807, 32.174)*DF58^2)/(2*DI$7^2*COS(RADIANS(DJ$7))^2)+$D$7</f>
        <v>4.68564090980886</v>
      </c>
      <c r="DI58" s="123" t="n">
        <f aca="false">MIN($V$5,DH58)</f>
        <v>4.68564090980886</v>
      </c>
      <c r="DJ58" s="112"/>
      <c r="DK58" s="112" t="n">
        <f aca="false">DK57+DK$7/100</f>
        <v>1</v>
      </c>
      <c r="DL58" s="112" t="n">
        <f aca="false">DK58</f>
        <v>1</v>
      </c>
      <c r="DM58" s="112" t="n">
        <f aca="false">DK58*TAN(RADIANS(DO$7))-(IF($B$4, 9.807, 32.174)*DK58^2)/(2*DN$7^2*COS(RADIANS(DO$7))^2)+$D$7</f>
        <v>4.68564090980886</v>
      </c>
      <c r="DN58" s="123" t="n">
        <f aca="false">MIN($V$5,DM58)</f>
        <v>4.68564090980886</v>
      </c>
      <c r="DO58" s="112"/>
      <c r="DP58" s="112" t="n">
        <f aca="false">DP57+DP$7/100</f>
        <v>1</v>
      </c>
      <c r="DQ58" s="122" t="n">
        <f aca="false">DP58-IF($I$3="Forward", $D$9, $G$9)</f>
        <v>1</v>
      </c>
      <c r="DR58" s="112" t="n">
        <f aca="false">DP58*TAN(RADIANS(DT$7))-(IF($B$4, 9.807, 32.174)*DP58^2)/(2*DS$7^2*COS(RADIANS(DT$7))^2)+$D$7</f>
        <v>4.68564090980886</v>
      </c>
      <c r="DS58" s="123" t="n">
        <f aca="false">MIN($V$5,DR58)</f>
        <v>4.68564090980886</v>
      </c>
      <c r="DT58" s="112"/>
      <c r="DU58" s="112" t="n">
        <f aca="false">DU57+DU$7/100</f>
        <v>1</v>
      </c>
      <c r="DV58" s="122" t="n">
        <f aca="false">DU58+IF($I$3="Forward", $D$9, $G$9)</f>
        <v>1</v>
      </c>
      <c r="DW58" s="112" t="n">
        <f aca="false">DU58*TAN(RADIANS(DY$7))-(IF($B$4, 9.807, 32.174)*DU58^2)/(2*DX$7^2*COS(RADIANS(DY$7))^2)+$D$7</f>
        <v>4.68564090980886</v>
      </c>
      <c r="DX58" s="123" t="n">
        <f aca="false">MIN($V$5,DW58)</f>
        <v>4.68564090980886</v>
      </c>
      <c r="DY58" s="112"/>
      <c r="DZ58" s="112" t="n">
        <f aca="false">DZ57+DZ$7/100</f>
        <v>1</v>
      </c>
      <c r="EA58" s="112" t="n">
        <f aca="false">DZ58</f>
        <v>1</v>
      </c>
      <c r="EB58" s="112" t="n">
        <f aca="false">DZ58*TAN(RADIANS(ED$7))-(IF($B$4, 9.807, 32.174)*DZ58^2)/(2*EC$7^2*COS(RADIANS(ED$7))^2)+$D$7</f>
        <v>4.68564090980886</v>
      </c>
      <c r="EC58" s="123" t="n">
        <f aca="false">MIN($V$5,EB58)</f>
        <v>4.68564090980886</v>
      </c>
      <c r="ED58" s="112"/>
      <c r="EE58" s="112" t="n">
        <f aca="false">EE57+EE$7/100</f>
        <v>1</v>
      </c>
      <c r="EF58" s="122" t="n">
        <f aca="false">EE58-IF($I$3="Forward", $D$9, $G$9)</f>
        <v>1</v>
      </c>
      <c r="EG58" s="112" t="n">
        <f aca="false">EE58*TAN(RADIANS(EI$7))-(IF($B$4, 9.807, 32.174)*EE58^2)/(2*EH$7^2*COS(RADIANS(EI$7))^2)+$D$7</f>
        <v>4.68564090980886</v>
      </c>
      <c r="EH58" s="123" t="n">
        <f aca="false">MIN($V$5,EG58)</f>
        <v>4.68564090980886</v>
      </c>
      <c r="EI58" s="112"/>
      <c r="EJ58" s="112" t="n">
        <f aca="false">EJ57+EJ$7/100</f>
        <v>1</v>
      </c>
      <c r="EK58" s="122" t="n">
        <f aca="false">EJ58+IF($I$3="Forward", $D$9, $G$9)</f>
        <v>1</v>
      </c>
      <c r="EL58" s="112" t="n">
        <f aca="false">EJ58*TAN(RADIANS(EN$7))-(IF($B$4, 9.807, 32.174)*EJ58^2)/(2*EM$7^2*COS(RADIANS(EN$7))^2)+$D$7</f>
        <v>4.68564090980886</v>
      </c>
      <c r="EM58" s="123" t="n">
        <f aca="false">MIN($V$5,EL58)</f>
        <v>4.68564090980886</v>
      </c>
      <c r="EN58" s="112"/>
      <c r="EO58" s="112" t="n">
        <f aca="false">EO57+EO$7/100</f>
        <v>1</v>
      </c>
      <c r="EP58" s="112" t="n">
        <f aca="false">EO58</f>
        <v>1</v>
      </c>
      <c r="EQ58" s="112" t="n">
        <f aca="false">EO58*TAN(RADIANS(ES$7))-(IF($B$4, 9.807, 32.174)*EO58^2)/(2*ER$7^2*COS(RADIANS(ES$7))^2)+$D$7</f>
        <v>4.68564090980886</v>
      </c>
      <c r="ER58" s="123" t="n">
        <f aca="false">MIN($V$5,EQ58)</f>
        <v>4.68564090980886</v>
      </c>
      <c r="ES58" s="112"/>
      <c r="ET58" s="112" t="n">
        <f aca="false">ET57+ET$7/100</f>
        <v>1</v>
      </c>
      <c r="EU58" s="122" t="n">
        <f aca="false">ET58-IF($I$3="Forward", $D$9, $G$9)</f>
        <v>1</v>
      </c>
      <c r="EV58" s="112" t="n">
        <f aca="false">ET58*TAN(RADIANS(EX$7))-(IF($B$4, 9.807, 32.174)*ET58^2)/(2*EW$7^2*COS(RADIANS(EX$7))^2)+$D$7</f>
        <v>4.68564090980886</v>
      </c>
      <c r="EW58" s="123" t="n">
        <f aca="false">MIN($V$5,EV58)</f>
        <v>4.68564090980886</v>
      </c>
      <c r="EX58" s="112"/>
    </row>
    <row r="59" s="131" customFormat="true" ht="15" hidden="false" customHeight="false" outlineLevel="0" collapsed="false">
      <c r="T59" s="112" t="n">
        <f aca="false">T58+T$7/100</f>
        <v>1.02</v>
      </c>
      <c r="U59" s="122" t="n">
        <f aca="false">T59+IF($I$3="Forward", $D$9, $G$9)</f>
        <v>1.02</v>
      </c>
      <c r="V59" s="112" t="n">
        <f aca="false">T59*TAN(RADIANS(X$7))-(IF($B$4, 9.807, 32.174)*T59^2)/(2*W$7^2*COS(RADIANS(X$7))^2)+$D$7</f>
        <v>4.70628665344493</v>
      </c>
      <c r="W59" s="123" t="n">
        <f aca="false">MIN($V$5,V59)</f>
        <v>4.70628665344493</v>
      </c>
      <c r="X59" s="112"/>
      <c r="Y59" s="112" t="n">
        <f aca="false">Y58+Y$7/100</f>
        <v>1.02</v>
      </c>
      <c r="Z59" s="112" t="n">
        <f aca="false">Y59</f>
        <v>1.02</v>
      </c>
      <c r="AA59" s="112" t="n">
        <f aca="false">Y59*TAN(RADIANS(AC$7))-(IF($B$4, 9.807, 32.174)*Y59^2)/(2*AB$7^2*COS(RADIANS(AC$7))^2)+$D$7</f>
        <v>4.70628665344493</v>
      </c>
      <c r="AB59" s="123" t="n">
        <f aca="false">MIN($V$5,AA59)</f>
        <v>4.70628665344493</v>
      </c>
      <c r="AC59" s="112"/>
      <c r="AD59" s="112" t="n">
        <f aca="false">AD58+AD$7/100</f>
        <v>1.02</v>
      </c>
      <c r="AE59" s="122" t="n">
        <f aca="false">AD59-IF($I$3="Forward", $D$9, $G$9)</f>
        <v>1.02</v>
      </c>
      <c r="AF59" s="112" t="n">
        <f aca="false">AD59*TAN(RADIANS(AH$7))-(IF($B$4, 9.807, 32.174)*AD59^2)/(2*AG$7^2*COS(RADIANS(AH$7))^2)+$D$7</f>
        <v>4.70628665344493</v>
      </c>
      <c r="AG59" s="123" t="n">
        <f aca="false">MIN($V$5,AF59)</f>
        <v>4.70628665344493</v>
      </c>
      <c r="AH59" s="112"/>
      <c r="AI59" s="112" t="n">
        <f aca="false">AI58+AI$7/100</f>
        <v>1.02</v>
      </c>
      <c r="AJ59" s="122" t="n">
        <f aca="false">AI59+IF($I$3="Forward", $D$9, $G$9)</f>
        <v>1.02</v>
      </c>
      <c r="AK59" s="112" t="n">
        <f aca="false">AI59*TAN(RADIANS(AM$7))-(IF($B$4, 9.807, 32.174)*AI59^2)/(2*AL$7^2*COS(RADIANS(AM$7))^2)+$D$7</f>
        <v>4.70628665344493</v>
      </c>
      <c r="AL59" s="123" t="n">
        <f aca="false">MIN($V$5,AK59)</f>
        <v>4.70628665344493</v>
      </c>
      <c r="AM59" s="112"/>
      <c r="AN59" s="112" t="n">
        <f aca="false">AN58+AN$7/100</f>
        <v>1.02</v>
      </c>
      <c r="AO59" s="112" t="n">
        <f aca="false">AN59</f>
        <v>1.02</v>
      </c>
      <c r="AP59" s="112" t="n">
        <f aca="false">AN59*TAN(RADIANS(AR$7))-(IF($B$4, 9.807, 32.174)*AN59^2)/(2*AQ$7^2*COS(RADIANS(AR$7))^2)+$D$7</f>
        <v>4.70628665344493</v>
      </c>
      <c r="AQ59" s="123" t="n">
        <f aca="false">MIN($V$5,AP59)</f>
        <v>4.70628665344493</v>
      </c>
      <c r="AR59" s="112"/>
      <c r="AS59" s="112" t="n">
        <f aca="false">AS58+AS$7/100</f>
        <v>1.02</v>
      </c>
      <c r="AT59" s="122" t="n">
        <f aca="false">AS59-IF($I$3="Forward", $D$9, $G$9)</f>
        <v>1.02</v>
      </c>
      <c r="AU59" s="112" t="n">
        <f aca="false">AS59*TAN(RADIANS(AW$7))-(IF($B$4, 9.807, 32.174)*AS59^2)/(2*AV$7^2*COS(RADIANS(AW$7))^2)+$D$7</f>
        <v>4.70628665344493</v>
      </c>
      <c r="AV59" s="123" t="n">
        <f aca="false">MIN($V$5,AU59)</f>
        <v>4.70628665344493</v>
      </c>
      <c r="AW59" s="112"/>
      <c r="AX59" s="112" t="n">
        <f aca="false">AX58+AX$7/100</f>
        <v>1.02</v>
      </c>
      <c r="AY59" s="122" t="n">
        <f aca="false">AX59+IF($I$3="Forward", $D$9, $G$9)</f>
        <v>1.02</v>
      </c>
      <c r="AZ59" s="112" t="n">
        <f aca="false">AX59*TAN(RADIANS(BB$7))-(IF($B$4, 9.807, 32.174)*AX59^2)/(2*BA$7^2*COS(RADIANS(BB$7))^2)+$D$7</f>
        <v>4.70628665344493</v>
      </c>
      <c r="BA59" s="123" t="n">
        <f aca="false">MIN($V$5,AZ59)</f>
        <v>4.70628665344493</v>
      </c>
      <c r="BB59" s="112"/>
      <c r="BC59" s="112" t="n">
        <f aca="false">BC58+BC$7/100</f>
        <v>1.02</v>
      </c>
      <c r="BD59" s="112" t="n">
        <f aca="false">BC59</f>
        <v>1.02</v>
      </c>
      <c r="BE59" s="112" t="n">
        <f aca="false">BC59*TAN(RADIANS(BG$7))-(IF($B$4, 9.807, 32.174)*BC59^2)/(2*BF$7^2*COS(RADIANS(BG$7))^2)+$D$7</f>
        <v>4.70628665344493</v>
      </c>
      <c r="BF59" s="123" t="n">
        <f aca="false">MIN($V$5,BE59)</f>
        <v>4.70628665344493</v>
      </c>
      <c r="BG59" s="112"/>
      <c r="BH59" s="112" t="n">
        <f aca="false">BH58+BH$7/100</f>
        <v>1.02</v>
      </c>
      <c r="BI59" s="122" t="n">
        <f aca="false">BH59-IF($I$3="Forward", $D$9, $G$9)</f>
        <v>1.02</v>
      </c>
      <c r="BJ59" s="112" t="n">
        <f aca="false">BH59*TAN(RADIANS(BL$7))-(IF($B$4, 9.807, 32.174)*BH59^2)/(2*BK$7^2*COS(RADIANS(BL$7))^2)+$D$7</f>
        <v>4.70628665344493</v>
      </c>
      <c r="BK59" s="123" t="n">
        <f aca="false">MIN($V$5,BJ59)</f>
        <v>4.70628665344493</v>
      </c>
      <c r="BL59" s="112"/>
      <c r="BM59" s="112" t="n">
        <f aca="false">BM58+BM$7/100</f>
        <v>1.02</v>
      </c>
      <c r="BN59" s="122" t="n">
        <f aca="false">BM59+IF($I$3="Forward", $D$9, $G$9)</f>
        <v>1.02</v>
      </c>
      <c r="BO59" s="112" t="n">
        <f aca="false">BM59*TAN(RADIANS(BQ$7))-(IF($B$4, 9.807, 32.174)*BM59^2)/(2*BP$7^2*COS(RADIANS(BQ$7))^2)+$D$7</f>
        <v>4.70628665344493</v>
      </c>
      <c r="BP59" s="123" t="n">
        <f aca="false">MIN($V$5,BO59)</f>
        <v>4.70628665344493</v>
      </c>
      <c r="BQ59" s="112"/>
      <c r="BR59" s="112" t="n">
        <f aca="false">BR58+BR$7/100</f>
        <v>1.02</v>
      </c>
      <c r="BS59" s="112" t="n">
        <f aca="false">BR59</f>
        <v>1.02</v>
      </c>
      <c r="BT59" s="112" t="n">
        <f aca="false">BR59*TAN(RADIANS(BV$7))-(IF($B$4, 9.807, 32.174)*BR59^2)/(2*BU$7^2*COS(RADIANS(BV$7))^2)+$D$7</f>
        <v>4.70628665344493</v>
      </c>
      <c r="BU59" s="123" t="n">
        <f aca="false">MIN($V$5,BT59)</f>
        <v>4.70628665344493</v>
      </c>
      <c r="BV59" s="112"/>
      <c r="BW59" s="112" t="n">
        <f aca="false">BW58+BW$7/100</f>
        <v>1.02</v>
      </c>
      <c r="BX59" s="122" t="n">
        <f aca="false">BW59-IF($I$3="Forward", $D$9, $G$9)</f>
        <v>1.02</v>
      </c>
      <c r="BY59" s="112" t="n">
        <f aca="false">BW59*TAN(RADIANS(CA$7))-(IF($B$4, 9.807, 32.174)*BW59^2)/(2*BZ$7^2*COS(RADIANS(CA$7))^2)+$D$7</f>
        <v>4.70628665344493</v>
      </c>
      <c r="BZ59" s="123" t="n">
        <f aca="false">MIN($V$5,BY59)</f>
        <v>4.70628665344493</v>
      </c>
      <c r="CA59" s="112"/>
      <c r="CB59" s="112" t="n">
        <f aca="false">CB58+CB$7/100</f>
        <v>1.02</v>
      </c>
      <c r="CC59" s="122" t="n">
        <f aca="false">CB59+IF($I$3="Forward", $D$9, $G$9)</f>
        <v>1.02</v>
      </c>
      <c r="CD59" s="112" t="n">
        <f aca="false">CB59*TAN(RADIANS(CF$7))-(IF($B$4, 9.807, 32.174)*CB59^2)/(2*CE$7^2*COS(RADIANS(CF$7))^2)+$D$7</f>
        <v>4.70628665344493</v>
      </c>
      <c r="CE59" s="123" t="n">
        <f aca="false">MIN($V$5,CD59)</f>
        <v>4.70628665344493</v>
      </c>
      <c r="CF59" s="112"/>
      <c r="CG59" s="124" t="n">
        <f aca="false">CG58+CG$7/100</f>
        <v>1.02</v>
      </c>
      <c r="CH59" s="124" t="n">
        <f aca="false">CG59</f>
        <v>1.02</v>
      </c>
      <c r="CI59" s="124" t="n">
        <f aca="false">CG59*TAN(RADIANS(CK$7))-(IF($B$4, 9.807, 32.174)*CG59^2)/(2*CJ$7^2*COS(RADIANS(CK$7))^2)+$D$7</f>
        <v>4.70628665344493</v>
      </c>
      <c r="CJ59" s="123" t="n">
        <f aca="false">MIN($V$5,CI59)</f>
        <v>4.70628665344493</v>
      </c>
      <c r="CK59" s="124"/>
      <c r="CL59" s="112" t="n">
        <f aca="false">CL58+CL$7/100</f>
        <v>1.02</v>
      </c>
      <c r="CM59" s="122" t="n">
        <f aca="false">CL59-IF($I$3="Forward", $D$9, $G$9)</f>
        <v>1.02</v>
      </c>
      <c r="CN59" s="112" t="n">
        <f aca="false">CL59*TAN(RADIANS(CP$7))-(IF($B$4, 9.807, 32.174)*CL59^2)/(2*CO$7^2*COS(RADIANS(CP$7))^2)+$D$7</f>
        <v>4.70628665344493</v>
      </c>
      <c r="CO59" s="123" t="n">
        <f aca="false">MIN($V$5,CN59)</f>
        <v>4.70628665344493</v>
      </c>
      <c r="CP59" s="112"/>
      <c r="CQ59" s="112" t="n">
        <f aca="false">CQ58+CQ$7/100</f>
        <v>1.02</v>
      </c>
      <c r="CR59" s="122" t="n">
        <f aca="false">CQ59+IF($I$3="Forward", $D$9, $G$9)</f>
        <v>1.02</v>
      </c>
      <c r="CS59" s="112" t="n">
        <f aca="false">CQ59*TAN(RADIANS(CU$7))-(IF($B$4, 9.807, 32.174)*CQ59^2)/(2*CT$7^2*COS(RADIANS(CU$7))^2)+$D$7</f>
        <v>4.70628665344493</v>
      </c>
      <c r="CT59" s="123" t="n">
        <f aca="false">MIN($V$5,CS59)</f>
        <v>4.70628665344493</v>
      </c>
      <c r="CU59" s="112"/>
      <c r="CV59" s="112" t="n">
        <f aca="false">CV58+CV$7/100</f>
        <v>1.02</v>
      </c>
      <c r="CW59" s="112" t="n">
        <f aca="false">CV59</f>
        <v>1.02</v>
      </c>
      <c r="CX59" s="112" t="n">
        <f aca="false">CV59*TAN(RADIANS(CZ$7))-(IF($B$4, 9.807, 32.174)*CV59^2)/(2*CY$7^2*COS(RADIANS(CZ$7))^2)+$D$7</f>
        <v>4.70628665344493</v>
      </c>
      <c r="CY59" s="123" t="n">
        <f aca="false">MIN($V$5,CX59)</f>
        <v>4.70628665344493</v>
      </c>
      <c r="CZ59" s="112"/>
      <c r="DA59" s="112" t="n">
        <f aca="false">DA58+DA$7/100</f>
        <v>1.02</v>
      </c>
      <c r="DB59" s="122" t="n">
        <f aca="false">DA59-IF($I$3="Forward", $D$9, $G$9)</f>
        <v>1.02</v>
      </c>
      <c r="DC59" s="112" t="n">
        <f aca="false">DA59*TAN(RADIANS(DE$7))-(IF($B$4, 9.807, 32.174)*DA59^2)/(2*DD$7^2*COS(RADIANS(DE$7))^2)+$D$7</f>
        <v>4.70628665344493</v>
      </c>
      <c r="DD59" s="123" t="n">
        <f aca="false">MIN($V$5,DC59)</f>
        <v>4.70628665344493</v>
      </c>
      <c r="DE59" s="112"/>
      <c r="DF59" s="112" t="n">
        <f aca="false">DF58+DF$7/100</f>
        <v>1.02</v>
      </c>
      <c r="DG59" s="122" t="n">
        <f aca="false">DF59+IF($I$3="Forward", $D$9, $G$9)</f>
        <v>1.02</v>
      </c>
      <c r="DH59" s="112" t="n">
        <f aca="false">DF59*TAN(RADIANS(DJ$7))-(IF($B$4, 9.807, 32.174)*DF59^2)/(2*DI$7^2*COS(RADIANS(DJ$7))^2)+$D$7</f>
        <v>4.70628665344493</v>
      </c>
      <c r="DI59" s="123" t="n">
        <f aca="false">MIN($V$5,DH59)</f>
        <v>4.70628665344493</v>
      </c>
      <c r="DJ59" s="112"/>
      <c r="DK59" s="112" t="n">
        <f aca="false">DK58+DK$7/100</f>
        <v>1.02</v>
      </c>
      <c r="DL59" s="112" t="n">
        <f aca="false">DK59</f>
        <v>1.02</v>
      </c>
      <c r="DM59" s="112" t="n">
        <f aca="false">DK59*TAN(RADIANS(DO$7))-(IF($B$4, 9.807, 32.174)*DK59^2)/(2*DN$7^2*COS(RADIANS(DO$7))^2)+$D$7</f>
        <v>4.70628665344493</v>
      </c>
      <c r="DN59" s="123" t="n">
        <f aca="false">MIN($V$5,DM59)</f>
        <v>4.70628665344493</v>
      </c>
      <c r="DO59" s="112"/>
      <c r="DP59" s="112" t="n">
        <f aca="false">DP58+DP$7/100</f>
        <v>1.02</v>
      </c>
      <c r="DQ59" s="122" t="n">
        <f aca="false">DP59-IF($I$3="Forward", $D$9, $G$9)</f>
        <v>1.02</v>
      </c>
      <c r="DR59" s="112" t="n">
        <f aca="false">DP59*TAN(RADIANS(DT$7))-(IF($B$4, 9.807, 32.174)*DP59^2)/(2*DS$7^2*COS(RADIANS(DT$7))^2)+$D$7</f>
        <v>4.70628665344493</v>
      </c>
      <c r="DS59" s="123" t="n">
        <f aca="false">MIN($V$5,DR59)</f>
        <v>4.70628665344493</v>
      </c>
      <c r="DT59" s="112"/>
      <c r="DU59" s="112" t="n">
        <f aca="false">DU58+DU$7/100</f>
        <v>1.02</v>
      </c>
      <c r="DV59" s="122" t="n">
        <f aca="false">DU59+IF($I$3="Forward", $D$9, $G$9)</f>
        <v>1.02</v>
      </c>
      <c r="DW59" s="112" t="n">
        <f aca="false">DU59*TAN(RADIANS(DY$7))-(IF($B$4, 9.807, 32.174)*DU59^2)/(2*DX$7^2*COS(RADIANS(DY$7))^2)+$D$7</f>
        <v>4.70628665344493</v>
      </c>
      <c r="DX59" s="123" t="n">
        <f aca="false">MIN($V$5,DW59)</f>
        <v>4.70628665344493</v>
      </c>
      <c r="DY59" s="112"/>
      <c r="DZ59" s="112" t="n">
        <f aca="false">DZ58+DZ$7/100</f>
        <v>1.02</v>
      </c>
      <c r="EA59" s="112" t="n">
        <f aca="false">DZ59</f>
        <v>1.02</v>
      </c>
      <c r="EB59" s="112" t="n">
        <f aca="false">DZ59*TAN(RADIANS(ED$7))-(IF($B$4, 9.807, 32.174)*DZ59^2)/(2*EC$7^2*COS(RADIANS(ED$7))^2)+$D$7</f>
        <v>4.70628665344493</v>
      </c>
      <c r="EC59" s="123" t="n">
        <f aca="false">MIN($V$5,EB59)</f>
        <v>4.70628665344493</v>
      </c>
      <c r="ED59" s="112"/>
      <c r="EE59" s="112" t="n">
        <f aca="false">EE58+EE$7/100</f>
        <v>1.02</v>
      </c>
      <c r="EF59" s="122" t="n">
        <f aca="false">EE59-IF($I$3="Forward", $D$9, $G$9)</f>
        <v>1.02</v>
      </c>
      <c r="EG59" s="112" t="n">
        <f aca="false">EE59*TAN(RADIANS(EI$7))-(IF($B$4, 9.807, 32.174)*EE59^2)/(2*EH$7^2*COS(RADIANS(EI$7))^2)+$D$7</f>
        <v>4.70628665344493</v>
      </c>
      <c r="EH59" s="123" t="n">
        <f aca="false">MIN($V$5,EG59)</f>
        <v>4.70628665344493</v>
      </c>
      <c r="EI59" s="112"/>
      <c r="EJ59" s="112" t="n">
        <f aca="false">EJ58+EJ$7/100</f>
        <v>1.02</v>
      </c>
      <c r="EK59" s="122" t="n">
        <f aca="false">EJ59+IF($I$3="Forward", $D$9, $G$9)</f>
        <v>1.02</v>
      </c>
      <c r="EL59" s="112" t="n">
        <f aca="false">EJ59*TAN(RADIANS(EN$7))-(IF($B$4, 9.807, 32.174)*EJ59^2)/(2*EM$7^2*COS(RADIANS(EN$7))^2)+$D$7</f>
        <v>4.70628665344493</v>
      </c>
      <c r="EM59" s="123" t="n">
        <f aca="false">MIN($V$5,EL59)</f>
        <v>4.70628665344493</v>
      </c>
      <c r="EN59" s="112"/>
      <c r="EO59" s="112" t="n">
        <f aca="false">EO58+EO$7/100</f>
        <v>1.02</v>
      </c>
      <c r="EP59" s="112" t="n">
        <f aca="false">EO59</f>
        <v>1.02</v>
      </c>
      <c r="EQ59" s="112" t="n">
        <f aca="false">EO59*TAN(RADIANS(ES$7))-(IF($B$4, 9.807, 32.174)*EO59^2)/(2*ER$7^2*COS(RADIANS(ES$7))^2)+$D$7</f>
        <v>4.70628665344493</v>
      </c>
      <c r="ER59" s="123" t="n">
        <f aca="false">MIN($V$5,EQ59)</f>
        <v>4.70628665344493</v>
      </c>
      <c r="ES59" s="112"/>
      <c r="ET59" s="112" t="n">
        <f aca="false">ET58+ET$7/100</f>
        <v>1.02</v>
      </c>
      <c r="EU59" s="122" t="n">
        <f aca="false">ET59-IF($I$3="Forward", $D$9, $G$9)</f>
        <v>1.02</v>
      </c>
      <c r="EV59" s="112" t="n">
        <f aca="false">ET59*TAN(RADIANS(EX$7))-(IF($B$4, 9.807, 32.174)*ET59^2)/(2*EW$7^2*COS(RADIANS(EX$7))^2)+$D$7</f>
        <v>4.70628665344493</v>
      </c>
      <c r="EW59" s="123" t="n">
        <f aca="false">MIN($V$5,EV59)</f>
        <v>4.70628665344493</v>
      </c>
      <c r="EX59" s="112"/>
    </row>
    <row r="60" s="131" customFormat="true" ht="15" hidden="false" customHeight="false" outlineLevel="0" collapsed="false">
      <c r="T60" s="112" t="n">
        <f aca="false">T59+T$7/100</f>
        <v>1.04</v>
      </c>
      <c r="U60" s="122" t="n">
        <f aca="false">T60+IF($I$3="Forward", $D$9, $G$9)</f>
        <v>1.04</v>
      </c>
      <c r="V60" s="112" t="n">
        <f aca="false">T60*TAN(RADIANS(X$7))-(IF($B$4, 9.807, 32.174)*T60^2)/(2*W$7^2*COS(RADIANS(X$7))^2)+$D$7</f>
        <v>4.72422388435316</v>
      </c>
      <c r="W60" s="123" t="n">
        <f aca="false">MIN($V$5,V60)</f>
        <v>4.72422388435316</v>
      </c>
      <c r="X60" s="112"/>
      <c r="Y60" s="112" t="n">
        <f aca="false">Y59+Y$7/100</f>
        <v>1.04</v>
      </c>
      <c r="Z60" s="112" t="n">
        <f aca="false">Y60</f>
        <v>1.04</v>
      </c>
      <c r="AA60" s="112" t="n">
        <f aca="false">Y60*TAN(RADIANS(AC$7))-(IF($B$4, 9.807, 32.174)*Y60^2)/(2*AB$7^2*COS(RADIANS(AC$7))^2)+$D$7</f>
        <v>4.72422388435316</v>
      </c>
      <c r="AB60" s="123" t="n">
        <f aca="false">MIN($V$5,AA60)</f>
        <v>4.72422388435316</v>
      </c>
      <c r="AC60" s="112"/>
      <c r="AD60" s="112" t="n">
        <f aca="false">AD59+AD$7/100</f>
        <v>1.04</v>
      </c>
      <c r="AE60" s="122" t="n">
        <f aca="false">AD60-IF($I$3="Forward", $D$9, $G$9)</f>
        <v>1.04</v>
      </c>
      <c r="AF60" s="112" t="n">
        <f aca="false">AD60*TAN(RADIANS(AH$7))-(IF($B$4, 9.807, 32.174)*AD60^2)/(2*AG$7^2*COS(RADIANS(AH$7))^2)+$D$7</f>
        <v>4.72422388435316</v>
      </c>
      <c r="AG60" s="123" t="n">
        <f aca="false">MIN($V$5,AF60)</f>
        <v>4.72422388435316</v>
      </c>
      <c r="AH60" s="112"/>
      <c r="AI60" s="112" t="n">
        <f aca="false">AI59+AI$7/100</f>
        <v>1.04</v>
      </c>
      <c r="AJ60" s="122" t="n">
        <f aca="false">AI60+IF($I$3="Forward", $D$9, $G$9)</f>
        <v>1.04</v>
      </c>
      <c r="AK60" s="112" t="n">
        <f aca="false">AI60*TAN(RADIANS(AM$7))-(IF($B$4, 9.807, 32.174)*AI60^2)/(2*AL$7^2*COS(RADIANS(AM$7))^2)+$D$7</f>
        <v>4.72422388435316</v>
      </c>
      <c r="AL60" s="123" t="n">
        <f aca="false">MIN($V$5,AK60)</f>
        <v>4.72422388435316</v>
      </c>
      <c r="AM60" s="112"/>
      <c r="AN60" s="112" t="n">
        <f aca="false">AN59+AN$7/100</f>
        <v>1.04</v>
      </c>
      <c r="AO60" s="112" t="n">
        <f aca="false">AN60</f>
        <v>1.04</v>
      </c>
      <c r="AP60" s="112" t="n">
        <f aca="false">AN60*TAN(RADIANS(AR$7))-(IF($B$4, 9.807, 32.174)*AN60^2)/(2*AQ$7^2*COS(RADIANS(AR$7))^2)+$D$7</f>
        <v>4.72422388435316</v>
      </c>
      <c r="AQ60" s="123" t="n">
        <f aca="false">MIN($V$5,AP60)</f>
        <v>4.72422388435316</v>
      </c>
      <c r="AR60" s="112"/>
      <c r="AS60" s="112" t="n">
        <f aca="false">AS59+AS$7/100</f>
        <v>1.04</v>
      </c>
      <c r="AT60" s="122" t="n">
        <f aca="false">AS60-IF($I$3="Forward", $D$9, $G$9)</f>
        <v>1.04</v>
      </c>
      <c r="AU60" s="112" t="n">
        <f aca="false">AS60*TAN(RADIANS(AW$7))-(IF($B$4, 9.807, 32.174)*AS60^2)/(2*AV$7^2*COS(RADIANS(AW$7))^2)+$D$7</f>
        <v>4.72422388435316</v>
      </c>
      <c r="AV60" s="123" t="n">
        <f aca="false">MIN($V$5,AU60)</f>
        <v>4.72422388435316</v>
      </c>
      <c r="AW60" s="112"/>
      <c r="AX60" s="112" t="n">
        <f aca="false">AX59+AX$7/100</f>
        <v>1.04</v>
      </c>
      <c r="AY60" s="122" t="n">
        <f aca="false">AX60+IF($I$3="Forward", $D$9, $G$9)</f>
        <v>1.04</v>
      </c>
      <c r="AZ60" s="112" t="n">
        <f aca="false">AX60*TAN(RADIANS(BB$7))-(IF($B$4, 9.807, 32.174)*AX60^2)/(2*BA$7^2*COS(RADIANS(BB$7))^2)+$D$7</f>
        <v>4.72422388435316</v>
      </c>
      <c r="BA60" s="123" t="n">
        <f aca="false">MIN($V$5,AZ60)</f>
        <v>4.72422388435316</v>
      </c>
      <c r="BB60" s="112"/>
      <c r="BC60" s="112" t="n">
        <f aca="false">BC59+BC$7/100</f>
        <v>1.04</v>
      </c>
      <c r="BD60" s="112" t="n">
        <f aca="false">BC60</f>
        <v>1.04</v>
      </c>
      <c r="BE60" s="112" t="n">
        <f aca="false">BC60*TAN(RADIANS(BG$7))-(IF($B$4, 9.807, 32.174)*BC60^2)/(2*BF$7^2*COS(RADIANS(BG$7))^2)+$D$7</f>
        <v>4.72422388435316</v>
      </c>
      <c r="BF60" s="123" t="n">
        <f aca="false">MIN($V$5,BE60)</f>
        <v>4.72422388435316</v>
      </c>
      <c r="BG60" s="112"/>
      <c r="BH60" s="112" t="n">
        <f aca="false">BH59+BH$7/100</f>
        <v>1.04</v>
      </c>
      <c r="BI60" s="122" t="n">
        <f aca="false">BH60-IF($I$3="Forward", $D$9, $G$9)</f>
        <v>1.04</v>
      </c>
      <c r="BJ60" s="112" t="n">
        <f aca="false">BH60*TAN(RADIANS(BL$7))-(IF($B$4, 9.807, 32.174)*BH60^2)/(2*BK$7^2*COS(RADIANS(BL$7))^2)+$D$7</f>
        <v>4.72422388435316</v>
      </c>
      <c r="BK60" s="123" t="n">
        <f aca="false">MIN($V$5,BJ60)</f>
        <v>4.72422388435316</v>
      </c>
      <c r="BL60" s="112"/>
      <c r="BM60" s="112" t="n">
        <f aca="false">BM59+BM$7/100</f>
        <v>1.04</v>
      </c>
      <c r="BN60" s="122" t="n">
        <f aca="false">BM60+IF($I$3="Forward", $D$9, $G$9)</f>
        <v>1.04</v>
      </c>
      <c r="BO60" s="112" t="n">
        <f aca="false">BM60*TAN(RADIANS(BQ$7))-(IF($B$4, 9.807, 32.174)*BM60^2)/(2*BP$7^2*COS(RADIANS(BQ$7))^2)+$D$7</f>
        <v>4.72422388435316</v>
      </c>
      <c r="BP60" s="123" t="n">
        <f aca="false">MIN($V$5,BO60)</f>
        <v>4.72422388435316</v>
      </c>
      <c r="BQ60" s="112"/>
      <c r="BR60" s="112" t="n">
        <f aca="false">BR59+BR$7/100</f>
        <v>1.04</v>
      </c>
      <c r="BS60" s="112" t="n">
        <f aca="false">BR60</f>
        <v>1.04</v>
      </c>
      <c r="BT60" s="112" t="n">
        <f aca="false">BR60*TAN(RADIANS(BV$7))-(IF($B$4, 9.807, 32.174)*BR60^2)/(2*BU$7^2*COS(RADIANS(BV$7))^2)+$D$7</f>
        <v>4.72422388435316</v>
      </c>
      <c r="BU60" s="123" t="n">
        <f aca="false">MIN($V$5,BT60)</f>
        <v>4.72422388435316</v>
      </c>
      <c r="BV60" s="112"/>
      <c r="BW60" s="112" t="n">
        <f aca="false">BW59+BW$7/100</f>
        <v>1.04</v>
      </c>
      <c r="BX60" s="122" t="n">
        <f aca="false">BW60-IF($I$3="Forward", $D$9, $G$9)</f>
        <v>1.04</v>
      </c>
      <c r="BY60" s="112" t="n">
        <f aca="false">BW60*TAN(RADIANS(CA$7))-(IF($B$4, 9.807, 32.174)*BW60^2)/(2*BZ$7^2*COS(RADIANS(CA$7))^2)+$D$7</f>
        <v>4.72422388435316</v>
      </c>
      <c r="BZ60" s="123" t="n">
        <f aca="false">MIN($V$5,BY60)</f>
        <v>4.72422388435316</v>
      </c>
      <c r="CA60" s="112"/>
      <c r="CB60" s="112" t="n">
        <f aca="false">CB59+CB$7/100</f>
        <v>1.04</v>
      </c>
      <c r="CC60" s="122" t="n">
        <f aca="false">CB60+IF($I$3="Forward", $D$9, $G$9)</f>
        <v>1.04</v>
      </c>
      <c r="CD60" s="112" t="n">
        <f aca="false">CB60*TAN(RADIANS(CF$7))-(IF($B$4, 9.807, 32.174)*CB60^2)/(2*CE$7^2*COS(RADIANS(CF$7))^2)+$D$7</f>
        <v>4.72422388435316</v>
      </c>
      <c r="CE60" s="123" t="n">
        <f aca="false">MIN($V$5,CD60)</f>
        <v>4.72422388435316</v>
      </c>
      <c r="CF60" s="112"/>
      <c r="CG60" s="124" t="n">
        <f aca="false">CG59+CG$7/100</f>
        <v>1.04</v>
      </c>
      <c r="CH60" s="124" t="n">
        <f aca="false">CG60</f>
        <v>1.04</v>
      </c>
      <c r="CI60" s="124" t="n">
        <f aca="false">CG60*TAN(RADIANS(CK$7))-(IF($B$4, 9.807, 32.174)*CG60^2)/(2*CJ$7^2*COS(RADIANS(CK$7))^2)+$D$7</f>
        <v>4.72422388435316</v>
      </c>
      <c r="CJ60" s="123" t="n">
        <f aca="false">MIN($V$5,CI60)</f>
        <v>4.72422388435316</v>
      </c>
      <c r="CK60" s="124"/>
      <c r="CL60" s="112" t="n">
        <f aca="false">CL59+CL$7/100</f>
        <v>1.04</v>
      </c>
      <c r="CM60" s="122" t="n">
        <f aca="false">CL60-IF($I$3="Forward", $D$9, $G$9)</f>
        <v>1.04</v>
      </c>
      <c r="CN60" s="112" t="n">
        <f aca="false">CL60*TAN(RADIANS(CP$7))-(IF($B$4, 9.807, 32.174)*CL60^2)/(2*CO$7^2*COS(RADIANS(CP$7))^2)+$D$7</f>
        <v>4.72422388435316</v>
      </c>
      <c r="CO60" s="123" t="n">
        <f aca="false">MIN($V$5,CN60)</f>
        <v>4.72422388435316</v>
      </c>
      <c r="CP60" s="112"/>
      <c r="CQ60" s="112" t="n">
        <f aca="false">CQ59+CQ$7/100</f>
        <v>1.04</v>
      </c>
      <c r="CR60" s="122" t="n">
        <f aca="false">CQ60+IF($I$3="Forward", $D$9, $G$9)</f>
        <v>1.04</v>
      </c>
      <c r="CS60" s="112" t="n">
        <f aca="false">CQ60*TAN(RADIANS(CU$7))-(IF($B$4, 9.807, 32.174)*CQ60^2)/(2*CT$7^2*COS(RADIANS(CU$7))^2)+$D$7</f>
        <v>4.72422388435316</v>
      </c>
      <c r="CT60" s="123" t="n">
        <f aca="false">MIN($V$5,CS60)</f>
        <v>4.72422388435316</v>
      </c>
      <c r="CU60" s="112"/>
      <c r="CV60" s="112" t="n">
        <f aca="false">CV59+CV$7/100</f>
        <v>1.04</v>
      </c>
      <c r="CW60" s="112" t="n">
        <f aca="false">CV60</f>
        <v>1.04</v>
      </c>
      <c r="CX60" s="112" t="n">
        <f aca="false">CV60*TAN(RADIANS(CZ$7))-(IF($B$4, 9.807, 32.174)*CV60^2)/(2*CY$7^2*COS(RADIANS(CZ$7))^2)+$D$7</f>
        <v>4.72422388435316</v>
      </c>
      <c r="CY60" s="123" t="n">
        <f aca="false">MIN($V$5,CX60)</f>
        <v>4.72422388435316</v>
      </c>
      <c r="CZ60" s="112"/>
      <c r="DA60" s="112" t="n">
        <f aca="false">DA59+DA$7/100</f>
        <v>1.04</v>
      </c>
      <c r="DB60" s="122" t="n">
        <f aca="false">DA60-IF($I$3="Forward", $D$9, $G$9)</f>
        <v>1.04</v>
      </c>
      <c r="DC60" s="112" t="n">
        <f aca="false">DA60*TAN(RADIANS(DE$7))-(IF($B$4, 9.807, 32.174)*DA60^2)/(2*DD$7^2*COS(RADIANS(DE$7))^2)+$D$7</f>
        <v>4.72422388435316</v>
      </c>
      <c r="DD60" s="123" t="n">
        <f aca="false">MIN($V$5,DC60)</f>
        <v>4.72422388435316</v>
      </c>
      <c r="DE60" s="112"/>
      <c r="DF60" s="112" t="n">
        <f aca="false">DF59+DF$7/100</f>
        <v>1.04</v>
      </c>
      <c r="DG60" s="122" t="n">
        <f aca="false">DF60+IF($I$3="Forward", $D$9, $G$9)</f>
        <v>1.04</v>
      </c>
      <c r="DH60" s="112" t="n">
        <f aca="false">DF60*TAN(RADIANS(DJ$7))-(IF($B$4, 9.807, 32.174)*DF60^2)/(2*DI$7^2*COS(RADIANS(DJ$7))^2)+$D$7</f>
        <v>4.72422388435316</v>
      </c>
      <c r="DI60" s="123" t="n">
        <f aca="false">MIN($V$5,DH60)</f>
        <v>4.72422388435316</v>
      </c>
      <c r="DJ60" s="112"/>
      <c r="DK60" s="112" t="n">
        <f aca="false">DK59+DK$7/100</f>
        <v>1.04</v>
      </c>
      <c r="DL60" s="112" t="n">
        <f aca="false">DK60</f>
        <v>1.04</v>
      </c>
      <c r="DM60" s="112" t="n">
        <f aca="false">DK60*TAN(RADIANS(DO$7))-(IF($B$4, 9.807, 32.174)*DK60^2)/(2*DN$7^2*COS(RADIANS(DO$7))^2)+$D$7</f>
        <v>4.72422388435316</v>
      </c>
      <c r="DN60" s="123" t="n">
        <f aca="false">MIN($V$5,DM60)</f>
        <v>4.72422388435316</v>
      </c>
      <c r="DO60" s="112"/>
      <c r="DP60" s="112" t="n">
        <f aca="false">DP59+DP$7/100</f>
        <v>1.04</v>
      </c>
      <c r="DQ60" s="122" t="n">
        <f aca="false">DP60-IF($I$3="Forward", $D$9, $G$9)</f>
        <v>1.04</v>
      </c>
      <c r="DR60" s="112" t="n">
        <f aca="false">DP60*TAN(RADIANS(DT$7))-(IF($B$4, 9.807, 32.174)*DP60^2)/(2*DS$7^2*COS(RADIANS(DT$7))^2)+$D$7</f>
        <v>4.72422388435316</v>
      </c>
      <c r="DS60" s="123" t="n">
        <f aca="false">MIN($V$5,DR60)</f>
        <v>4.72422388435316</v>
      </c>
      <c r="DT60" s="112"/>
      <c r="DU60" s="112" t="n">
        <f aca="false">DU59+DU$7/100</f>
        <v>1.04</v>
      </c>
      <c r="DV60" s="122" t="n">
        <f aca="false">DU60+IF($I$3="Forward", $D$9, $G$9)</f>
        <v>1.04</v>
      </c>
      <c r="DW60" s="112" t="n">
        <f aca="false">DU60*TAN(RADIANS(DY$7))-(IF($B$4, 9.807, 32.174)*DU60^2)/(2*DX$7^2*COS(RADIANS(DY$7))^2)+$D$7</f>
        <v>4.72422388435316</v>
      </c>
      <c r="DX60" s="123" t="n">
        <f aca="false">MIN($V$5,DW60)</f>
        <v>4.72422388435316</v>
      </c>
      <c r="DY60" s="112"/>
      <c r="DZ60" s="112" t="n">
        <f aca="false">DZ59+DZ$7/100</f>
        <v>1.04</v>
      </c>
      <c r="EA60" s="112" t="n">
        <f aca="false">DZ60</f>
        <v>1.04</v>
      </c>
      <c r="EB60" s="112" t="n">
        <f aca="false">DZ60*TAN(RADIANS(ED$7))-(IF($B$4, 9.807, 32.174)*DZ60^2)/(2*EC$7^2*COS(RADIANS(ED$7))^2)+$D$7</f>
        <v>4.72422388435316</v>
      </c>
      <c r="EC60" s="123" t="n">
        <f aca="false">MIN($V$5,EB60)</f>
        <v>4.72422388435316</v>
      </c>
      <c r="ED60" s="112"/>
      <c r="EE60" s="112" t="n">
        <f aca="false">EE59+EE$7/100</f>
        <v>1.04</v>
      </c>
      <c r="EF60" s="122" t="n">
        <f aca="false">EE60-IF($I$3="Forward", $D$9, $G$9)</f>
        <v>1.04</v>
      </c>
      <c r="EG60" s="112" t="n">
        <f aca="false">EE60*TAN(RADIANS(EI$7))-(IF($B$4, 9.807, 32.174)*EE60^2)/(2*EH$7^2*COS(RADIANS(EI$7))^2)+$D$7</f>
        <v>4.72422388435316</v>
      </c>
      <c r="EH60" s="123" t="n">
        <f aca="false">MIN($V$5,EG60)</f>
        <v>4.72422388435316</v>
      </c>
      <c r="EI60" s="112"/>
      <c r="EJ60" s="112" t="n">
        <f aca="false">EJ59+EJ$7/100</f>
        <v>1.04</v>
      </c>
      <c r="EK60" s="122" t="n">
        <f aca="false">EJ60+IF($I$3="Forward", $D$9, $G$9)</f>
        <v>1.04</v>
      </c>
      <c r="EL60" s="112" t="n">
        <f aca="false">EJ60*TAN(RADIANS(EN$7))-(IF($B$4, 9.807, 32.174)*EJ60^2)/(2*EM$7^2*COS(RADIANS(EN$7))^2)+$D$7</f>
        <v>4.72422388435316</v>
      </c>
      <c r="EM60" s="123" t="n">
        <f aca="false">MIN($V$5,EL60)</f>
        <v>4.72422388435316</v>
      </c>
      <c r="EN60" s="112"/>
      <c r="EO60" s="112" t="n">
        <f aca="false">EO59+EO$7/100</f>
        <v>1.04</v>
      </c>
      <c r="EP60" s="112" t="n">
        <f aca="false">EO60</f>
        <v>1.04</v>
      </c>
      <c r="EQ60" s="112" t="n">
        <f aca="false">EO60*TAN(RADIANS(ES$7))-(IF($B$4, 9.807, 32.174)*EO60^2)/(2*ER$7^2*COS(RADIANS(ES$7))^2)+$D$7</f>
        <v>4.72422388435316</v>
      </c>
      <c r="ER60" s="123" t="n">
        <f aca="false">MIN($V$5,EQ60)</f>
        <v>4.72422388435316</v>
      </c>
      <c r="ES60" s="112"/>
      <c r="ET60" s="112" t="n">
        <f aca="false">ET59+ET$7/100</f>
        <v>1.04</v>
      </c>
      <c r="EU60" s="122" t="n">
        <f aca="false">ET60-IF($I$3="Forward", $D$9, $G$9)</f>
        <v>1.04</v>
      </c>
      <c r="EV60" s="112" t="n">
        <f aca="false">ET60*TAN(RADIANS(EX$7))-(IF($B$4, 9.807, 32.174)*ET60^2)/(2*EW$7^2*COS(RADIANS(EX$7))^2)+$D$7</f>
        <v>4.72422388435316</v>
      </c>
      <c r="EW60" s="123" t="n">
        <f aca="false">MIN($V$5,EV60)</f>
        <v>4.72422388435316</v>
      </c>
      <c r="EX60" s="112"/>
    </row>
    <row r="61" s="131" customFormat="true" ht="15" hidden="false" customHeight="false" outlineLevel="0" collapsed="false">
      <c r="T61" s="112" t="n">
        <f aca="false">T60+T$7/100</f>
        <v>1.06</v>
      </c>
      <c r="U61" s="122" t="n">
        <f aca="false">T61+IF($I$3="Forward", $D$9, $G$9)</f>
        <v>1.06</v>
      </c>
      <c r="V61" s="112" t="n">
        <f aca="false">T61*TAN(RADIANS(X$7))-(IF($B$4, 9.807, 32.174)*T61^2)/(2*W$7^2*COS(RADIANS(X$7))^2)+$D$7</f>
        <v>4.73945260253354</v>
      </c>
      <c r="W61" s="123" t="n">
        <f aca="false">MIN($V$5,V61)</f>
        <v>4.73945260253354</v>
      </c>
      <c r="X61" s="112"/>
      <c r="Y61" s="112" t="n">
        <f aca="false">Y60+Y$7/100</f>
        <v>1.06</v>
      </c>
      <c r="Z61" s="112" t="n">
        <f aca="false">Y61</f>
        <v>1.06</v>
      </c>
      <c r="AA61" s="112" t="n">
        <f aca="false">Y61*TAN(RADIANS(AC$7))-(IF($B$4, 9.807, 32.174)*Y61^2)/(2*AB$7^2*COS(RADIANS(AC$7))^2)+$D$7</f>
        <v>4.73945260253354</v>
      </c>
      <c r="AB61" s="123" t="n">
        <f aca="false">MIN($V$5,AA61)</f>
        <v>4.73945260253354</v>
      </c>
      <c r="AC61" s="112"/>
      <c r="AD61" s="112" t="n">
        <f aca="false">AD60+AD$7/100</f>
        <v>1.06</v>
      </c>
      <c r="AE61" s="122" t="n">
        <f aca="false">AD61-IF($I$3="Forward", $D$9, $G$9)</f>
        <v>1.06</v>
      </c>
      <c r="AF61" s="112" t="n">
        <f aca="false">AD61*TAN(RADIANS(AH$7))-(IF($B$4, 9.807, 32.174)*AD61^2)/(2*AG$7^2*COS(RADIANS(AH$7))^2)+$D$7</f>
        <v>4.73945260253354</v>
      </c>
      <c r="AG61" s="123" t="n">
        <f aca="false">MIN($V$5,AF61)</f>
        <v>4.73945260253354</v>
      </c>
      <c r="AH61" s="112"/>
      <c r="AI61" s="112" t="n">
        <f aca="false">AI60+AI$7/100</f>
        <v>1.06</v>
      </c>
      <c r="AJ61" s="122" t="n">
        <f aca="false">AI61+IF($I$3="Forward", $D$9, $G$9)</f>
        <v>1.06</v>
      </c>
      <c r="AK61" s="112" t="n">
        <f aca="false">AI61*TAN(RADIANS(AM$7))-(IF($B$4, 9.807, 32.174)*AI61^2)/(2*AL$7^2*COS(RADIANS(AM$7))^2)+$D$7</f>
        <v>4.73945260253354</v>
      </c>
      <c r="AL61" s="123" t="n">
        <f aca="false">MIN($V$5,AK61)</f>
        <v>4.73945260253354</v>
      </c>
      <c r="AM61" s="112"/>
      <c r="AN61" s="112" t="n">
        <f aca="false">AN60+AN$7/100</f>
        <v>1.06</v>
      </c>
      <c r="AO61" s="112" t="n">
        <f aca="false">AN61</f>
        <v>1.06</v>
      </c>
      <c r="AP61" s="112" t="n">
        <f aca="false">AN61*TAN(RADIANS(AR$7))-(IF($B$4, 9.807, 32.174)*AN61^2)/(2*AQ$7^2*COS(RADIANS(AR$7))^2)+$D$7</f>
        <v>4.73945260253354</v>
      </c>
      <c r="AQ61" s="123" t="n">
        <f aca="false">MIN($V$5,AP61)</f>
        <v>4.73945260253354</v>
      </c>
      <c r="AR61" s="112"/>
      <c r="AS61" s="112" t="n">
        <f aca="false">AS60+AS$7/100</f>
        <v>1.06</v>
      </c>
      <c r="AT61" s="122" t="n">
        <f aca="false">AS61-IF($I$3="Forward", $D$9, $G$9)</f>
        <v>1.06</v>
      </c>
      <c r="AU61" s="112" t="n">
        <f aca="false">AS61*TAN(RADIANS(AW$7))-(IF($B$4, 9.807, 32.174)*AS61^2)/(2*AV$7^2*COS(RADIANS(AW$7))^2)+$D$7</f>
        <v>4.73945260253354</v>
      </c>
      <c r="AV61" s="123" t="n">
        <f aca="false">MIN($V$5,AU61)</f>
        <v>4.73945260253354</v>
      </c>
      <c r="AW61" s="112"/>
      <c r="AX61" s="112" t="n">
        <f aca="false">AX60+AX$7/100</f>
        <v>1.06</v>
      </c>
      <c r="AY61" s="122" t="n">
        <f aca="false">AX61+IF($I$3="Forward", $D$9, $G$9)</f>
        <v>1.06</v>
      </c>
      <c r="AZ61" s="112" t="n">
        <f aca="false">AX61*TAN(RADIANS(BB$7))-(IF($B$4, 9.807, 32.174)*AX61^2)/(2*BA$7^2*COS(RADIANS(BB$7))^2)+$D$7</f>
        <v>4.73945260253354</v>
      </c>
      <c r="BA61" s="123" t="n">
        <f aca="false">MIN($V$5,AZ61)</f>
        <v>4.73945260253354</v>
      </c>
      <c r="BB61" s="112"/>
      <c r="BC61" s="112" t="n">
        <f aca="false">BC60+BC$7/100</f>
        <v>1.06</v>
      </c>
      <c r="BD61" s="112" t="n">
        <f aca="false">BC61</f>
        <v>1.06</v>
      </c>
      <c r="BE61" s="112" t="n">
        <f aca="false">BC61*TAN(RADIANS(BG$7))-(IF($B$4, 9.807, 32.174)*BC61^2)/(2*BF$7^2*COS(RADIANS(BG$7))^2)+$D$7</f>
        <v>4.73945260253354</v>
      </c>
      <c r="BF61" s="123" t="n">
        <f aca="false">MIN($V$5,BE61)</f>
        <v>4.73945260253354</v>
      </c>
      <c r="BG61" s="112"/>
      <c r="BH61" s="112" t="n">
        <f aca="false">BH60+BH$7/100</f>
        <v>1.06</v>
      </c>
      <c r="BI61" s="122" t="n">
        <f aca="false">BH61-IF($I$3="Forward", $D$9, $G$9)</f>
        <v>1.06</v>
      </c>
      <c r="BJ61" s="112" t="n">
        <f aca="false">BH61*TAN(RADIANS(BL$7))-(IF($B$4, 9.807, 32.174)*BH61^2)/(2*BK$7^2*COS(RADIANS(BL$7))^2)+$D$7</f>
        <v>4.73945260253354</v>
      </c>
      <c r="BK61" s="123" t="n">
        <f aca="false">MIN($V$5,BJ61)</f>
        <v>4.73945260253354</v>
      </c>
      <c r="BL61" s="112"/>
      <c r="BM61" s="112" t="n">
        <f aca="false">BM60+BM$7/100</f>
        <v>1.06</v>
      </c>
      <c r="BN61" s="122" t="n">
        <f aca="false">BM61+IF($I$3="Forward", $D$9, $G$9)</f>
        <v>1.06</v>
      </c>
      <c r="BO61" s="112" t="n">
        <f aca="false">BM61*TAN(RADIANS(BQ$7))-(IF($B$4, 9.807, 32.174)*BM61^2)/(2*BP$7^2*COS(RADIANS(BQ$7))^2)+$D$7</f>
        <v>4.73945260253354</v>
      </c>
      <c r="BP61" s="123" t="n">
        <f aca="false">MIN($V$5,BO61)</f>
        <v>4.73945260253354</v>
      </c>
      <c r="BQ61" s="112"/>
      <c r="BR61" s="112" t="n">
        <f aca="false">BR60+BR$7/100</f>
        <v>1.06</v>
      </c>
      <c r="BS61" s="112" t="n">
        <f aca="false">BR61</f>
        <v>1.06</v>
      </c>
      <c r="BT61" s="112" t="n">
        <f aca="false">BR61*TAN(RADIANS(BV$7))-(IF($B$4, 9.807, 32.174)*BR61^2)/(2*BU$7^2*COS(RADIANS(BV$7))^2)+$D$7</f>
        <v>4.73945260253354</v>
      </c>
      <c r="BU61" s="123" t="n">
        <f aca="false">MIN($V$5,BT61)</f>
        <v>4.73945260253354</v>
      </c>
      <c r="BV61" s="112"/>
      <c r="BW61" s="112" t="n">
        <f aca="false">BW60+BW$7/100</f>
        <v>1.06</v>
      </c>
      <c r="BX61" s="122" t="n">
        <f aca="false">BW61-IF($I$3="Forward", $D$9, $G$9)</f>
        <v>1.06</v>
      </c>
      <c r="BY61" s="112" t="n">
        <f aca="false">BW61*TAN(RADIANS(CA$7))-(IF($B$4, 9.807, 32.174)*BW61^2)/(2*BZ$7^2*COS(RADIANS(CA$7))^2)+$D$7</f>
        <v>4.73945260253354</v>
      </c>
      <c r="BZ61" s="123" t="n">
        <f aca="false">MIN($V$5,BY61)</f>
        <v>4.73945260253354</v>
      </c>
      <c r="CA61" s="112"/>
      <c r="CB61" s="112" t="n">
        <f aca="false">CB60+CB$7/100</f>
        <v>1.06</v>
      </c>
      <c r="CC61" s="122" t="n">
        <f aca="false">CB61+IF($I$3="Forward", $D$9, $G$9)</f>
        <v>1.06</v>
      </c>
      <c r="CD61" s="112" t="n">
        <f aca="false">CB61*TAN(RADIANS(CF$7))-(IF($B$4, 9.807, 32.174)*CB61^2)/(2*CE$7^2*COS(RADIANS(CF$7))^2)+$D$7</f>
        <v>4.73945260253354</v>
      </c>
      <c r="CE61" s="123" t="n">
        <f aca="false">MIN($V$5,CD61)</f>
        <v>4.73945260253354</v>
      </c>
      <c r="CF61" s="112"/>
      <c r="CG61" s="124" t="n">
        <f aca="false">CG60+CG$7/100</f>
        <v>1.06</v>
      </c>
      <c r="CH61" s="124" t="n">
        <f aca="false">CG61</f>
        <v>1.06</v>
      </c>
      <c r="CI61" s="124" t="n">
        <f aca="false">CG61*TAN(RADIANS(CK$7))-(IF($B$4, 9.807, 32.174)*CG61^2)/(2*CJ$7^2*COS(RADIANS(CK$7))^2)+$D$7</f>
        <v>4.73945260253354</v>
      </c>
      <c r="CJ61" s="123" t="n">
        <f aca="false">MIN($V$5,CI61)</f>
        <v>4.73945260253354</v>
      </c>
      <c r="CK61" s="124"/>
      <c r="CL61" s="112" t="n">
        <f aca="false">CL60+CL$7/100</f>
        <v>1.06</v>
      </c>
      <c r="CM61" s="122" t="n">
        <f aca="false">CL61-IF($I$3="Forward", $D$9, $G$9)</f>
        <v>1.06</v>
      </c>
      <c r="CN61" s="112" t="n">
        <f aca="false">CL61*TAN(RADIANS(CP$7))-(IF($B$4, 9.807, 32.174)*CL61^2)/(2*CO$7^2*COS(RADIANS(CP$7))^2)+$D$7</f>
        <v>4.73945260253354</v>
      </c>
      <c r="CO61" s="123" t="n">
        <f aca="false">MIN($V$5,CN61)</f>
        <v>4.73945260253354</v>
      </c>
      <c r="CP61" s="112"/>
      <c r="CQ61" s="112" t="n">
        <f aca="false">CQ60+CQ$7/100</f>
        <v>1.06</v>
      </c>
      <c r="CR61" s="122" t="n">
        <f aca="false">CQ61+IF($I$3="Forward", $D$9, $G$9)</f>
        <v>1.06</v>
      </c>
      <c r="CS61" s="112" t="n">
        <f aca="false">CQ61*TAN(RADIANS(CU$7))-(IF($B$4, 9.807, 32.174)*CQ61^2)/(2*CT$7^2*COS(RADIANS(CU$7))^2)+$D$7</f>
        <v>4.73945260253354</v>
      </c>
      <c r="CT61" s="123" t="n">
        <f aca="false">MIN($V$5,CS61)</f>
        <v>4.73945260253354</v>
      </c>
      <c r="CU61" s="112"/>
      <c r="CV61" s="112" t="n">
        <f aca="false">CV60+CV$7/100</f>
        <v>1.06</v>
      </c>
      <c r="CW61" s="112" t="n">
        <f aca="false">CV61</f>
        <v>1.06</v>
      </c>
      <c r="CX61" s="112" t="n">
        <f aca="false">CV61*TAN(RADIANS(CZ$7))-(IF($B$4, 9.807, 32.174)*CV61^2)/(2*CY$7^2*COS(RADIANS(CZ$7))^2)+$D$7</f>
        <v>4.73945260253354</v>
      </c>
      <c r="CY61" s="123" t="n">
        <f aca="false">MIN($V$5,CX61)</f>
        <v>4.73945260253354</v>
      </c>
      <c r="CZ61" s="112"/>
      <c r="DA61" s="112" t="n">
        <f aca="false">DA60+DA$7/100</f>
        <v>1.06</v>
      </c>
      <c r="DB61" s="122" t="n">
        <f aca="false">DA61-IF($I$3="Forward", $D$9, $G$9)</f>
        <v>1.06</v>
      </c>
      <c r="DC61" s="112" t="n">
        <f aca="false">DA61*TAN(RADIANS(DE$7))-(IF($B$4, 9.807, 32.174)*DA61^2)/(2*DD$7^2*COS(RADIANS(DE$7))^2)+$D$7</f>
        <v>4.73945260253354</v>
      </c>
      <c r="DD61" s="123" t="n">
        <f aca="false">MIN($V$5,DC61)</f>
        <v>4.73945260253354</v>
      </c>
      <c r="DE61" s="112"/>
      <c r="DF61" s="112" t="n">
        <f aca="false">DF60+DF$7/100</f>
        <v>1.06</v>
      </c>
      <c r="DG61" s="122" t="n">
        <f aca="false">DF61+IF($I$3="Forward", $D$9, $G$9)</f>
        <v>1.06</v>
      </c>
      <c r="DH61" s="112" t="n">
        <f aca="false">DF61*TAN(RADIANS(DJ$7))-(IF($B$4, 9.807, 32.174)*DF61^2)/(2*DI$7^2*COS(RADIANS(DJ$7))^2)+$D$7</f>
        <v>4.73945260253354</v>
      </c>
      <c r="DI61" s="123" t="n">
        <f aca="false">MIN($V$5,DH61)</f>
        <v>4.73945260253354</v>
      </c>
      <c r="DJ61" s="112"/>
      <c r="DK61" s="112" t="n">
        <f aca="false">DK60+DK$7/100</f>
        <v>1.06</v>
      </c>
      <c r="DL61" s="112" t="n">
        <f aca="false">DK61</f>
        <v>1.06</v>
      </c>
      <c r="DM61" s="112" t="n">
        <f aca="false">DK61*TAN(RADIANS(DO$7))-(IF($B$4, 9.807, 32.174)*DK61^2)/(2*DN$7^2*COS(RADIANS(DO$7))^2)+$D$7</f>
        <v>4.73945260253354</v>
      </c>
      <c r="DN61" s="123" t="n">
        <f aca="false">MIN($V$5,DM61)</f>
        <v>4.73945260253354</v>
      </c>
      <c r="DO61" s="112"/>
      <c r="DP61" s="112" t="n">
        <f aca="false">DP60+DP$7/100</f>
        <v>1.06</v>
      </c>
      <c r="DQ61" s="122" t="n">
        <f aca="false">DP61-IF($I$3="Forward", $D$9, $G$9)</f>
        <v>1.06</v>
      </c>
      <c r="DR61" s="112" t="n">
        <f aca="false">DP61*TAN(RADIANS(DT$7))-(IF($B$4, 9.807, 32.174)*DP61^2)/(2*DS$7^2*COS(RADIANS(DT$7))^2)+$D$7</f>
        <v>4.73945260253354</v>
      </c>
      <c r="DS61" s="123" t="n">
        <f aca="false">MIN($V$5,DR61)</f>
        <v>4.73945260253354</v>
      </c>
      <c r="DT61" s="112"/>
      <c r="DU61" s="112" t="n">
        <f aca="false">DU60+DU$7/100</f>
        <v>1.06</v>
      </c>
      <c r="DV61" s="122" t="n">
        <f aca="false">DU61+IF($I$3="Forward", $D$9, $G$9)</f>
        <v>1.06</v>
      </c>
      <c r="DW61" s="112" t="n">
        <f aca="false">DU61*TAN(RADIANS(DY$7))-(IF($B$4, 9.807, 32.174)*DU61^2)/(2*DX$7^2*COS(RADIANS(DY$7))^2)+$D$7</f>
        <v>4.73945260253354</v>
      </c>
      <c r="DX61" s="123" t="n">
        <f aca="false">MIN($V$5,DW61)</f>
        <v>4.73945260253354</v>
      </c>
      <c r="DY61" s="112"/>
      <c r="DZ61" s="112" t="n">
        <f aca="false">DZ60+DZ$7/100</f>
        <v>1.06</v>
      </c>
      <c r="EA61" s="112" t="n">
        <f aca="false">DZ61</f>
        <v>1.06</v>
      </c>
      <c r="EB61" s="112" t="n">
        <f aca="false">DZ61*TAN(RADIANS(ED$7))-(IF($B$4, 9.807, 32.174)*DZ61^2)/(2*EC$7^2*COS(RADIANS(ED$7))^2)+$D$7</f>
        <v>4.73945260253354</v>
      </c>
      <c r="EC61" s="123" t="n">
        <f aca="false">MIN($V$5,EB61)</f>
        <v>4.73945260253354</v>
      </c>
      <c r="ED61" s="112"/>
      <c r="EE61" s="112" t="n">
        <f aca="false">EE60+EE$7/100</f>
        <v>1.06</v>
      </c>
      <c r="EF61" s="122" t="n">
        <f aca="false">EE61-IF($I$3="Forward", $D$9, $G$9)</f>
        <v>1.06</v>
      </c>
      <c r="EG61" s="112" t="n">
        <f aca="false">EE61*TAN(RADIANS(EI$7))-(IF($B$4, 9.807, 32.174)*EE61^2)/(2*EH$7^2*COS(RADIANS(EI$7))^2)+$D$7</f>
        <v>4.73945260253354</v>
      </c>
      <c r="EH61" s="123" t="n">
        <f aca="false">MIN($V$5,EG61)</f>
        <v>4.73945260253354</v>
      </c>
      <c r="EI61" s="112"/>
      <c r="EJ61" s="112" t="n">
        <f aca="false">EJ60+EJ$7/100</f>
        <v>1.06</v>
      </c>
      <c r="EK61" s="122" t="n">
        <f aca="false">EJ61+IF($I$3="Forward", $D$9, $G$9)</f>
        <v>1.06</v>
      </c>
      <c r="EL61" s="112" t="n">
        <f aca="false">EJ61*TAN(RADIANS(EN$7))-(IF($B$4, 9.807, 32.174)*EJ61^2)/(2*EM$7^2*COS(RADIANS(EN$7))^2)+$D$7</f>
        <v>4.73945260253354</v>
      </c>
      <c r="EM61" s="123" t="n">
        <f aca="false">MIN($V$5,EL61)</f>
        <v>4.73945260253354</v>
      </c>
      <c r="EN61" s="112"/>
      <c r="EO61" s="112" t="n">
        <f aca="false">EO60+EO$7/100</f>
        <v>1.06</v>
      </c>
      <c r="EP61" s="112" t="n">
        <f aca="false">EO61</f>
        <v>1.06</v>
      </c>
      <c r="EQ61" s="112" t="n">
        <f aca="false">EO61*TAN(RADIANS(ES$7))-(IF($B$4, 9.807, 32.174)*EO61^2)/(2*ER$7^2*COS(RADIANS(ES$7))^2)+$D$7</f>
        <v>4.73945260253354</v>
      </c>
      <c r="ER61" s="123" t="n">
        <f aca="false">MIN($V$5,EQ61)</f>
        <v>4.73945260253354</v>
      </c>
      <c r="ES61" s="112"/>
      <c r="ET61" s="112" t="n">
        <f aca="false">ET60+ET$7/100</f>
        <v>1.06</v>
      </c>
      <c r="EU61" s="122" t="n">
        <f aca="false">ET61-IF($I$3="Forward", $D$9, $G$9)</f>
        <v>1.06</v>
      </c>
      <c r="EV61" s="112" t="n">
        <f aca="false">ET61*TAN(RADIANS(EX$7))-(IF($B$4, 9.807, 32.174)*ET61^2)/(2*EW$7^2*COS(RADIANS(EX$7))^2)+$D$7</f>
        <v>4.73945260253354</v>
      </c>
      <c r="EW61" s="123" t="n">
        <f aca="false">MIN($V$5,EV61)</f>
        <v>4.73945260253354</v>
      </c>
      <c r="EX61" s="112"/>
    </row>
    <row r="62" s="131" customFormat="true" ht="15" hidden="false" customHeight="false" outlineLevel="0" collapsed="false">
      <c r="T62" s="112" t="n">
        <f aca="false">T61+T$7/100</f>
        <v>1.08</v>
      </c>
      <c r="U62" s="122" t="n">
        <f aca="false">T62+IF($I$3="Forward", $D$9, $G$9)</f>
        <v>1.08</v>
      </c>
      <c r="V62" s="112" t="n">
        <f aca="false">T62*TAN(RADIANS(X$7))-(IF($B$4, 9.807, 32.174)*T62^2)/(2*W$7^2*COS(RADIANS(X$7))^2)+$D$7</f>
        <v>4.75197280798608</v>
      </c>
      <c r="W62" s="123" t="n">
        <f aca="false">MIN($V$5,V62)</f>
        <v>4.75197280798608</v>
      </c>
      <c r="X62" s="112"/>
      <c r="Y62" s="112" t="n">
        <f aca="false">Y61+Y$7/100</f>
        <v>1.08</v>
      </c>
      <c r="Z62" s="112" t="n">
        <f aca="false">Y62</f>
        <v>1.08</v>
      </c>
      <c r="AA62" s="112" t="n">
        <f aca="false">Y62*TAN(RADIANS(AC$7))-(IF($B$4, 9.807, 32.174)*Y62^2)/(2*AB$7^2*COS(RADIANS(AC$7))^2)+$D$7</f>
        <v>4.75197280798608</v>
      </c>
      <c r="AB62" s="123" t="n">
        <f aca="false">MIN($V$5,AA62)</f>
        <v>4.75197280798608</v>
      </c>
      <c r="AC62" s="112"/>
      <c r="AD62" s="112" t="n">
        <f aca="false">AD61+AD$7/100</f>
        <v>1.08</v>
      </c>
      <c r="AE62" s="122" t="n">
        <f aca="false">AD62-IF($I$3="Forward", $D$9, $G$9)</f>
        <v>1.08</v>
      </c>
      <c r="AF62" s="112" t="n">
        <f aca="false">AD62*TAN(RADIANS(AH$7))-(IF($B$4, 9.807, 32.174)*AD62^2)/(2*AG$7^2*COS(RADIANS(AH$7))^2)+$D$7</f>
        <v>4.75197280798608</v>
      </c>
      <c r="AG62" s="123" t="n">
        <f aca="false">MIN($V$5,AF62)</f>
        <v>4.75197280798608</v>
      </c>
      <c r="AH62" s="112"/>
      <c r="AI62" s="112" t="n">
        <f aca="false">AI61+AI$7/100</f>
        <v>1.08</v>
      </c>
      <c r="AJ62" s="122" t="n">
        <f aca="false">AI62+IF($I$3="Forward", $D$9, $G$9)</f>
        <v>1.08</v>
      </c>
      <c r="AK62" s="112" t="n">
        <f aca="false">AI62*TAN(RADIANS(AM$7))-(IF($B$4, 9.807, 32.174)*AI62^2)/(2*AL$7^2*COS(RADIANS(AM$7))^2)+$D$7</f>
        <v>4.75197280798608</v>
      </c>
      <c r="AL62" s="123" t="n">
        <f aca="false">MIN($V$5,AK62)</f>
        <v>4.75197280798608</v>
      </c>
      <c r="AM62" s="112"/>
      <c r="AN62" s="112" t="n">
        <f aca="false">AN61+AN$7/100</f>
        <v>1.08</v>
      </c>
      <c r="AO62" s="112" t="n">
        <f aca="false">AN62</f>
        <v>1.08</v>
      </c>
      <c r="AP62" s="112" t="n">
        <f aca="false">AN62*TAN(RADIANS(AR$7))-(IF($B$4, 9.807, 32.174)*AN62^2)/(2*AQ$7^2*COS(RADIANS(AR$7))^2)+$D$7</f>
        <v>4.75197280798608</v>
      </c>
      <c r="AQ62" s="123" t="n">
        <f aca="false">MIN($V$5,AP62)</f>
        <v>4.75197280798608</v>
      </c>
      <c r="AR62" s="112"/>
      <c r="AS62" s="112" t="n">
        <f aca="false">AS61+AS$7/100</f>
        <v>1.08</v>
      </c>
      <c r="AT62" s="122" t="n">
        <f aca="false">AS62-IF($I$3="Forward", $D$9, $G$9)</f>
        <v>1.08</v>
      </c>
      <c r="AU62" s="112" t="n">
        <f aca="false">AS62*TAN(RADIANS(AW$7))-(IF($B$4, 9.807, 32.174)*AS62^2)/(2*AV$7^2*COS(RADIANS(AW$7))^2)+$D$7</f>
        <v>4.75197280798608</v>
      </c>
      <c r="AV62" s="123" t="n">
        <f aca="false">MIN($V$5,AU62)</f>
        <v>4.75197280798608</v>
      </c>
      <c r="AW62" s="112"/>
      <c r="AX62" s="112" t="n">
        <f aca="false">AX61+AX$7/100</f>
        <v>1.08</v>
      </c>
      <c r="AY62" s="122" t="n">
        <f aca="false">AX62+IF($I$3="Forward", $D$9, $G$9)</f>
        <v>1.08</v>
      </c>
      <c r="AZ62" s="112" t="n">
        <f aca="false">AX62*TAN(RADIANS(BB$7))-(IF($B$4, 9.807, 32.174)*AX62^2)/(2*BA$7^2*COS(RADIANS(BB$7))^2)+$D$7</f>
        <v>4.75197280798608</v>
      </c>
      <c r="BA62" s="123" t="n">
        <f aca="false">MIN($V$5,AZ62)</f>
        <v>4.75197280798608</v>
      </c>
      <c r="BB62" s="112"/>
      <c r="BC62" s="112" t="n">
        <f aca="false">BC61+BC$7/100</f>
        <v>1.08</v>
      </c>
      <c r="BD62" s="112" t="n">
        <f aca="false">BC62</f>
        <v>1.08</v>
      </c>
      <c r="BE62" s="112" t="n">
        <f aca="false">BC62*TAN(RADIANS(BG$7))-(IF($B$4, 9.807, 32.174)*BC62^2)/(2*BF$7^2*COS(RADIANS(BG$7))^2)+$D$7</f>
        <v>4.75197280798608</v>
      </c>
      <c r="BF62" s="123" t="n">
        <f aca="false">MIN($V$5,BE62)</f>
        <v>4.75197280798608</v>
      </c>
      <c r="BG62" s="112"/>
      <c r="BH62" s="112" t="n">
        <f aca="false">BH61+BH$7/100</f>
        <v>1.08</v>
      </c>
      <c r="BI62" s="122" t="n">
        <f aca="false">BH62-IF($I$3="Forward", $D$9, $G$9)</f>
        <v>1.08</v>
      </c>
      <c r="BJ62" s="112" t="n">
        <f aca="false">BH62*TAN(RADIANS(BL$7))-(IF($B$4, 9.807, 32.174)*BH62^2)/(2*BK$7^2*COS(RADIANS(BL$7))^2)+$D$7</f>
        <v>4.75197280798608</v>
      </c>
      <c r="BK62" s="123" t="n">
        <f aca="false">MIN($V$5,BJ62)</f>
        <v>4.75197280798608</v>
      </c>
      <c r="BL62" s="112"/>
      <c r="BM62" s="112" t="n">
        <f aca="false">BM61+BM$7/100</f>
        <v>1.08</v>
      </c>
      <c r="BN62" s="122" t="n">
        <f aca="false">BM62+IF($I$3="Forward", $D$9, $G$9)</f>
        <v>1.08</v>
      </c>
      <c r="BO62" s="112" t="n">
        <f aca="false">BM62*TAN(RADIANS(BQ$7))-(IF($B$4, 9.807, 32.174)*BM62^2)/(2*BP$7^2*COS(RADIANS(BQ$7))^2)+$D$7</f>
        <v>4.75197280798608</v>
      </c>
      <c r="BP62" s="123" t="n">
        <f aca="false">MIN($V$5,BO62)</f>
        <v>4.75197280798608</v>
      </c>
      <c r="BQ62" s="112"/>
      <c r="BR62" s="112" t="n">
        <f aca="false">BR61+BR$7/100</f>
        <v>1.08</v>
      </c>
      <c r="BS62" s="112" t="n">
        <f aca="false">BR62</f>
        <v>1.08</v>
      </c>
      <c r="BT62" s="112" t="n">
        <f aca="false">BR62*TAN(RADIANS(BV$7))-(IF($B$4, 9.807, 32.174)*BR62^2)/(2*BU$7^2*COS(RADIANS(BV$7))^2)+$D$7</f>
        <v>4.75197280798608</v>
      </c>
      <c r="BU62" s="123" t="n">
        <f aca="false">MIN($V$5,BT62)</f>
        <v>4.75197280798608</v>
      </c>
      <c r="BV62" s="112"/>
      <c r="BW62" s="112" t="n">
        <f aca="false">BW61+BW$7/100</f>
        <v>1.08</v>
      </c>
      <c r="BX62" s="122" t="n">
        <f aca="false">BW62-IF($I$3="Forward", $D$9, $G$9)</f>
        <v>1.08</v>
      </c>
      <c r="BY62" s="112" t="n">
        <f aca="false">BW62*TAN(RADIANS(CA$7))-(IF($B$4, 9.807, 32.174)*BW62^2)/(2*BZ$7^2*COS(RADIANS(CA$7))^2)+$D$7</f>
        <v>4.75197280798608</v>
      </c>
      <c r="BZ62" s="123" t="n">
        <f aca="false">MIN($V$5,BY62)</f>
        <v>4.75197280798608</v>
      </c>
      <c r="CA62" s="112"/>
      <c r="CB62" s="112" t="n">
        <f aca="false">CB61+CB$7/100</f>
        <v>1.08</v>
      </c>
      <c r="CC62" s="122" t="n">
        <f aca="false">CB62+IF($I$3="Forward", $D$9, $G$9)</f>
        <v>1.08</v>
      </c>
      <c r="CD62" s="112" t="n">
        <f aca="false">CB62*TAN(RADIANS(CF$7))-(IF($B$4, 9.807, 32.174)*CB62^2)/(2*CE$7^2*COS(RADIANS(CF$7))^2)+$D$7</f>
        <v>4.75197280798608</v>
      </c>
      <c r="CE62" s="123" t="n">
        <f aca="false">MIN($V$5,CD62)</f>
        <v>4.75197280798608</v>
      </c>
      <c r="CF62" s="112"/>
      <c r="CG62" s="124" t="n">
        <f aca="false">CG61+CG$7/100</f>
        <v>1.08</v>
      </c>
      <c r="CH62" s="124" t="n">
        <f aca="false">CG62</f>
        <v>1.08</v>
      </c>
      <c r="CI62" s="124" t="n">
        <f aca="false">CG62*TAN(RADIANS(CK$7))-(IF($B$4, 9.807, 32.174)*CG62^2)/(2*CJ$7^2*COS(RADIANS(CK$7))^2)+$D$7</f>
        <v>4.75197280798608</v>
      </c>
      <c r="CJ62" s="123" t="n">
        <f aca="false">MIN($V$5,CI62)</f>
        <v>4.75197280798608</v>
      </c>
      <c r="CK62" s="124"/>
      <c r="CL62" s="112" t="n">
        <f aca="false">CL61+CL$7/100</f>
        <v>1.08</v>
      </c>
      <c r="CM62" s="122" t="n">
        <f aca="false">CL62-IF($I$3="Forward", $D$9, $G$9)</f>
        <v>1.08</v>
      </c>
      <c r="CN62" s="112" t="n">
        <f aca="false">CL62*TAN(RADIANS(CP$7))-(IF($B$4, 9.807, 32.174)*CL62^2)/(2*CO$7^2*COS(RADIANS(CP$7))^2)+$D$7</f>
        <v>4.75197280798608</v>
      </c>
      <c r="CO62" s="123" t="n">
        <f aca="false">MIN($V$5,CN62)</f>
        <v>4.75197280798608</v>
      </c>
      <c r="CP62" s="112"/>
      <c r="CQ62" s="112" t="n">
        <f aca="false">CQ61+CQ$7/100</f>
        <v>1.08</v>
      </c>
      <c r="CR62" s="122" t="n">
        <f aca="false">CQ62+IF($I$3="Forward", $D$9, $G$9)</f>
        <v>1.08</v>
      </c>
      <c r="CS62" s="112" t="n">
        <f aca="false">CQ62*TAN(RADIANS(CU$7))-(IF($B$4, 9.807, 32.174)*CQ62^2)/(2*CT$7^2*COS(RADIANS(CU$7))^2)+$D$7</f>
        <v>4.75197280798608</v>
      </c>
      <c r="CT62" s="123" t="n">
        <f aca="false">MIN($V$5,CS62)</f>
        <v>4.75197280798608</v>
      </c>
      <c r="CU62" s="112"/>
      <c r="CV62" s="112" t="n">
        <f aca="false">CV61+CV$7/100</f>
        <v>1.08</v>
      </c>
      <c r="CW62" s="112" t="n">
        <f aca="false">CV62</f>
        <v>1.08</v>
      </c>
      <c r="CX62" s="112" t="n">
        <f aca="false">CV62*TAN(RADIANS(CZ$7))-(IF($B$4, 9.807, 32.174)*CV62^2)/(2*CY$7^2*COS(RADIANS(CZ$7))^2)+$D$7</f>
        <v>4.75197280798608</v>
      </c>
      <c r="CY62" s="123" t="n">
        <f aca="false">MIN($V$5,CX62)</f>
        <v>4.75197280798608</v>
      </c>
      <c r="CZ62" s="112"/>
      <c r="DA62" s="112" t="n">
        <f aca="false">DA61+DA$7/100</f>
        <v>1.08</v>
      </c>
      <c r="DB62" s="122" t="n">
        <f aca="false">DA62-IF($I$3="Forward", $D$9, $G$9)</f>
        <v>1.08</v>
      </c>
      <c r="DC62" s="112" t="n">
        <f aca="false">DA62*TAN(RADIANS(DE$7))-(IF($B$4, 9.807, 32.174)*DA62^2)/(2*DD$7^2*COS(RADIANS(DE$7))^2)+$D$7</f>
        <v>4.75197280798608</v>
      </c>
      <c r="DD62" s="123" t="n">
        <f aca="false">MIN($V$5,DC62)</f>
        <v>4.75197280798608</v>
      </c>
      <c r="DE62" s="112"/>
      <c r="DF62" s="112" t="n">
        <f aca="false">DF61+DF$7/100</f>
        <v>1.08</v>
      </c>
      <c r="DG62" s="122" t="n">
        <f aca="false">DF62+IF($I$3="Forward", $D$9, $G$9)</f>
        <v>1.08</v>
      </c>
      <c r="DH62" s="112" t="n">
        <f aca="false">DF62*TAN(RADIANS(DJ$7))-(IF($B$4, 9.807, 32.174)*DF62^2)/(2*DI$7^2*COS(RADIANS(DJ$7))^2)+$D$7</f>
        <v>4.75197280798608</v>
      </c>
      <c r="DI62" s="123" t="n">
        <f aca="false">MIN($V$5,DH62)</f>
        <v>4.75197280798608</v>
      </c>
      <c r="DJ62" s="112"/>
      <c r="DK62" s="112" t="n">
        <f aca="false">DK61+DK$7/100</f>
        <v>1.08</v>
      </c>
      <c r="DL62" s="112" t="n">
        <f aca="false">DK62</f>
        <v>1.08</v>
      </c>
      <c r="DM62" s="112" t="n">
        <f aca="false">DK62*TAN(RADIANS(DO$7))-(IF($B$4, 9.807, 32.174)*DK62^2)/(2*DN$7^2*COS(RADIANS(DO$7))^2)+$D$7</f>
        <v>4.75197280798608</v>
      </c>
      <c r="DN62" s="123" t="n">
        <f aca="false">MIN($V$5,DM62)</f>
        <v>4.75197280798608</v>
      </c>
      <c r="DO62" s="112"/>
      <c r="DP62" s="112" t="n">
        <f aca="false">DP61+DP$7/100</f>
        <v>1.08</v>
      </c>
      <c r="DQ62" s="122" t="n">
        <f aca="false">DP62-IF($I$3="Forward", $D$9, $G$9)</f>
        <v>1.08</v>
      </c>
      <c r="DR62" s="112" t="n">
        <f aca="false">DP62*TAN(RADIANS(DT$7))-(IF($B$4, 9.807, 32.174)*DP62^2)/(2*DS$7^2*COS(RADIANS(DT$7))^2)+$D$7</f>
        <v>4.75197280798608</v>
      </c>
      <c r="DS62" s="123" t="n">
        <f aca="false">MIN($V$5,DR62)</f>
        <v>4.75197280798608</v>
      </c>
      <c r="DT62" s="112"/>
      <c r="DU62" s="112" t="n">
        <f aca="false">DU61+DU$7/100</f>
        <v>1.08</v>
      </c>
      <c r="DV62" s="122" t="n">
        <f aca="false">DU62+IF($I$3="Forward", $D$9, $G$9)</f>
        <v>1.08</v>
      </c>
      <c r="DW62" s="112" t="n">
        <f aca="false">DU62*TAN(RADIANS(DY$7))-(IF($B$4, 9.807, 32.174)*DU62^2)/(2*DX$7^2*COS(RADIANS(DY$7))^2)+$D$7</f>
        <v>4.75197280798608</v>
      </c>
      <c r="DX62" s="123" t="n">
        <f aca="false">MIN($V$5,DW62)</f>
        <v>4.75197280798608</v>
      </c>
      <c r="DY62" s="112"/>
      <c r="DZ62" s="112" t="n">
        <f aca="false">DZ61+DZ$7/100</f>
        <v>1.08</v>
      </c>
      <c r="EA62" s="112" t="n">
        <f aca="false">DZ62</f>
        <v>1.08</v>
      </c>
      <c r="EB62" s="112" t="n">
        <f aca="false">DZ62*TAN(RADIANS(ED$7))-(IF($B$4, 9.807, 32.174)*DZ62^2)/(2*EC$7^2*COS(RADIANS(ED$7))^2)+$D$7</f>
        <v>4.75197280798608</v>
      </c>
      <c r="EC62" s="123" t="n">
        <f aca="false">MIN($V$5,EB62)</f>
        <v>4.75197280798608</v>
      </c>
      <c r="ED62" s="112"/>
      <c r="EE62" s="112" t="n">
        <f aca="false">EE61+EE$7/100</f>
        <v>1.08</v>
      </c>
      <c r="EF62" s="122" t="n">
        <f aca="false">EE62-IF($I$3="Forward", $D$9, $G$9)</f>
        <v>1.08</v>
      </c>
      <c r="EG62" s="112" t="n">
        <f aca="false">EE62*TAN(RADIANS(EI$7))-(IF($B$4, 9.807, 32.174)*EE62^2)/(2*EH$7^2*COS(RADIANS(EI$7))^2)+$D$7</f>
        <v>4.75197280798608</v>
      </c>
      <c r="EH62" s="123" t="n">
        <f aca="false">MIN($V$5,EG62)</f>
        <v>4.75197280798608</v>
      </c>
      <c r="EI62" s="112"/>
      <c r="EJ62" s="112" t="n">
        <f aca="false">EJ61+EJ$7/100</f>
        <v>1.08</v>
      </c>
      <c r="EK62" s="122" t="n">
        <f aca="false">EJ62+IF($I$3="Forward", $D$9, $G$9)</f>
        <v>1.08</v>
      </c>
      <c r="EL62" s="112" t="n">
        <f aca="false">EJ62*TAN(RADIANS(EN$7))-(IF($B$4, 9.807, 32.174)*EJ62^2)/(2*EM$7^2*COS(RADIANS(EN$7))^2)+$D$7</f>
        <v>4.75197280798608</v>
      </c>
      <c r="EM62" s="123" t="n">
        <f aca="false">MIN($V$5,EL62)</f>
        <v>4.75197280798608</v>
      </c>
      <c r="EN62" s="112"/>
      <c r="EO62" s="112" t="n">
        <f aca="false">EO61+EO$7/100</f>
        <v>1.08</v>
      </c>
      <c r="EP62" s="112" t="n">
        <f aca="false">EO62</f>
        <v>1.08</v>
      </c>
      <c r="EQ62" s="112" t="n">
        <f aca="false">EO62*TAN(RADIANS(ES$7))-(IF($B$4, 9.807, 32.174)*EO62^2)/(2*ER$7^2*COS(RADIANS(ES$7))^2)+$D$7</f>
        <v>4.75197280798608</v>
      </c>
      <c r="ER62" s="123" t="n">
        <f aca="false">MIN($V$5,EQ62)</f>
        <v>4.75197280798608</v>
      </c>
      <c r="ES62" s="112"/>
      <c r="ET62" s="112" t="n">
        <f aca="false">ET61+ET$7/100</f>
        <v>1.08</v>
      </c>
      <c r="EU62" s="122" t="n">
        <f aca="false">ET62-IF($I$3="Forward", $D$9, $G$9)</f>
        <v>1.08</v>
      </c>
      <c r="EV62" s="112" t="n">
        <f aca="false">ET62*TAN(RADIANS(EX$7))-(IF($B$4, 9.807, 32.174)*ET62^2)/(2*EW$7^2*COS(RADIANS(EX$7))^2)+$D$7</f>
        <v>4.75197280798608</v>
      </c>
      <c r="EW62" s="123" t="n">
        <f aca="false">MIN($V$5,EV62)</f>
        <v>4.75197280798608</v>
      </c>
      <c r="EX62" s="112"/>
    </row>
    <row r="63" s="131" customFormat="true" ht="15" hidden="false" customHeight="false" outlineLevel="0" collapsed="false">
      <c r="T63" s="112" t="n">
        <f aca="false">T62+T$7/100</f>
        <v>1.1</v>
      </c>
      <c r="U63" s="122" t="n">
        <f aca="false">T63+IF($I$3="Forward", $D$9, $G$9)</f>
        <v>1.1</v>
      </c>
      <c r="V63" s="112" t="n">
        <f aca="false">T63*TAN(RADIANS(X$7))-(IF($B$4, 9.807, 32.174)*T63^2)/(2*W$7^2*COS(RADIANS(X$7))^2)+$D$7</f>
        <v>4.76178450071077</v>
      </c>
      <c r="W63" s="123" t="n">
        <f aca="false">MIN($V$5,V63)</f>
        <v>4.76178450071077</v>
      </c>
      <c r="X63" s="112"/>
      <c r="Y63" s="112" t="n">
        <f aca="false">Y62+Y$7/100</f>
        <v>1.1</v>
      </c>
      <c r="Z63" s="112" t="n">
        <f aca="false">Y63</f>
        <v>1.1</v>
      </c>
      <c r="AA63" s="112" t="n">
        <f aca="false">Y63*TAN(RADIANS(AC$7))-(IF($B$4, 9.807, 32.174)*Y63^2)/(2*AB$7^2*COS(RADIANS(AC$7))^2)+$D$7</f>
        <v>4.76178450071077</v>
      </c>
      <c r="AB63" s="123" t="n">
        <f aca="false">MIN($V$5,AA63)</f>
        <v>4.76178450071077</v>
      </c>
      <c r="AC63" s="112"/>
      <c r="AD63" s="112" t="n">
        <f aca="false">AD62+AD$7/100</f>
        <v>1.1</v>
      </c>
      <c r="AE63" s="122" t="n">
        <f aca="false">AD63-IF($I$3="Forward", $D$9, $G$9)</f>
        <v>1.1</v>
      </c>
      <c r="AF63" s="112" t="n">
        <f aca="false">AD63*TAN(RADIANS(AH$7))-(IF($B$4, 9.807, 32.174)*AD63^2)/(2*AG$7^2*COS(RADIANS(AH$7))^2)+$D$7</f>
        <v>4.76178450071077</v>
      </c>
      <c r="AG63" s="123" t="n">
        <f aca="false">MIN($V$5,AF63)</f>
        <v>4.76178450071077</v>
      </c>
      <c r="AH63" s="112"/>
      <c r="AI63" s="112" t="n">
        <f aca="false">AI62+AI$7/100</f>
        <v>1.1</v>
      </c>
      <c r="AJ63" s="122" t="n">
        <f aca="false">AI63+IF($I$3="Forward", $D$9, $G$9)</f>
        <v>1.1</v>
      </c>
      <c r="AK63" s="112" t="n">
        <f aca="false">AI63*TAN(RADIANS(AM$7))-(IF($B$4, 9.807, 32.174)*AI63^2)/(2*AL$7^2*COS(RADIANS(AM$7))^2)+$D$7</f>
        <v>4.76178450071077</v>
      </c>
      <c r="AL63" s="123" t="n">
        <f aca="false">MIN($V$5,AK63)</f>
        <v>4.76178450071077</v>
      </c>
      <c r="AM63" s="112"/>
      <c r="AN63" s="112" t="n">
        <f aca="false">AN62+AN$7/100</f>
        <v>1.1</v>
      </c>
      <c r="AO63" s="112" t="n">
        <f aca="false">AN63</f>
        <v>1.1</v>
      </c>
      <c r="AP63" s="112" t="n">
        <f aca="false">AN63*TAN(RADIANS(AR$7))-(IF($B$4, 9.807, 32.174)*AN63^2)/(2*AQ$7^2*COS(RADIANS(AR$7))^2)+$D$7</f>
        <v>4.76178450071077</v>
      </c>
      <c r="AQ63" s="123" t="n">
        <f aca="false">MIN($V$5,AP63)</f>
        <v>4.76178450071077</v>
      </c>
      <c r="AR63" s="112"/>
      <c r="AS63" s="112" t="n">
        <f aca="false">AS62+AS$7/100</f>
        <v>1.1</v>
      </c>
      <c r="AT63" s="122" t="n">
        <f aca="false">AS63-IF($I$3="Forward", $D$9, $G$9)</f>
        <v>1.1</v>
      </c>
      <c r="AU63" s="112" t="n">
        <f aca="false">AS63*TAN(RADIANS(AW$7))-(IF($B$4, 9.807, 32.174)*AS63^2)/(2*AV$7^2*COS(RADIANS(AW$7))^2)+$D$7</f>
        <v>4.76178450071077</v>
      </c>
      <c r="AV63" s="123" t="n">
        <f aca="false">MIN($V$5,AU63)</f>
        <v>4.76178450071077</v>
      </c>
      <c r="AW63" s="112"/>
      <c r="AX63" s="112" t="n">
        <f aca="false">AX62+AX$7/100</f>
        <v>1.1</v>
      </c>
      <c r="AY63" s="122" t="n">
        <f aca="false">AX63+IF($I$3="Forward", $D$9, $G$9)</f>
        <v>1.1</v>
      </c>
      <c r="AZ63" s="112" t="n">
        <f aca="false">AX63*TAN(RADIANS(BB$7))-(IF($B$4, 9.807, 32.174)*AX63^2)/(2*BA$7^2*COS(RADIANS(BB$7))^2)+$D$7</f>
        <v>4.76178450071077</v>
      </c>
      <c r="BA63" s="123" t="n">
        <f aca="false">MIN($V$5,AZ63)</f>
        <v>4.76178450071077</v>
      </c>
      <c r="BB63" s="112"/>
      <c r="BC63" s="112" t="n">
        <f aca="false">BC62+BC$7/100</f>
        <v>1.1</v>
      </c>
      <c r="BD63" s="112" t="n">
        <f aca="false">BC63</f>
        <v>1.1</v>
      </c>
      <c r="BE63" s="112" t="n">
        <f aca="false">BC63*TAN(RADIANS(BG$7))-(IF($B$4, 9.807, 32.174)*BC63^2)/(2*BF$7^2*COS(RADIANS(BG$7))^2)+$D$7</f>
        <v>4.76178450071077</v>
      </c>
      <c r="BF63" s="123" t="n">
        <f aca="false">MIN($V$5,BE63)</f>
        <v>4.76178450071077</v>
      </c>
      <c r="BG63" s="112"/>
      <c r="BH63" s="112" t="n">
        <f aca="false">BH62+BH$7/100</f>
        <v>1.1</v>
      </c>
      <c r="BI63" s="122" t="n">
        <f aca="false">BH63-IF($I$3="Forward", $D$9, $G$9)</f>
        <v>1.1</v>
      </c>
      <c r="BJ63" s="112" t="n">
        <f aca="false">BH63*TAN(RADIANS(BL$7))-(IF($B$4, 9.807, 32.174)*BH63^2)/(2*BK$7^2*COS(RADIANS(BL$7))^2)+$D$7</f>
        <v>4.76178450071077</v>
      </c>
      <c r="BK63" s="123" t="n">
        <f aca="false">MIN($V$5,BJ63)</f>
        <v>4.76178450071077</v>
      </c>
      <c r="BL63" s="112"/>
      <c r="BM63" s="112" t="n">
        <f aca="false">BM62+BM$7/100</f>
        <v>1.1</v>
      </c>
      <c r="BN63" s="122" t="n">
        <f aca="false">BM63+IF($I$3="Forward", $D$9, $G$9)</f>
        <v>1.1</v>
      </c>
      <c r="BO63" s="112" t="n">
        <f aca="false">BM63*TAN(RADIANS(BQ$7))-(IF($B$4, 9.807, 32.174)*BM63^2)/(2*BP$7^2*COS(RADIANS(BQ$7))^2)+$D$7</f>
        <v>4.76178450071077</v>
      </c>
      <c r="BP63" s="123" t="n">
        <f aca="false">MIN($V$5,BO63)</f>
        <v>4.76178450071077</v>
      </c>
      <c r="BQ63" s="112"/>
      <c r="BR63" s="112" t="n">
        <f aca="false">BR62+BR$7/100</f>
        <v>1.1</v>
      </c>
      <c r="BS63" s="112" t="n">
        <f aca="false">BR63</f>
        <v>1.1</v>
      </c>
      <c r="BT63" s="112" t="n">
        <f aca="false">BR63*TAN(RADIANS(BV$7))-(IF($B$4, 9.807, 32.174)*BR63^2)/(2*BU$7^2*COS(RADIANS(BV$7))^2)+$D$7</f>
        <v>4.76178450071077</v>
      </c>
      <c r="BU63" s="123" t="n">
        <f aca="false">MIN($V$5,BT63)</f>
        <v>4.76178450071077</v>
      </c>
      <c r="BV63" s="112"/>
      <c r="BW63" s="112" t="n">
        <f aca="false">BW62+BW$7/100</f>
        <v>1.1</v>
      </c>
      <c r="BX63" s="122" t="n">
        <f aca="false">BW63-IF($I$3="Forward", $D$9, $G$9)</f>
        <v>1.1</v>
      </c>
      <c r="BY63" s="112" t="n">
        <f aca="false">BW63*TAN(RADIANS(CA$7))-(IF($B$4, 9.807, 32.174)*BW63^2)/(2*BZ$7^2*COS(RADIANS(CA$7))^2)+$D$7</f>
        <v>4.76178450071077</v>
      </c>
      <c r="BZ63" s="123" t="n">
        <f aca="false">MIN($V$5,BY63)</f>
        <v>4.76178450071077</v>
      </c>
      <c r="CA63" s="112"/>
      <c r="CB63" s="112" t="n">
        <f aca="false">CB62+CB$7/100</f>
        <v>1.1</v>
      </c>
      <c r="CC63" s="122" t="n">
        <f aca="false">CB63+IF($I$3="Forward", $D$9, $G$9)</f>
        <v>1.1</v>
      </c>
      <c r="CD63" s="112" t="n">
        <f aca="false">CB63*TAN(RADIANS(CF$7))-(IF($B$4, 9.807, 32.174)*CB63^2)/(2*CE$7^2*COS(RADIANS(CF$7))^2)+$D$7</f>
        <v>4.76178450071077</v>
      </c>
      <c r="CE63" s="123" t="n">
        <f aca="false">MIN($V$5,CD63)</f>
        <v>4.76178450071077</v>
      </c>
      <c r="CF63" s="112"/>
      <c r="CG63" s="124" t="n">
        <f aca="false">CG62+CG$7/100</f>
        <v>1.1</v>
      </c>
      <c r="CH63" s="124" t="n">
        <f aca="false">CG63</f>
        <v>1.1</v>
      </c>
      <c r="CI63" s="124" t="n">
        <f aca="false">CG63*TAN(RADIANS(CK$7))-(IF($B$4, 9.807, 32.174)*CG63^2)/(2*CJ$7^2*COS(RADIANS(CK$7))^2)+$D$7</f>
        <v>4.76178450071077</v>
      </c>
      <c r="CJ63" s="123" t="n">
        <f aca="false">MIN($V$5,CI63)</f>
        <v>4.76178450071077</v>
      </c>
      <c r="CK63" s="124"/>
      <c r="CL63" s="112" t="n">
        <f aca="false">CL62+CL$7/100</f>
        <v>1.1</v>
      </c>
      <c r="CM63" s="122" t="n">
        <f aca="false">CL63-IF($I$3="Forward", $D$9, $G$9)</f>
        <v>1.1</v>
      </c>
      <c r="CN63" s="112" t="n">
        <f aca="false">CL63*TAN(RADIANS(CP$7))-(IF($B$4, 9.807, 32.174)*CL63^2)/(2*CO$7^2*COS(RADIANS(CP$7))^2)+$D$7</f>
        <v>4.76178450071077</v>
      </c>
      <c r="CO63" s="123" t="n">
        <f aca="false">MIN($V$5,CN63)</f>
        <v>4.76178450071077</v>
      </c>
      <c r="CP63" s="112"/>
      <c r="CQ63" s="112" t="n">
        <f aca="false">CQ62+CQ$7/100</f>
        <v>1.1</v>
      </c>
      <c r="CR63" s="122" t="n">
        <f aca="false">CQ63+IF($I$3="Forward", $D$9, $G$9)</f>
        <v>1.1</v>
      </c>
      <c r="CS63" s="112" t="n">
        <f aca="false">CQ63*TAN(RADIANS(CU$7))-(IF($B$4, 9.807, 32.174)*CQ63^2)/(2*CT$7^2*COS(RADIANS(CU$7))^2)+$D$7</f>
        <v>4.76178450071077</v>
      </c>
      <c r="CT63" s="123" t="n">
        <f aca="false">MIN($V$5,CS63)</f>
        <v>4.76178450071077</v>
      </c>
      <c r="CU63" s="112"/>
      <c r="CV63" s="112" t="n">
        <f aca="false">CV62+CV$7/100</f>
        <v>1.1</v>
      </c>
      <c r="CW63" s="112" t="n">
        <f aca="false">CV63</f>
        <v>1.1</v>
      </c>
      <c r="CX63" s="112" t="n">
        <f aca="false">CV63*TAN(RADIANS(CZ$7))-(IF($B$4, 9.807, 32.174)*CV63^2)/(2*CY$7^2*COS(RADIANS(CZ$7))^2)+$D$7</f>
        <v>4.76178450071077</v>
      </c>
      <c r="CY63" s="123" t="n">
        <f aca="false">MIN($V$5,CX63)</f>
        <v>4.76178450071077</v>
      </c>
      <c r="CZ63" s="112"/>
      <c r="DA63" s="112" t="n">
        <f aca="false">DA62+DA$7/100</f>
        <v>1.1</v>
      </c>
      <c r="DB63" s="122" t="n">
        <f aca="false">DA63-IF($I$3="Forward", $D$9, $G$9)</f>
        <v>1.1</v>
      </c>
      <c r="DC63" s="112" t="n">
        <f aca="false">DA63*TAN(RADIANS(DE$7))-(IF($B$4, 9.807, 32.174)*DA63^2)/(2*DD$7^2*COS(RADIANS(DE$7))^2)+$D$7</f>
        <v>4.76178450071077</v>
      </c>
      <c r="DD63" s="123" t="n">
        <f aca="false">MIN($V$5,DC63)</f>
        <v>4.76178450071077</v>
      </c>
      <c r="DE63" s="112"/>
      <c r="DF63" s="112" t="n">
        <f aca="false">DF62+DF$7/100</f>
        <v>1.1</v>
      </c>
      <c r="DG63" s="122" t="n">
        <f aca="false">DF63+IF($I$3="Forward", $D$9, $G$9)</f>
        <v>1.1</v>
      </c>
      <c r="DH63" s="112" t="n">
        <f aca="false">DF63*TAN(RADIANS(DJ$7))-(IF($B$4, 9.807, 32.174)*DF63^2)/(2*DI$7^2*COS(RADIANS(DJ$7))^2)+$D$7</f>
        <v>4.76178450071077</v>
      </c>
      <c r="DI63" s="123" t="n">
        <f aca="false">MIN($V$5,DH63)</f>
        <v>4.76178450071077</v>
      </c>
      <c r="DJ63" s="112"/>
      <c r="DK63" s="112" t="n">
        <f aca="false">DK62+DK$7/100</f>
        <v>1.1</v>
      </c>
      <c r="DL63" s="112" t="n">
        <f aca="false">DK63</f>
        <v>1.1</v>
      </c>
      <c r="DM63" s="112" t="n">
        <f aca="false">DK63*TAN(RADIANS(DO$7))-(IF($B$4, 9.807, 32.174)*DK63^2)/(2*DN$7^2*COS(RADIANS(DO$7))^2)+$D$7</f>
        <v>4.76178450071077</v>
      </c>
      <c r="DN63" s="123" t="n">
        <f aca="false">MIN($V$5,DM63)</f>
        <v>4.76178450071077</v>
      </c>
      <c r="DO63" s="112"/>
      <c r="DP63" s="112" t="n">
        <f aca="false">DP62+DP$7/100</f>
        <v>1.1</v>
      </c>
      <c r="DQ63" s="122" t="n">
        <f aca="false">DP63-IF($I$3="Forward", $D$9, $G$9)</f>
        <v>1.1</v>
      </c>
      <c r="DR63" s="112" t="n">
        <f aca="false">DP63*TAN(RADIANS(DT$7))-(IF($B$4, 9.807, 32.174)*DP63^2)/(2*DS$7^2*COS(RADIANS(DT$7))^2)+$D$7</f>
        <v>4.76178450071077</v>
      </c>
      <c r="DS63" s="123" t="n">
        <f aca="false">MIN($V$5,DR63)</f>
        <v>4.76178450071077</v>
      </c>
      <c r="DT63" s="112"/>
      <c r="DU63" s="112" t="n">
        <f aca="false">DU62+DU$7/100</f>
        <v>1.1</v>
      </c>
      <c r="DV63" s="122" t="n">
        <f aca="false">DU63+IF($I$3="Forward", $D$9, $G$9)</f>
        <v>1.1</v>
      </c>
      <c r="DW63" s="112" t="n">
        <f aca="false">DU63*TAN(RADIANS(DY$7))-(IF($B$4, 9.807, 32.174)*DU63^2)/(2*DX$7^2*COS(RADIANS(DY$7))^2)+$D$7</f>
        <v>4.76178450071077</v>
      </c>
      <c r="DX63" s="123" t="n">
        <f aca="false">MIN($V$5,DW63)</f>
        <v>4.76178450071077</v>
      </c>
      <c r="DY63" s="112"/>
      <c r="DZ63" s="112" t="n">
        <f aca="false">DZ62+DZ$7/100</f>
        <v>1.1</v>
      </c>
      <c r="EA63" s="112" t="n">
        <f aca="false">DZ63</f>
        <v>1.1</v>
      </c>
      <c r="EB63" s="112" t="n">
        <f aca="false">DZ63*TAN(RADIANS(ED$7))-(IF($B$4, 9.807, 32.174)*DZ63^2)/(2*EC$7^2*COS(RADIANS(ED$7))^2)+$D$7</f>
        <v>4.76178450071077</v>
      </c>
      <c r="EC63" s="123" t="n">
        <f aca="false">MIN($V$5,EB63)</f>
        <v>4.76178450071077</v>
      </c>
      <c r="ED63" s="112"/>
      <c r="EE63" s="112" t="n">
        <f aca="false">EE62+EE$7/100</f>
        <v>1.1</v>
      </c>
      <c r="EF63" s="122" t="n">
        <f aca="false">EE63-IF($I$3="Forward", $D$9, $G$9)</f>
        <v>1.1</v>
      </c>
      <c r="EG63" s="112" t="n">
        <f aca="false">EE63*TAN(RADIANS(EI$7))-(IF($B$4, 9.807, 32.174)*EE63^2)/(2*EH$7^2*COS(RADIANS(EI$7))^2)+$D$7</f>
        <v>4.76178450071077</v>
      </c>
      <c r="EH63" s="123" t="n">
        <f aca="false">MIN($V$5,EG63)</f>
        <v>4.76178450071077</v>
      </c>
      <c r="EI63" s="112"/>
      <c r="EJ63" s="112" t="n">
        <f aca="false">EJ62+EJ$7/100</f>
        <v>1.1</v>
      </c>
      <c r="EK63" s="122" t="n">
        <f aca="false">EJ63+IF($I$3="Forward", $D$9, $G$9)</f>
        <v>1.1</v>
      </c>
      <c r="EL63" s="112" t="n">
        <f aca="false">EJ63*TAN(RADIANS(EN$7))-(IF($B$4, 9.807, 32.174)*EJ63^2)/(2*EM$7^2*COS(RADIANS(EN$7))^2)+$D$7</f>
        <v>4.76178450071077</v>
      </c>
      <c r="EM63" s="123" t="n">
        <f aca="false">MIN($V$5,EL63)</f>
        <v>4.76178450071077</v>
      </c>
      <c r="EN63" s="112"/>
      <c r="EO63" s="112" t="n">
        <f aca="false">EO62+EO$7/100</f>
        <v>1.1</v>
      </c>
      <c r="EP63" s="112" t="n">
        <f aca="false">EO63</f>
        <v>1.1</v>
      </c>
      <c r="EQ63" s="112" t="n">
        <f aca="false">EO63*TAN(RADIANS(ES$7))-(IF($B$4, 9.807, 32.174)*EO63^2)/(2*ER$7^2*COS(RADIANS(ES$7))^2)+$D$7</f>
        <v>4.76178450071077</v>
      </c>
      <c r="ER63" s="123" t="n">
        <f aca="false">MIN($V$5,EQ63)</f>
        <v>4.76178450071077</v>
      </c>
      <c r="ES63" s="112"/>
      <c r="ET63" s="112" t="n">
        <f aca="false">ET62+ET$7/100</f>
        <v>1.1</v>
      </c>
      <c r="EU63" s="122" t="n">
        <f aca="false">ET63-IF($I$3="Forward", $D$9, $G$9)</f>
        <v>1.1</v>
      </c>
      <c r="EV63" s="112" t="n">
        <f aca="false">ET63*TAN(RADIANS(EX$7))-(IF($B$4, 9.807, 32.174)*ET63^2)/(2*EW$7^2*COS(RADIANS(EX$7))^2)+$D$7</f>
        <v>4.76178450071077</v>
      </c>
      <c r="EW63" s="123" t="n">
        <f aca="false">MIN($V$5,EV63)</f>
        <v>4.76178450071077</v>
      </c>
      <c r="EX63" s="112"/>
    </row>
    <row r="64" s="131" customFormat="true" ht="15" hidden="false" customHeight="false" outlineLevel="0" collapsed="false">
      <c r="T64" s="112" t="n">
        <f aca="false">T63+T$7/100</f>
        <v>1.12</v>
      </c>
      <c r="U64" s="122" t="n">
        <f aca="false">T64+IF($I$3="Forward", $D$9, $G$9)</f>
        <v>1.12</v>
      </c>
      <c r="V64" s="112" t="n">
        <f aca="false">T64*TAN(RADIANS(X$7))-(IF($B$4, 9.807, 32.174)*T64^2)/(2*W$7^2*COS(RADIANS(X$7))^2)+$D$7</f>
        <v>4.76888768070761</v>
      </c>
      <c r="W64" s="123" t="n">
        <f aca="false">MIN($V$5,V64)</f>
        <v>4.76888768070761</v>
      </c>
      <c r="X64" s="112"/>
      <c r="Y64" s="112" t="n">
        <f aca="false">Y63+Y$7/100</f>
        <v>1.12</v>
      </c>
      <c r="Z64" s="112" t="n">
        <f aca="false">Y64</f>
        <v>1.12</v>
      </c>
      <c r="AA64" s="112" t="n">
        <f aca="false">Y64*TAN(RADIANS(AC$7))-(IF($B$4, 9.807, 32.174)*Y64^2)/(2*AB$7^2*COS(RADIANS(AC$7))^2)+$D$7</f>
        <v>4.76888768070761</v>
      </c>
      <c r="AB64" s="123" t="n">
        <f aca="false">MIN($V$5,AA64)</f>
        <v>4.76888768070761</v>
      </c>
      <c r="AC64" s="112"/>
      <c r="AD64" s="112" t="n">
        <f aca="false">AD63+AD$7/100</f>
        <v>1.12</v>
      </c>
      <c r="AE64" s="122" t="n">
        <f aca="false">AD64-IF($I$3="Forward", $D$9, $G$9)</f>
        <v>1.12</v>
      </c>
      <c r="AF64" s="112" t="n">
        <f aca="false">AD64*TAN(RADIANS(AH$7))-(IF($B$4, 9.807, 32.174)*AD64^2)/(2*AG$7^2*COS(RADIANS(AH$7))^2)+$D$7</f>
        <v>4.76888768070761</v>
      </c>
      <c r="AG64" s="123" t="n">
        <f aca="false">MIN($V$5,AF64)</f>
        <v>4.76888768070761</v>
      </c>
      <c r="AH64" s="112"/>
      <c r="AI64" s="112" t="n">
        <f aca="false">AI63+AI$7/100</f>
        <v>1.12</v>
      </c>
      <c r="AJ64" s="122" t="n">
        <f aca="false">AI64+IF($I$3="Forward", $D$9, $G$9)</f>
        <v>1.12</v>
      </c>
      <c r="AK64" s="112" t="n">
        <f aca="false">AI64*TAN(RADIANS(AM$7))-(IF($B$4, 9.807, 32.174)*AI64^2)/(2*AL$7^2*COS(RADIANS(AM$7))^2)+$D$7</f>
        <v>4.76888768070761</v>
      </c>
      <c r="AL64" s="123" t="n">
        <f aca="false">MIN($V$5,AK64)</f>
        <v>4.76888768070761</v>
      </c>
      <c r="AM64" s="112"/>
      <c r="AN64" s="112" t="n">
        <f aca="false">AN63+AN$7/100</f>
        <v>1.12</v>
      </c>
      <c r="AO64" s="112" t="n">
        <f aca="false">AN64</f>
        <v>1.12</v>
      </c>
      <c r="AP64" s="112" t="n">
        <f aca="false">AN64*TAN(RADIANS(AR$7))-(IF($B$4, 9.807, 32.174)*AN64^2)/(2*AQ$7^2*COS(RADIANS(AR$7))^2)+$D$7</f>
        <v>4.76888768070761</v>
      </c>
      <c r="AQ64" s="123" t="n">
        <f aca="false">MIN($V$5,AP64)</f>
        <v>4.76888768070761</v>
      </c>
      <c r="AR64" s="112"/>
      <c r="AS64" s="112" t="n">
        <f aca="false">AS63+AS$7/100</f>
        <v>1.12</v>
      </c>
      <c r="AT64" s="122" t="n">
        <f aca="false">AS64-IF($I$3="Forward", $D$9, $G$9)</f>
        <v>1.12</v>
      </c>
      <c r="AU64" s="112" t="n">
        <f aca="false">AS64*TAN(RADIANS(AW$7))-(IF($B$4, 9.807, 32.174)*AS64^2)/(2*AV$7^2*COS(RADIANS(AW$7))^2)+$D$7</f>
        <v>4.76888768070761</v>
      </c>
      <c r="AV64" s="123" t="n">
        <f aca="false">MIN($V$5,AU64)</f>
        <v>4.76888768070761</v>
      </c>
      <c r="AW64" s="112"/>
      <c r="AX64" s="112" t="n">
        <f aca="false">AX63+AX$7/100</f>
        <v>1.12</v>
      </c>
      <c r="AY64" s="122" t="n">
        <f aca="false">AX64+IF($I$3="Forward", $D$9, $G$9)</f>
        <v>1.12</v>
      </c>
      <c r="AZ64" s="112" t="n">
        <f aca="false">AX64*TAN(RADIANS(BB$7))-(IF($B$4, 9.807, 32.174)*AX64^2)/(2*BA$7^2*COS(RADIANS(BB$7))^2)+$D$7</f>
        <v>4.76888768070761</v>
      </c>
      <c r="BA64" s="123" t="n">
        <f aca="false">MIN($V$5,AZ64)</f>
        <v>4.76888768070761</v>
      </c>
      <c r="BB64" s="112"/>
      <c r="BC64" s="112" t="n">
        <f aca="false">BC63+BC$7/100</f>
        <v>1.12</v>
      </c>
      <c r="BD64" s="112" t="n">
        <f aca="false">BC64</f>
        <v>1.12</v>
      </c>
      <c r="BE64" s="112" t="n">
        <f aca="false">BC64*TAN(RADIANS(BG$7))-(IF($B$4, 9.807, 32.174)*BC64^2)/(2*BF$7^2*COS(RADIANS(BG$7))^2)+$D$7</f>
        <v>4.76888768070761</v>
      </c>
      <c r="BF64" s="123" t="n">
        <f aca="false">MIN($V$5,BE64)</f>
        <v>4.76888768070761</v>
      </c>
      <c r="BG64" s="112"/>
      <c r="BH64" s="112" t="n">
        <f aca="false">BH63+BH$7/100</f>
        <v>1.12</v>
      </c>
      <c r="BI64" s="122" t="n">
        <f aca="false">BH64-IF($I$3="Forward", $D$9, $G$9)</f>
        <v>1.12</v>
      </c>
      <c r="BJ64" s="112" t="n">
        <f aca="false">BH64*TAN(RADIANS(BL$7))-(IF($B$4, 9.807, 32.174)*BH64^2)/(2*BK$7^2*COS(RADIANS(BL$7))^2)+$D$7</f>
        <v>4.76888768070761</v>
      </c>
      <c r="BK64" s="123" t="n">
        <f aca="false">MIN($V$5,BJ64)</f>
        <v>4.76888768070761</v>
      </c>
      <c r="BL64" s="112"/>
      <c r="BM64" s="112" t="n">
        <f aca="false">BM63+BM$7/100</f>
        <v>1.12</v>
      </c>
      <c r="BN64" s="122" t="n">
        <f aca="false">BM64+IF($I$3="Forward", $D$9, $G$9)</f>
        <v>1.12</v>
      </c>
      <c r="BO64" s="112" t="n">
        <f aca="false">BM64*TAN(RADIANS(BQ$7))-(IF($B$4, 9.807, 32.174)*BM64^2)/(2*BP$7^2*COS(RADIANS(BQ$7))^2)+$D$7</f>
        <v>4.76888768070761</v>
      </c>
      <c r="BP64" s="123" t="n">
        <f aca="false">MIN($V$5,BO64)</f>
        <v>4.76888768070761</v>
      </c>
      <c r="BQ64" s="112"/>
      <c r="BR64" s="112" t="n">
        <f aca="false">BR63+BR$7/100</f>
        <v>1.12</v>
      </c>
      <c r="BS64" s="112" t="n">
        <f aca="false">BR64</f>
        <v>1.12</v>
      </c>
      <c r="BT64" s="112" t="n">
        <f aca="false">BR64*TAN(RADIANS(BV$7))-(IF($B$4, 9.807, 32.174)*BR64^2)/(2*BU$7^2*COS(RADIANS(BV$7))^2)+$D$7</f>
        <v>4.76888768070761</v>
      </c>
      <c r="BU64" s="123" t="n">
        <f aca="false">MIN($V$5,BT64)</f>
        <v>4.76888768070761</v>
      </c>
      <c r="BV64" s="112"/>
      <c r="BW64" s="112" t="n">
        <f aca="false">BW63+BW$7/100</f>
        <v>1.12</v>
      </c>
      <c r="BX64" s="122" t="n">
        <f aca="false">BW64-IF($I$3="Forward", $D$9, $G$9)</f>
        <v>1.12</v>
      </c>
      <c r="BY64" s="112" t="n">
        <f aca="false">BW64*TAN(RADIANS(CA$7))-(IF($B$4, 9.807, 32.174)*BW64^2)/(2*BZ$7^2*COS(RADIANS(CA$7))^2)+$D$7</f>
        <v>4.76888768070761</v>
      </c>
      <c r="BZ64" s="123" t="n">
        <f aca="false">MIN($V$5,BY64)</f>
        <v>4.76888768070761</v>
      </c>
      <c r="CA64" s="112"/>
      <c r="CB64" s="112" t="n">
        <f aca="false">CB63+CB$7/100</f>
        <v>1.12</v>
      </c>
      <c r="CC64" s="122" t="n">
        <f aca="false">CB64+IF($I$3="Forward", $D$9, $G$9)</f>
        <v>1.12</v>
      </c>
      <c r="CD64" s="112" t="n">
        <f aca="false">CB64*TAN(RADIANS(CF$7))-(IF($B$4, 9.807, 32.174)*CB64^2)/(2*CE$7^2*COS(RADIANS(CF$7))^2)+$D$7</f>
        <v>4.76888768070761</v>
      </c>
      <c r="CE64" s="123" t="n">
        <f aca="false">MIN($V$5,CD64)</f>
        <v>4.76888768070761</v>
      </c>
      <c r="CF64" s="112"/>
      <c r="CG64" s="124" t="n">
        <f aca="false">CG63+CG$7/100</f>
        <v>1.12</v>
      </c>
      <c r="CH64" s="124" t="n">
        <f aca="false">CG64</f>
        <v>1.12</v>
      </c>
      <c r="CI64" s="124" t="n">
        <f aca="false">CG64*TAN(RADIANS(CK$7))-(IF($B$4, 9.807, 32.174)*CG64^2)/(2*CJ$7^2*COS(RADIANS(CK$7))^2)+$D$7</f>
        <v>4.76888768070761</v>
      </c>
      <c r="CJ64" s="123" t="n">
        <f aca="false">MIN($V$5,CI64)</f>
        <v>4.76888768070761</v>
      </c>
      <c r="CK64" s="124"/>
      <c r="CL64" s="112" t="n">
        <f aca="false">CL63+CL$7/100</f>
        <v>1.12</v>
      </c>
      <c r="CM64" s="122" t="n">
        <f aca="false">CL64-IF($I$3="Forward", $D$9, $G$9)</f>
        <v>1.12</v>
      </c>
      <c r="CN64" s="112" t="n">
        <f aca="false">CL64*TAN(RADIANS(CP$7))-(IF($B$4, 9.807, 32.174)*CL64^2)/(2*CO$7^2*COS(RADIANS(CP$7))^2)+$D$7</f>
        <v>4.76888768070761</v>
      </c>
      <c r="CO64" s="123" t="n">
        <f aca="false">MIN($V$5,CN64)</f>
        <v>4.76888768070761</v>
      </c>
      <c r="CP64" s="112"/>
      <c r="CQ64" s="112" t="n">
        <f aca="false">CQ63+CQ$7/100</f>
        <v>1.12</v>
      </c>
      <c r="CR64" s="122" t="n">
        <f aca="false">CQ64+IF($I$3="Forward", $D$9, $G$9)</f>
        <v>1.12</v>
      </c>
      <c r="CS64" s="112" t="n">
        <f aca="false">CQ64*TAN(RADIANS(CU$7))-(IF($B$4, 9.807, 32.174)*CQ64^2)/(2*CT$7^2*COS(RADIANS(CU$7))^2)+$D$7</f>
        <v>4.76888768070761</v>
      </c>
      <c r="CT64" s="123" t="n">
        <f aca="false">MIN($V$5,CS64)</f>
        <v>4.76888768070761</v>
      </c>
      <c r="CU64" s="112"/>
      <c r="CV64" s="112" t="n">
        <f aca="false">CV63+CV$7/100</f>
        <v>1.12</v>
      </c>
      <c r="CW64" s="112" t="n">
        <f aca="false">CV64</f>
        <v>1.12</v>
      </c>
      <c r="CX64" s="112" t="n">
        <f aca="false">CV64*TAN(RADIANS(CZ$7))-(IF($B$4, 9.807, 32.174)*CV64^2)/(2*CY$7^2*COS(RADIANS(CZ$7))^2)+$D$7</f>
        <v>4.76888768070761</v>
      </c>
      <c r="CY64" s="123" t="n">
        <f aca="false">MIN($V$5,CX64)</f>
        <v>4.76888768070761</v>
      </c>
      <c r="CZ64" s="112"/>
      <c r="DA64" s="112" t="n">
        <f aca="false">DA63+DA$7/100</f>
        <v>1.12</v>
      </c>
      <c r="DB64" s="122" t="n">
        <f aca="false">DA64-IF($I$3="Forward", $D$9, $G$9)</f>
        <v>1.12</v>
      </c>
      <c r="DC64" s="112" t="n">
        <f aca="false">DA64*TAN(RADIANS(DE$7))-(IF($B$4, 9.807, 32.174)*DA64^2)/(2*DD$7^2*COS(RADIANS(DE$7))^2)+$D$7</f>
        <v>4.76888768070761</v>
      </c>
      <c r="DD64" s="123" t="n">
        <f aca="false">MIN($V$5,DC64)</f>
        <v>4.76888768070761</v>
      </c>
      <c r="DE64" s="112"/>
      <c r="DF64" s="112" t="n">
        <f aca="false">DF63+DF$7/100</f>
        <v>1.12</v>
      </c>
      <c r="DG64" s="122" t="n">
        <f aca="false">DF64+IF($I$3="Forward", $D$9, $G$9)</f>
        <v>1.12</v>
      </c>
      <c r="DH64" s="112" t="n">
        <f aca="false">DF64*TAN(RADIANS(DJ$7))-(IF($B$4, 9.807, 32.174)*DF64^2)/(2*DI$7^2*COS(RADIANS(DJ$7))^2)+$D$7</f>
        <v>4.76888768070761</v>
      </c>
      <c r="DI64" s="123" t="n">
        <f aca="false">MIN($V$5,DH64)</f>
        <v>4.76888768070761</v>
      </c>
      <c r="DJ64" s="112"/>
      <c r="DK64" s="112" t="n">
        <f aca="false">DK63+DK$7/100</f>
        <v>1.12</v>
      </c>
      <c r="DL64" s="112" t="n">
        <f aca="false">DK64</f>
        <v>1.12</v>
      </c>
      <c r="DM64" s="112" t="n">
        <f aca="false">DK64*TAN(RADIANS(DO$7))-(IF($B$4, 9.807, 32.174)*DK64^2)/(2*DN$7^2*COS(RADIANS(DO$7))^2)+$D$7</f>
        <v>4.76888768070761</v>
      </c>
      <c r="DN64" s="123" t="n">
        <f aca="false">MIN($V$5,DM64)</f>
        <v>4.76888768070761</v>
      </c>
      <c r="DO64" s="112"/>
      <c r="DP64" s="112" t="n">
        <f aca="false">DP63+DP$7/100</f>
        <v>1.12</v>
      </c>
      <c r="DQ64" s="122" t="n">
        <f aca="false">DP64-IF($I$3="Forward", $D$9, $G$9)</f>
        <v>1.12</v>
      </c>
      <c r="DR64" s="112" t="n">
        <f aca="false">DP64*TAN(RADIANS(DT$7))-(IF($B$4, 9.807, 32.174)*DP64^2)/(2*DS$7^2*COS(RADIANS(DT$7))^2)+$D$7</f>
        <v>4.76888768070761</v>
      </c>
      <c r="DS64" s="123" t="n">
        <f aca="false">MIN($V$5,DR64)</f>
        <v>4.76888768070761</v>
      </c>
      <c r="DT64" s="112"/>
      <c r="DU64" s="112" t="n">
        <f aca="false">DU63+DU$7/100</f>
        <v>1.12</v>
      </c>
      <c r="DV64" s="122" t="n">
        <f aca="false">DU64+IF($I$3="Forward", $D$9, $G$9)</f>
        <v>1.12</v>
      </c>
      <c r="DW64" s="112" t="n">
        <f aca="false">DU64*TAN(RADIANS(DY$7))-(IF($B$4, 9.807, 32.174)*DU64^2)/(2*DX$7^2*COS(RADIANS(DY$7))^2)+$D$7</f>
        <v>4.76888768070761</v>
      </c>
      <c r="DX64" s="123" t="n">
        <f aca="false">MIN($V$5,DW64)</f>
        <v>4.76888768070761</v>
      </c>
      <c r="DY64" s="112"/>
      <c r="DZ64" s="112" t="n">
        <f aca="false">DZ63+DZ$7/100</f>
        <v>1.12</v>
      </c>
      <c r="EA64" s="112" t="n">
        <f aca="false">DZ64</f>
        <v>1.12</v>
      </c>
      <c r="EB64" s="112" t="n">
        <f aca="false">DZ64*TAN(RADIANS(ED$7))-(IF($B$4, 9.807, 32.174)*DZ64^2)/(2*EC$7^2*COS(RADIANS(ED$7))^2)+$D$7</f>
        <v>4.76888768070761</v>
      </c>
      <c r="EC64" s="123" t="n">
        <f aca="false">MIN($V$5,EB64)</f>
        <v>4.76888768070761</v>
      </c>
      <c r="ED64" s="112"/>
      <c r="EE64" s="112" t="n">
        <f aca="false">EE63+EE$7/100</f>
        <v>1.12</v>
      </c>
      <c r="EF64" s="122" t="n">
        <f aca="false">EE64-IF($I$3="Forward", $D$9, $G$9)</f>
        <v>1.12</v>
      </c>
      <c r="EG64" s="112" t="n">
        <f aca="false">EE64*TAN(RADIANS(EI$7))-(IF($B$4, 9.807, 32.174)*EE64^2)/(2*EH$7^2*COS(RADIANS(EI$7))^2)+$D$7</f>
        <v>4.76888768070761</v>
      </c>
      <c r="EH64" s="123" t="n">
        <f aca="false">MIN($V$5,EG64)</f>
        <v>4.76888768070761</v>
      </c>
      <c r="EI64" s="112"/>
      <c r="EJ64" s="112" t="n">
        <f aca="false">EJ63+EJ$7/100</f>
        <v>1.12</v>
      </c>
      <c r="EK64" s="122" t="n">
        <f aca="false">EJ64+IF($I$3="Forward", $D$9, $G$9)</f>
        <v>1.12</v>
      </c>
      <c r="EL64" s="112" t="n">
        <f aca="false">EJ64*TAN(RADIANS(EN$7))-(IF($B$4, 9.807, 32.174)*EJ64^2)/(2*EM$7^2*COS(RADIANS(EN$7))^2)+$D$7</f>
        <v>4.76888768070761</v>
      </c>
      <c r="EM64" s="123" t="n">
        <f aca="false">MIN($V$5,EL64)</f>
        <v>4.76888768070761</v>
      </c>
      <c r="EN64" s="112"/>
      <c r="EO64" s="112" t="n">
        <f aca="false">EO63+EO$7/100</f>
        <v>1.12</v>
      </c>
      <c r="EP64" s="112" t="n">
        <f aca="false">EO64</f>
        <v>1.12</v>
      </c>
      <c r="EQ64" s="112" t="n">
        <f aca="false">EO64*TAN(RADIANS(ES$7))-(IF($B$4, 9.807, 32.174)*EO64^2)/(2*ER$7^2*COS(RADIANS(ES$7))^2)+$D$7</f>
        <v>4.76888768070761</v>
      </c>
      <c r="ER64" s="123" t="n">
        <f aca="false">MIN($V$5,EQ64)</f>
        <v>4.76888768070761</v>
      </c>
      <c r="ES64" s="112"/>
      <c r="ET64" s="112" t="n">
        <f aca="false">ET63+ET$7/100</f>
        <v>1.12</v>
      </c>
      <c r="EU64" s="122" t="n">
        <f aca="false">ET64-IF($I$3="Forward", $D$9, $G$9)</f>
        <v>1.12</v>
      </c>
      <c r="EV64" s="112" t="n">
        <f aca="false">ET64*TAN(RADIANS(EX$7))-(IF($B$4, 9.807, 32.174)*ET64^2)/(2*EW$7^2*COS(RADIANS(EX$7))^2)+$D$7</f>
        <v>4.76888768070761</v>
      </c>
      <c r="EW64" s="123" t="n">
        <f aca="false">MIN($V$5,EV64)</f>
        <v>4.76888768070761</v>
      </c>
      <c r="EX64" s="112"/>
    </row>
    <row r="65" s="131" customFormat="true" ht="15" hidden="false" customHeight="false" outlineLevel="0" collapsed="false">
      <c r="T65" s="112" t="n">
        <f aca="false">T64+T$7/100</f>
        <v>1.14</v>
      </c>
      <c r="U65" s="122" t="n">
        <f aca="false">T65+IF($I$3="Forward", $D$9, $G$9)</f>
        <v>1.14</v>
      </c>
      <c r="V65" s="112" t="n">
        <f aca="false">T65*TAN(RADIANS(X$7))-(IF($B$4, 9.807, 32.174)*T65^2)/(2*W$7^2*COS(RADIANS(X$7))^2)+$D$7</f>
        <v>4.7732823479766</v>
      </c>
      <c r="W65" s="123" t="n">
        <f aca="false">MIN($V$5,V65)</f>
        <v>4.7732823479766</v>
      </c>
      <c r="X65" s="112"/>
      <c r="Y65" s="112" t="n">
        <f aca="false">Y64+Y$7/100</f>
        <v>1.14</v>
      </c>
      <c r="Z65" s="112" t="n">
        <f aca="false">Y65</f>
        <v>1.14</v>
      </c>
      <c r="AA65" s="112" t="n">
        <f aca="false">Y65*TAN(RADIANS(AC$7))-(IF($B$4, 9.807, 32.174)*Y65^2)/(2*AB$7^2*COS(RADIANS(AC$7))^2)+$D$7</f>
        <v>4.7732823479766</v>
      </c>
      <c r="AB65" s="123" t="n">
        <f aca="false">MIN($V$5,AA65)</f>
        <v>4.7732823479766</v>
      </c>
      <c r="AC65" s="112"/>
      <c r="AD65" s="112" t="n">
        <f aca="false">AD64+AD$7/100</f>
        <v>1.14</v>
      </c>
      <c r="AE65" s="122" t="n">
        <f aca="false">AD65-IF($I$3="Forward", $D$9, $G$9)</f>
        <v>1.14</v>
      </c>
      <c r="AF65" s="112" t="n">
        <f aca="false">AD65*TAN(RADIANS(AH$7))-(IF($B$4, 9.807, 32.174)*AD65^2)/(2*AG$7^2*COS(RADIANS(AH$7))^2)+$D$7</f>
        <v>4.7732823479766</v>
      </c>
      <c r="AG65" s="123" t="n">
        <f aca="false">MIN($V$5,AF65)</f>
        <v>4.7732823479766</v>
      </c>
      <c r="AH65" s="112"/>
      <c r="AI65" s="112" t="n">
        <f aca="false">AI64+AI$7/100</f>
        <v>1.14</v>
      </c>
      <c r="AJ65" s="122" t="n">
        <f aca="false">AI65+IF($I$3="Forward", $D$9, $G$9)</f>
        <v>1.14</v>
      </c>
      <c r="AK65" s="112" t="n">
        <f aca="false">AI65*TAN(RADIANS(AM$7))-(IF($B$4, 9.807, 32.174)*AI65^2)/(2*AL$7^2*COS(RADIANS(AM$7))^2)+$D$7</f>
        <v>4.7732823479766</v>
      </c>
      <c r="AL65" s="123" t="n">
        <f aca="false">MIN($V$5,AK65)</f>
        <v>4.7732823479766</v>
      </c>
      <c r="AM65" s="112"/>
      <c r="AN65" s="112" t="n">
        <f aca="false">AN64+AN$7/100</f>
        <v>1.14</v>
      </c>
      <c r="AO65" s="112" t="n">
        <f aca="false">AN65</f>
        <v>1.14</v>
      </c>
      <c r="AP65" s="112" t="n">
        <f aca="false">AN65*TAN(RADIANS(AR$7))-(IF($B$4, 9.807, 32.174)*AN65^2)/(2*AQ$7^2*COS(RADIANS(AR$7))^2)+$D$7</f>
        <v>4.7732823479766</v>
      </c>
      <c r="AQ65" s="123" t="n">
        <f aca="false">MIN($V$5,AP65)</f>
        <v>4.7732823479766</v>
      </c>
      <c r="AR65" s="112"/>
      <c r="AS65" s="112" t="n">
        <f aca="false">AS64+AS$7/100</f>
        <v>1.14</v>
      </c>
      <c r="AT65" s="122" t="n">
        <f aca="false">AS65-IF($I$3="Forward", $D$9, $G$9)</f>
        <v>1.14</v>
      </c>
      <c r="AU65" s="112" t="n">
        <f aca="false">AS65*TAN(RADIANS(AW$7))-(IF($B$4, 9.807, 32.174)*AS65^2)/(2*AV$7^2*COS(RADIANS(AW$7))^2)+$D$7</f>
        <v>4.7732823479766</v>
      </c>
      <c r="AV65" s="123" t="n">
        <f aca="false">MIN($V$5,AU65)</f>
        <v>4.7732823479766</v>
      </c>
      <c r="AW65" s="112"/>
      <c r="AX65" s="112" t="n">
        <f aca="false">AX64+AX$7/100</f>
        <v>1.14</v>
      </c>
      <c r="AY65" s="122" t="n">
        <f aca="false">AX65+IF($I$3="Forward", $D$9, $G$9)</f>
        <v>1.14</v>
      </c>
      <c r="AZ65" s="112" t="n">
        <f aca="false">AX65*TAN(RADIANS(BB$7))-(IF($B$4, 9.807, 32.174)*AX65^2)/(2*BA$7^2*COS(RADIANS(BB$7))^2)+$D$7</f>
        <v>4.7732823479766</v>
      </c>
      <c r="BA65" s="123" t="n">
        <f aca="false">MIN($V$5,AZ65)</f>
        <v>4.7732823479766</v>
      </c>
      <c r="BB65" s="112"/>
      <c r="BC65" s="112" t="n">
        <f aca="false">BC64+BC$7/100</f>
        <v>1.14</v>
      </c>
      <c r="BD65" s="112" t="n">
        <f aca="false">BC65</f>
        <v>1.14</v>
      </c>
      <c r="BE65" s="112" t="n">
        <f aca="false">BC65*TAN(RADIANS(BG$7))-(IF($B$4, 9.807, 32.174)*BC65^2)/(2*BF$7^2*COS(RADIANS(BG$7))^2)+$D$7</f>
        <v>4.7732823479766</v>
      </c>
      <c r="BF65" s="123" t="n">
        <f aca="false">MIN($V$5,BE65)</f>
        <v>4.7732823479766</v>
      </c>
      <c r="BG65" s="112"/>
      <c r="BH65" s="112" t="n">
        <f aca="false">BH64+BH$7/100</f>
        <v>1.14</v>
      </c>
      <c r="BI65" s="122" t="n">
        <f aca="false">BH65-IF($I$3="Forward", $D$9, $G$9)</f>
        <v>1.14</v>
      </c>
      <c r="BJ65" s="112" t="n">
        <f aca="false">BH65*TAN(RADIANS(BL$7))-(IF($B$4, 9.807, 32.174)*BH65^2)/(2*BK$7^2*COS(RADIANS(BL$7))^2)+$D$7</f>
        <v>4.7732823479766</v>
      </c>
      <c r="BK65" s="123" t="n">
        <f aca="false">MIN($V$5,BJ65)</f>
        <v>4.7732823479766</v>
      </c>
      <c r="BL65" s="112"/>
      <c r="BM65" s="112" t="n">
        <f aca="false">BM64+BM$7/100</f>
        <v>1.14</v>
      </c>
      <c r="BN65" s="122" t="n">
        <f aca="false">BM65+IF($I$3="Forward", $D$9, $G$9)</f>
        <v>1.14</v>
      </c>
      <c r="BO65" s="112" t="n">
        <f aca="false">BM65*TAN(RADIANS(BQ$7))-(IF($B$4, 9.807, 32.174)*BM65^2)/(2*BP$7^2*COS(RADIANS(BQ$7))^2)+$D$7</f>
        <v>4.7732823479766</v>
      </c>
      <c r="BP65" s="123" t="n">
        <f aca="false">MIN($V$5,BO65)</f>
        <v>4.7732823479766</v>
      </c>
      <c r="BQ65" s="112"/>
      <c r="BR65" s="112" t="n">
        <f aca="false">BR64+BR$7/100</f>
        <v>1.14</v>
      </c>
      <c r="BS65" s="112" t="n">
        <f aca="false">BR65</f>
        <v>1.14</v>
      </c>
      <c r="BT65" s="112" t="n">
        <f aca="false">BR65*TAN(RADIANS(BV$7))-(IF($B$4, 9.807, 32.174)*BR65^2)/(2*BU$7^2*COS(RADIANS(BV$7))^2)+$D$7</f>
        <v>4.7732823479766</v>
      </c>
      <c r="BU65" s="123" t="n">
        <f aca="false">MIN($V$5,BT65)</f>
        <v>4.7732823479766</v>
      </c>
      <c r="BV65" s="112"/>
      <c r="BW65" s="112" t="n">
        <f aca="false">BW64+BW$7/100</f>
        <v>1.14</v>
      </c>
      <c r="BX65" s="122" t="n">
        <f aca="false">BW65-IF($I$3="Forward", $D$9, $G$9)</f>
        <v>1.14</v>
      </c>
      <c r="BY65" s="112" t="n">
        <f aca="false">BW65*TAN(RADIANS(CA$7))-(IF($B$4, 9.807, 32.174)*BW65^2)/(2*BZ$7^2*COS(RADIANS(CA$7))^2)+$D$7</f>
        <v>4.7732823479766</v>
      </c>
      <c r="BZ65" s="123" t="n">
        <f aca="false">MIN($V$5,BY65)</f>
        <v>4.7732823479766</v>
      </c>
      <c r="CA65" s="112"/>
      <c r="CB65" s="112" t="n">
        <f aca="false">CB64+CB$7/100</f>
        <v>1.14</v>
      </c>
      <c r="CC65" s="122" t="n">
        <f aca="false">CB65+IF($I$3="Forward", $D$9, $G$9)</f>
        <v>1.14</v>
      </c>
      <c r="CD65" s="112" t="n">
        <f aca="false">CB65*TAN(RADIANS(CF$7))-(IF($B$4, 9.807, 32.174)*CB65^2)/(2*CE$7^2*COS(RADIANS(CF$7))^2)+$D$7</f>
        <v>4.7732823479766</v>
      </c>
      <c r="CE65" s="123" t="n">
        <f aca="false">MIN($V$5,CD65)</f>
        <v>4.7732823479766</v>
      </c>
      <c r="CF65" s="112"/>
      <c r="CG65" s="124" t="n">
        <f aca="false">CG64+CG$7/100</f>
        <v>1.14</v>
      </c>
      <c r="CH65" s="124" t="n">
        <f aca="false">CG65</f>
        <v>1.14</v>
      </c>
      <c r="CI65" s="124" t="n">
        <f aca="false">CG65*TAN(RADIANS(CK$7))-(IF($B$4, 9.807, 32.174)*CG65^2)/(2*CJ$7^2*COS(RADIANS(CK$7))^2)+$D$7</f>
        <v>4.7732823479766</v>
      </c>
      <c r="CJ65" s="123" t="n">
        <f aca="false">MIN($V$5,CI65)</f>
        <v>4.7732823479766</v>
      </c>
      <c r="CK65" s="124"/>
      <c r="CL65" s="112" t="n">
        <f aca="false">CL64+CL$7/100</f>
        <v>1.14</v>
      </c>
      <c r="CM65" s="122" t="n">
        <f aca="false">CL65-IF($I$3="Forward", $D$9, $G$9)</f>
        <v>1.14</v>
      </c>
      <c r="CN65" s="112" t="n">
        <f aca="false">CL65*TAN(RADIANS(CP$7))-(IF($B$4, 9.807, 32.174)*CL65^2)/(2*CO$7^2*COS(RADIANS(CP$7))^2)+$D$7</f>
        <v>4.7732823479766</v>
      </c>
      <c r="CO65" s="123" t="n">
        <f aca="false">MIN($V$5,CN65)</f>
        <v>4.7732823479766</v>
      </c>
      <c r="CP65" s="112"/>
      <c r="CQ65" s="112" t="n">
        <f aca="false">CQ64+CQ$7/100</f>
        <v>1.14</v>
      </c>
      <c r="CR65" s="122" t="n">
        <f aca="false">CQ65+IF($I$3="Forward", $D$9, $G$9)</f>
        <v>1.14</v>
      </c>
      <c r="CS65" s="112" t="n">
        <f aca="false">CQ65*TAN(RADIANS(CU$7))-(IF($B$4, 9.807, 32.174)*CQ65^2)/(2*CT$7^2*COS(RADIANS(CU$7))^2)+$D$7</f>
        <v>4.7732823479766</v>
      </c>
      <c r="CT65" s="123" t="n">
        <f aca="false">MIN($V$5,CS65)</f>
        <v>4.7732823479766</v>
      </c>
      <c r="CU65" s="112"/>
      <c r="CV65" s="112" t="n">
        <f aca="false">CV64+CV$7/100</f>
        <v>1.14</v>
      </c>
      <c r="CW65" s="112" t="n">
        <f aca="false">CV65</f>
        <v>1.14</v>
      </c>
      <c r="CX65" s="112" t="n">
        <f aca="false">CV65*TAN(RADIANS(CZ$7))-(IF($B$4, 9.807, 32.174)*CV65^2)/(2*CY$7^2*COS(RADIANS(CZ$7))^2)+$D$7</f>
        <v>4.7732823479766</v>
      </c>
      <c r="CY65" s="123" t="n">
        <f aca="false">MIN($V$5,CX65)</f>
        <v>4.7732823479766</v>
      </c>
      <c r="CZ65" s="112"/>
      <c r="DA65" s="112" t="n">
        <f aca="false">DA64+DA$7/100</f>
        <v>1.14</v>
      </c>
      <c r="DB65" s="122" t="n">
        <f aca="false">DA65-IF($I$3="Forward", $D$9, $G$9)</f>
        <v>1.14</v>
      </c>
      <c r="DC65" s="112" t="n">
        <f aca="false">DA65*TAN(RADIANS(DE$7))-(IF($B$4, 9.807, 32.174)*DA65^2)/(2*DD$7^2*COS(RADIANS(DE$7))^2)+$D$7</f>
        <v>4.7732823479766</v>
      </c>
      <c r="DD65" s="123" t="n">
        <f aca="false">MIN($V$5,DC65)</f>
        <v>4.7732823479766</v>
      </c>
      <c r="DE65" s="112"/>
      <c r="DF65" s="112" t="n">
        <f aca="false">DF64+DF$7/100</f>
        <v>1.14</v>
      </c>
      <c r="DG65" s="122" t="n">
        <f aca="false">DF65+IF($I$3="Forward", $D$9, $G$9)</f>
        <v>1.14</v>
      </c>
      <c r="DH65" s="112" t="n">
        <f aca="false">DF65*TAN(RADIANS(DJ$7))-(IF($B$4, 9.807, 32.174)*DF65^2)/(2*DI$7^2*COS(RADIANS(DJ$7))^2)+$D$7</f>
        <v>4.7732823479766</v>
      </c>
      <c r="DI65" s="123" t="n">
        <f aca="false">MIN($V$5,DH65)</f>
        <v>4.7732823479766</v>
      </c>
      <c r="DJ65" s="112"/>
      <c r="DK65" s="112" t="n">
        <f aca="false">DK64+DK$7/100</f>
        <v>1.14</v>
      </c>
      <c r="DL65" s="112" t="n">
        <f aca="false">DK65</f>
        <v>1.14</v>
      </c>
      <c r="DM65" s="112" t="n">
        <f aca="false">DK65*TAN(RADIANS(DO$7))-(IF($B$4, 9.807, 32.174)*DK65^2)/(2*DN$7^2*COS(RADIANS(DO$7))^2)+$D$7</f>
        <v>4.7732823479766</v>
      </c>
      <c r="DN65" s="123" t="n">
        <f aca="false">MIN($V$5,DM65)</f>
        <v>4.7732823479766</v>
      </c>
      <c r="DO65" s="112"/>
      <c r="DP65" s="112" t="n">
        <f aca="false">DP64+DP$7/100</f>
        <v>1.14</v>
      </c>
      <c r="DQ65" s="122" t="n">
        <f aca="false">DP65-IF($I$3="Forward", $D$9, $G$9)</f>
        <v>1.14</v>
      </c>
      <c r="DR65" s="112" t="n">
        <f aca="false">DP65*TAN(RADIANS(DT$7))-(IF($B$4, 9.807, 32.174)*DP65^2)/(2*DS$7^2*COS(RADIANS(DT$7))^2)+$D$7</f>
        <v>4.7732823479766</v>
      </c>
      <c r="DS65" s="123" t="n">
        <f aca="false">MIN($V$5,DR65)</f>
        <v>4.7732823479766</v>
      </c>
      <c r="DT65" s="112"/>
      <c r="DU65" s="112" t="n">
        <f aca="false">DU64+DU$7/100</f>
        <v>1.14</v>
      </c>
      <c r="DV65" s="122" t="n">
        <f aca="false">DU65+IF($I$3="Forward", $D$9, $G$9)</f>
        <v>1.14</v>
      </c>
      <c r="DW65" s="112" t="n">
        <f aca="false">DU65*TAN(RADIANS(DY$7))-(IF($B$4, 9.807, 32.174)*DU65^2)/(2*DX$7^2*COS(RADIANS(DY$7))^2)+$D$7</f>
        <v>4.7732823479766</v>
      </c>
      <c r="DX65" s="123" t="n">
        <f aca="false">MIN($V$5,DW65)</f>
        <v>4.7732823479766</v>
      </c>
      <c r="DY65" s="112"/>
      <c r="DZ65" s="112" t="n">
        <f aca="false">DZ64+DZ$7/100</f>
        <v>1.14</v>
      </c>
      <c r="EA65" s="112" t="n">
        <f aca="false">DZ65</f>
        <v>1.14</v>
      </c>
      <c r="EB65" s="112" t="n">
        <f aca="false">DZ65*TAN(RADIANS(ED$7))-(IF($B$4, 9.807, 32.174)*DZ65^2)/(2*EC$7^2*COS(RADIANS(ED$7))^2)+$D$7</f>
        <v>4.7732823479766</v>
      </c>
      <c r="EC65" s="123" t="n">
        <f aca="false">MIN($V$5,EB65)</f>
        <v>4.7732823479766</v>
      </c>
      <c r="ED65" s="112"/>
      <c r="EE65" s="112" t="n">
        <f aca="false">EE64+EE$7/100</f>
        <v>1.14</v>
      </c>
      <c r="EF65" s="122" t="n">
        <f aca="false">EE65-IF($I$3="Forward", $D$9, $G$9)</f>
        <v>1.14</v>
      </c>
      <c r="EG65" s="112" t="n">
        <f aca="false">EE65*TAN(RADIANS(EI$7))-(IF($B$4, 9.807, 32.174)*EE65^2)/(2*EH$7^2*COS(RADIANS(EI$7))^2)+$D$7</f>
        <v>4.7732823479766</v>
      </c>
      <c r="EH65" s="123" t="n">
        <f aca="false">MIN($V$5,EG65)</f>
        <v>4.7732823479766</v>
      </c>
      <c r="EI65" s="112"/>
      <c r="EJ65" s="112" t="n">
        <f aca="false">EJ64+EJ$7/100</f>
        <v>1.14</v>
      </c>
      <c r="EK65" s="122" t="n">
        <f aca="false">EJ65+IF($I$3="Forward", $D$9, $G$9)</f>
        <v>1.14</v>
      </c>
      <c r="EL65" s="112" t="n">
        <f aca="false">EJ65*TAN(RADIANS(EN$7))-(IF($B$4, 9.807, 32.174)*EJ65^2)/(2*EM$7^2*COS(RADIANS(EN$7))^2)+$D$7</f>
        <v>4.7732823479766</v>
      </c>
      <c r="EM65" s="123" t="n">
        <f aca="false">MIN($V$5,EL65)</f>
        <v>4.7732823479766</v>
      </c>
      <c r="EN65" s="112"/>
      <c r="EO65" s="112" t="n">
        <f aca="false">EO64+EO$7/100</f>
        <v>1.14</v>
      </c>
      <c r="EP65" s="112" t="n">
        <f aca="false">EO65</f>
        <v>1.14</v>
      </c>
      <c r="EQ65" s="112" t="n">
        <f aca="false">EO65*TAN(RADIANS(ES$7))-(IF($B$4, 9.807, 32.174)*EO65^2)/(2*ER$7^2*COS(RADIANS(ES$7))^2)+$D$7</f>
        <v>4.7732823479766</v>
      </c>
      <c r="ER65" s="123" t="n">
        <f aca="false">MIN($V$5,EQ65)</f>
        <v>4.7732823479766</v>
      </c>
      <c r="ES65" s="112"/>
      <c r="ET65" s="112" t="n">
        <f aca="false">ET64+ET$7/100</f>
        <v>1.14</v>
      </c>
      <c r="EU65" s="122" t="n">
        <f aca="false">ET65-IF($I$3="Forward", $D$9, $G$9)</f>
        <v>1.14</v>
      </c>
      <c r="EV65" s="112" t="n">
        <f aca="false">ET65*TAN(RADIANS(EX$7))-(IF($B$4, 9.807, 32.174)*ET65^2)/(2*EW$7^2*COS(RADIANS(EX$7))^2)+$D$7</f>
        <v>4.7732823479766</v>
      </c>
      <c r="EW65" s="123" t="n">
        <f aca="false">MIN($V$5,EV65)</f>
        <v>4.7732823479766</v>
      </c>
      <c r="EX65" s="112"/>
    </row>
    <row r="66" s="131" customFormat="true" ht="15" hidden="false" customHeight="false" outlineLevel="0" collapsed="false">
      <c r="T66" s="112" t="n">
        <f aca="false">T65+T$7/100</f>
        <v>1.16</v>
      </c>
      <c r="U66" s="122" t="n">
        <f aca="false">T66+IF($I$3="Forward", $D$9, $G$9)</f>
        <v>1.16</v>
      </c>
      <c r="V66" s="112" t="n">
        <f aca="false">T66*TAN(RADIANS(X$7))-(IF($B$4, 9.807, 32.174)*T66^2)/(2*W$7^2*COS(RADIANS(X$7))^2)+$D$7</f>
        <v>4.77496850251775</v>
      </c>
      <c r="W66" s="123" t="n">
        <f aca="false">MIN($V$5,V66)</f>
        <v>4.77496850251775</v>
      </c>
      <c r="X66" s="112"/>
      <c r="Y66" s="112" t="n">
        <f aca="false">Y65+Y$7/100</f>
        <v>1.16</v>
      </c>
      <c r="Z66" s="112" t="n">
        <f aca="false">Y66</f>
        <v>1.16</v>
      </c>
      <c r="AA66" s="112" t="n">
        <f aca="false">Y66*TAN(RADIANS(AC$7))-(IF($B$4, 9.807, 32.174)*Y66^2)/(2*AB$7^2*COS(RADIANS(AC$7))^2)+$D$7</f>
        <v>4.77496850251775</v>
      </c>
      <c r="AB66" s="123" t="n">
        <f aca="false">MIN($V$5,AA66)</f>
        <v>4.77496850251775</v>
      </c>
      <c r="AC66" s="112"/>
      <c r="AD66" s="112" t="n">
        <f aca="false">AD65+AD$7/100</f>
        <v>1.16</v>
      </c>
      <c r="AE66" s="122" t="n">
        <f aca="false">AD66-IF($I$3="Forward", $D$9, $G$9)</f>
        <v>1.16</v>
      </c>
      <c r="AF66" s="112" t="n">
        <f aca="false">AD66*TAN(RADIANS(AH$7))-(IF($B$4, 9.807, 32.174)*AD66^2)/(2*AG$7^2*COS(RADIANS(AH$7))^2)+$D$7</f>
        <v>4.77496850251775</v>
      </c>
      <c r="AG66" s="123" t="n">
        <f aca="false">MIN($V$5,AF66)</f>
        <v>4.77496850251775</v>
      </c>
      <c r="AH66" s="112"/>
      <c r="AI66" s="112" t="n">
        <f aca="false">AI65+AI$7/100</f>
        <v>1.16</v>
      </c>
      <c r="AJ66" s="122" t="n">
        <f aca="false">AI66+IF($I$3="Forward", $D$9, $G$9)</f>
        <v>1.16</v>
      </c>
      <c r="AK66" s="112" t="n">
        <f aca="false">AI66*TAN(RADIANS(AM$7))-(IF($B$4, 9.807, 32.174)*AI66^2)/(2*AL$7^2*COS(RADIANS(AM$7))^2)+$D$7</f>
        <v>4.77496850251775</v>
      </c>
      <c r="AL66" s="123" t="n">
        <f aca="false">MIN($V$5,AK66)</f>
        <v>4.77496850251775</v>
      </c>
      <c r="AM66" s="112"/>
      <c r="AN66" s="112" t="n">
        <f aca="false">AN65+AN$7/100</f>
        <v>1.16</v>
      </c>
      <c r="AO66" s="112" t="n">
        <f aca="false">AN66</f>
        <v>1.16</v>
      </c>
      <c r="AP66" s="112" t="n">
        <f aca="false">AN66*TAN(RADIANS(AR$7))-(IF($B$4, 9.807, 32.174)*AN66^2)/(2*AQ$7^2*COS(RADIANS(AR$7))^2)+$D$7</f>
        <v>4.77496850251775</v>
      </c>
      <c r="AQ66" s="123" t="n">
        <f aca="false">MIN($V$5,AP66)</f>
        <v>4.77496850251775</v>
      </c>
      <c r="AR66" s="112"/>
      <c r="AS66" s="112" t="n">
        <f aca="false">AS65+AS$7/100</f>
        <v>1.16</v>
      </c>
      <c r="AT66" s="122" t="n">
        <f aca="false">AS66-IF($I$3="Forward", $D$9, $G$9)</f>
        <v>1.16</v>
      </c>
      <c r="AU66" s="112" t="n">
        <f aca="false">AS66*TAN(RADIANS(AW$7))-(IF($B$4, 9.807, 32.174)*AS66^2)/(2*AV$7^2*COS(RADIANS(AW$7))^2)+$D$7</f>
        <v>4.77496850251775</v>
      </c>
      <c r="AV66" s="123" t="n">
        <f aca="false">MIN($V$5,AU66)</f>
        <v>4.77496850251775</v>
      </c>
      <c r="AW66" s="112"/>
      <c r="AX66" s="112" t="n">
        <f aca="false">AX65+AX$7/100</f>
        <v>1.16</v>
      </c>
      <c r="AY66" s="122" t="n">
        <f aca="false">AX66+IF($I$3="Forward", $D$9, $G$9)</f>
        <v>1.16</v>
      </c>
      <c r="AZ66" s="112" t="n">
        <f aca="false">AX66*TAN(RADIANS(BB$7))-(IF($B$4, 9.807, 32.174)*AX66^2)/(2*BA$7^2*COS(RADIANS(BB$7))^2)+$D$7</f>
        <v>4.77496850251775</v>
      </c>
      <c r="BA66" s="123" t="n">
        <f aca="false">MIN($V$5,AZ66)</f>
        <v>4.77496850251775</v>
      </c>
      <c r="BB66" s="112"/>
      <c r="BC66" s="112" t="n">
        <f aca="false">BC65+BC$7/100</f>
        <v>1.16</v>
      </c>
      <c r="BD66" s="112" t="n">
        <f aca="false">BC66</f>
        <v>1.16</v>
      </c>
      <c r="BE66" s="112" t="n">
        <f aca="false">BC66*TAN(RADIANS(BG$7))-(IF($B$4, 9.807, 32.174)*BC66^2)/(2*BF$7^2*COS(RADIANS(BG$7))^2)+$D$7</f>
        <v>4.77496850251775</v>
      </c>
      <c r="BF66" s="123" t="n">
        <f aca="false">MIN($V$5,BE66)</f>
        <v>4.77496850251775</v>
      </c>
      <c r="BG66" s="112"/>
      <c r="BH66" s="112" t="n">
        <f aca="false">BH65+BH$7/100</f>
        <v>1.16</v>
      </c>
      <c r="BI66" s="122" t="n">
        <f aca="false">BH66-IF($I$3="Forward", $D$9, $G$9)</f>
        <v>1.16</v>
      </c>
      <c r="BJ66" s="112" t="n">
        <f aca="false">BH66*TAN(RADIANS(BL$7))-(IF($B$4, 9.807, 32.174)*BH66^2)/(2*BK$7^2*COS(RADIANS(BL$7))^2)+$D$7</f>
        <v>4.77496850251775</v>
      </c>
      <c r="BK66" s="123" t="n">
        <f aca="false">MIN($V$5,BJ66)</f>
        <v>4.77496850251775</v>
      </c>
      <c r="BL66" s="112"/>
      <c r="BM66" s="112" t="n">
        <f aca="false">BM65+BM$7/100</f>
        <v>1.16</v>
      </c>
      <c r="BN66" s="122" t="n">
        <f aca="false">BM66+IF($I$3="Forward", $D$9, $G$9)</f>
        <v>1.16</v>
      </c>
      <c r="BO66" s="112" t="n">
        <f aca="false">BM66*TAN(RADIANS(BQ$7))-(IF($B$4, 9.807, 32.174)*BM66^2)/(2*BP$7^2*COS(RADIANS(BQ$7))^2)+$D$7</f>
        <v>4.77496850251775</v>
      </c>
      <c r="BP66" s="123" t="n">
        <f aca="false">MIN($V$5,BO66)</f>
        <v>4.77496850251775</v>
      </c>
      <c r="BQ66" s="112"/>
      <c r="BR66" s="112" t="n">
        <f aca="false">BR65+BR$7/100</f>
        <v>1.16</v>
      </c>
      <c r="BS66" s="112" t="n">
        <f aca="false">BR66</f>
        <v>1.16</v>
      </c>
      <c r="BT66" s="112" t="n">
        <f aca="false">BR66*TAN(RADIANS(BV$7))-(IF($B$4, 9.807, 32.174)*BR66^2)/(2*BU$7^2*COS(RADIANS(BV$7))^2)+$D$7</f>
        <v>4.77496850251775</v>
      </c>
      <c r="BU66" s="123" t="n">
        <f aca="false">MIN($V$5,BT66)</f>
        <v>4.77496850251775</v>
      </c>
      <c r="BV66" s="112"/>
      <c r="BW66" s="112" t="n">
        <f aca="false">BW65+BW$7/100</f>
        <v>1.16</v>
      </c>
      <c r="BX66" s="122" t="n">
        <f aca="false">BW66-IF($I$3="Forward", $D$9, $G$9)</f>
        <v>1.16</v>
      </c>
      <c r="BY66" s="112" t="n">
        <f aca="false">BW66*TAN(RADIANS(CA$7))-(IF($B$4, 9.807, 32.174)*BW66^2)/(2*BZ$7^2*COS(RADIANS(CA$7))^2)+$D$7</f>
        <v>4.77496850251775</v>
      </c>
      <c r="BZ66" s="123" t="n">
        <f aca="false">MIN($V$5,BY66)</f>
        <v>4.77496850251775</v>
      </c>
      <c r="CA66" s="112"/>
      <c r="CB66" s="112" t="n">
        <f aca="false">CB65+CB$7/100</f>
        <v>1.16</v>
      </c>
      <c r="CC66" s="122" t="n">
        <f aca="false">CB66+IF($I$3="Forward", $D$9, $G$9)</f>
        <v>1.16</v>
      </c>
      <c r="CD66" s="112" t="n">
        <f aca="false">CB66*TAN(RADIANS(CF$7))-(IF($B$4, 9.807, 32.174)*CB66^2)/(2*CE$7^2*COS(RADIANS(CF$7))^2)+$D$7</f>
        <v>4.77496850251775</v>
      </c>
      <c r="CE66" s="123" t="n">
        <f aca="false">MIN($V$5,CD66)</f>
        <v>4.77496850251775</v>
      </c>
      <c r="CF66" s="112"/>
      <c r="CG66" s="124" t="n">
        <f aca="false">CG65+CG$7/100</f>
        <v>1.16</v>
      </c>
      <c r="CH66" s="124" t="n">
        <f aca="false">CG66</f>
        <v>1.16</v>
      </c>
      <c r="CI66" s="124" t="n">
        <f aca="false">CG66*TAN(RADIANS(CK$7))-(IF($B$4, 9.807, 32.174)*CG66^2)/(2*CJ$7^2*COS(RADIANS(CK$7))^2)+$D$7</f>
        <v>4.77496850251775</v>
      </c>
      <c r="CJ66" s="123" t="n">
        <f aca="false">MIN($V$5,CI66)</f>
        <v>4.77496850251775</v>
      </c>
      <c r="CK66" s="124"/>
      <c r="CL66" s="112" t="n">
        <f aca="false">CL65+CL$7/100</f>
        <v>1.16</v>
      </c>
      <c r="CM66" s="122" t="n">
        <f aca="false">CL66-IF($I$3="Forward", $D$9, $G$9)</f>
        <v>1.16</v>
      </c>
      <c r="CN66" s="112" t="n">
        <f aca="false">CL66*TAN(RADIANS(CP$7))-(IF($B$4, 9.807, 32.174)*CL66^2)/(2*CO$7^2*COS(RADIANS(CP$7))^2)+$D$7</f>
        <v>4.77496850251775</v>
      </c>
      <c r="CO66" s="123" t="n">
        <f aca="false">MIN($V$5,CN66)</f>
        <v>4.77496850251775</v>
      </c>
      <c r="CP66" s="112"/>
      <c r="CQ66" s="112" t="n">
        <f aca="false">CQ65+CQ$7/100</f>
        <v>1.16</v>
      </c>
      <c r="CR66" s="122" t="n">
        <f aca="false">CQ66+IF($I$3="Forward", $D$9, $G$9)</f>
        <v>1.16</v>
      </c>
      <c r="CS66" s="112" t="n">
        <f aca="false">CQ66*TAN(RADIANS(CU$7))-(IF($B$4, 9.807, 32.174)*CQ66^2)/(2*CT$7^2*COS(RADIANS(CU$7))^2)+$D$7</f>
        <v>4.77496850251775</v>
      </c>
      <c r="CT66" s="123" t="n">
        <f aca="false">MIN($V$5,CS66)</f>
        <v>4.77496850251775</v>
      </c>
      <c r="CU66" s="112"/>
      <c r="CV66" s="112" t="n">
        <f aca="false">CV65+CV$7/100</f>
        <v>1.16</v>
      </c>
      <c r="CW66" s="112" t="n">
        <f aca="false">CV66</f>
        <v>1.16</v>
      </c>
      <c r="CX66" s="112" t="n">
        <f aca="false">CV66*TAN(RADIANS(CZ$7))-(IF($B$4, 9.807, 32.174)*CV66^2)/(2*CY$7^2*COS(RADIANS(CZ$7))^2)+$D$7</f>
        <v>4.77496850251775</v>
      </c>
      <c r="CY66" s="123" t="n">
        <f aca="false">MIN($V$5,CX66)</f>
        <v>4.77496850251775</v>
      </c>
      <c r="CZ66" s="112"/>
      <c r="DA66" s="112" t="n">
        <f aca="false">DA65+DA$7/100</f>
        <v>1.16</v>
      </c>
      <c r="DB66" s="122" t="n">
        <f aca="false">DA66-IF($I$3="Forward", $D$9, $G$9)</f>
        <v>1.16</v>
      </c>
      <c r="DC66" s="112" t="n">
        <f aca="false">DA66*TAN(RADIANS(DE$7))-(IF($B$4, 9.807, 32.174)*DA66^2)/(2*DD$7^2*COS(RADIANS(DE$7))^2)+$D$7</f>
        <v>4.77496850251775</v>
      </c>
      <c r="DD66" s="123" t="n">
        <f aca="false">MIN($V$5,DC66)</f>
        <v>4.77496850251775</v>
      </c>
      <c r="DE66" s="112"/>
      <c r="DF66" s="112" t="n">
        <f aca="false">DF65+DF$7/100</f>
        <v>1.16</v>
      </c>
      <c r="DG66" s="122" t="n">
        <f aca="false">DF66+IF($I$3="Forward", $D$9, $G$9)</f>
        <v>1.16</v>
      </c>
      <c r="DH66" s="112" t="n">
        <f aca="false">DF66*TAN(RADIANS(DJ$7))-(IF($B$4, 9.807, 32.174)*DF66^2)/(2*DI$7^2*COS(RADIANS(DJ$7))^2)+$D$7</f>
        <v>4.77496850251775</v>
      </c>
      <c r="DI66" s="123" t="n">
        <f aca="false">MIN($V$5,DH66)</f>
        <v>4.77496850251775</v>
      </c>
      <c r="DJ66" s="112"/>
      <c r="DK66" s="112" t="n">
        <f aca="false">DK65+DK$7/100</f>
        <v>1.16</v>
      </c>
      <c r="DL66" s="112" t="n">
        <f aca="false">DK66</f>
        <v>1.16</v>
      </c>
      <c r="DM66" s="112" t="n">
        <f aca="false">DK66*TAN(RADIANS(DO$7))-(IF($B$4, 9.807, 32.174)*DK66^2)/(2*DN$7^2*COS(RADIANS(DO$7))^2)+$D$7</f>
        <v>4.77496850251775</v>
      </c>
      <c r="DN66" s="123" t="n">
        <f aca="false">MIN($V$5,DM66)</f>
        <v>4.77496850251775</v>
      </c>
      <c r="DO66" s="112"/>
      <c r="DP66" s="112" t="n">
        <f aca="false">DP65+DP$7/100</f>
        <v>1.16</v>
      </c>
      <c r="DQ66" s="122" t="n">
        <f aca="false">DP66-IF($I$3="Forward", $D$9, $G$9)</f>
        <v>1.16</v>
      </c>
      <c r="DR66" s="112" t="n">
        <f aca="false">DP66*TAN(RADIANS(DT$7))-(IF($B$4, 9.807, 32.174)*DP66^2)/(2*DS$7^2*COS(RADIANS(DT$7))^2)+$D$7</f>
        <v>4.77496850251775</v>
      </c>
      <c r="DS66" s="123" t="n">
        <f aca="false">MIN($V$5,DR66)</f>
        <v>4.77496850251775</v>
      </c>
      <c r="DT66" s="112"/>
      <c r="DU66" s="112" t="n">
        <f aca="false">DU65+DU$7/100</f>
        <v>1.16</v>
      </c>
      <c r="DV66" s="122" t="n">
        <f aca="false">DU66+IF($I$3="Forward", $D$9, $G$9)</f>
        <v>1.16</v>
      </c>
      <c r="DW66" s="112" t="n">
        <f aca="false">DU66*TAN(RADIANS(DY$7))-(IF($B$4, 9.807, 32.174)*DU66^2)/(2*DX$7^2*COS(RADIANS(DY$7))^2)+$D$7</f>
        <v>4.77496850251775</v>
      </c>
      <c r="DX66" s="123" t="n">
        <f aca="false">MIN($V$5,DW66)</f>
        <v>4.77496850251775</v>
      </c>
      <c r="DY66" s="112"/>
      <c r="DZ66" s="112" t="n">
        <f aca="false">DZ65+DZ$7/100</f>
        <v>1.16</v>
      </c>
      <c r="EA66" s="112" t="n">
        <f aca="false">DZ66</f>
        <v>1.16</v>
      </c>
      <c r="EB66" s="112" t="n">
        <f aca="false">DZ66*TAN(RADIANS(ED$7))-(IF($B$4, 9.807, 32.174)*DZ66^2)/(2*EC$7^2*COS(RADIANS(ED$7))^2)+$D$7</f>
        <v>4.77496850251775</v>
      </c>
      <c r="EC66" s="123" t="n">
        <f aca="false">MIN($V$5,EB66)</f>
        <v>4.77496850251775</v>
      </c>
      <c r="ED66" s="112"/>
      <c r="EE66" s="112" t="n">
        <f aca="false">EE65+EE$7/100</f>
        <v>1.16</v>
      </c>
      <c r="EF66" s="122" t="n">
        <f aca="false">EE66-IF($I$3="Forward", $D$9, $G$9)</f>
        <v>1.16</v>
      </c>
      <c r="EG66" s="112" t="n">
        <f aca="false">EE66*TAN(RADIANS(EI$7))-(IF($B$4, 9.807, 32.174)*EE66^2)/(2*EH$7^2*COS(RADIANS(EI$7))^2)+$D$7</f>
        <v>4.77496850251775</v>
      </c>
      <c r="EH66" s="123" t="n">
        <f aca="false">MIN($V$5,EG66)</f>
        <v>4.77496850251775</v>
      </c>
      <c r="EI66" s="112"/>
      <c r="EJ66" s="112" t="n">
        <f aca="false">EJ65+EJ$7/100</f>
        <v>1.16</v>
      </c>
      <c r="EK66" s="122" t="n">
        <f aca="false">EJ66+IF($I$3="Forward", $D$9, $G$9)</f>
        <v>1.16</v>
      </c>
      <c r="EL66" s="112" t="n">
        <f aca="false">EJ66*TAN(RADIANS(EN$7))-(IF($B$4, 9.807, 32.174)*EJ66^2)/(2*EM$7^2*COS(RADIANS(EN$7))^2)+$D$7</f>
        <v>4.77496850251775</v>
      </c>
      <c r="EM66" s="123" t="n">
        <f aca="false">MIN($V$5,EL66)</f>
        <v>4.77496850251775</v>
      </c>
      <c r="EN66" s="112"/>
      <c r="EO66" s="112" t="n">
        <f aca="false">EO65+EO$7/100</f>
        <v>1.16</v>
      </c>
      <c r="EP66" s="112" t="n">
        <f aca="false">EO66</f>
        <v>1.16</v>
      </c>
      <c r="EQ66" s="112" t="n">
        <f aca="false">EO66*TAN(RADIANS(ES$7))-(IF($B$4, 9.807, 32.174)*EO66^2)/(2*ER$7^2*COS(RADIANS(ES$7))^2)+$D$7</f>
        <v>4.77496850251775</v>
      </c>
      <c r="ER66" s="123" t="n">
        <f aca="false">MIN($V$5,EQ66)</f>
        <v>4.77496850251775</v>
      </c>
      <c r="ES66" s="112"/>
      <c r="ET66" s="112" t="n">
        <f aca="false">ET65+ET$7/100</f>
        <v>1.16</v>
      </c>
      <c r="EU66" s="122" t="n">
        <f aca="false">ET66-IF($I$3="Forward", $D$9, $G$9)</f>
        <v>1.16</v>
      </c>
      <c r="EV66" s="112" t="n">
        <f aca="false">ET66*TAN(RADIANS(EX$7))-(IF($B$4, 9.807, 32.174)*ET66^2)/(2*EW$7^2*COS(RADIANS(EX$7))^2)+$D$7</f>
        <v>4.77496850251775</v>
      </c>
      <c r="EW66" s="123" t="n">
        <f aca="false">MIN($V$5,EV66)</f>
        <v>4.77496850251775</v>
      </c>
      <c r="EX66" s="112"/>
    </row>
    <row r="67" s="131" customFormat="true" ht="15" hidden="false" customHeight="false" outlineLevel="0" collapsed="false">
      <c r="T67" s="112" t="n">
        <f aca="false">T66+T$7/100</f>
        <v>1.18</v>
      </c>
      <c r="U67" s="122" t="n">
        <f aca="false">T67+IF($I$3="Forward", $D$9, $G$9)</f>
        <v>1.18</v>
      </c>
      <c r="V67" s="112" t="n">
        <f aca="false">T67*TAN(RADIANS(X$7))-(IF($B$4, 9.807, 32.174)*T67^2)/(2*W$7^2*COS(RADIANS(X$7))^2)+$D$7</f>
        <v>4.77394614433105</v>
      </c>
      <c r="W67" s="123" t="n">
        <f aca="false">MIN($V$5,V67)</f>
        <v>4.77394614433105</v>
      </c>
      <c r="X67" s="112"/>
      <c r="Y67" s="112" t="n">
        <f aca="false">Y66+Y$7/100</f>
        <v>1.18</v>
      </c>
      <c r="Z67" s="112" t="n">
        <f aca="false">Y67</f>
        <v>1.18</v>
      </c>
      <c r="AA67" s="112" t="n">
        <f aca="false">Y67*TAN(RADIANS(AC$7))-(IF($B$4, 9.807, 32.174)*Y67^2)/(2*AB$7^2*COS(RADIANS(AC$7))^2)+$D$7</f>
        <v>4.77394614433105</v>
      </c>
      <c r="AB67" s="123" t="n">
        <f aca="false">MIN($V$5,AA67)</f>
        <v>4.77394614433105</v>
      </c>
      <c r="AC67" s="112"/>
      <c r="AD67" s="112" t="n">
        <f aca="false">AD66+AD$7/100</f>
        <v>1.18</v>
      </c>
      <c r="AE67" s="122" t="n">
        <f aca="false">AD67-IF($I$3="Forward", $D$9, $G$9)</f>
        <v>1.18</v>
      </c>
      <c r="AF67" s="112" t="n">
        <f aca="false">AD67*TAN(RADIANS(AH$7))-(IF($B$4, 9.807, 32.174)*AD67^2)/(2*AG$7^2*COS(RADIANS(AH$7))^2)+$D$7</f>
        <v>4.77394614433105</v>
      </c>
      <c r="AG67" s="123" t="n">
        <f aca="false">MIN($V$5,AF67)</f>
        <v>4.77394614433105</v>
      </c>
      <c r="AH67" s="112"/>
      <c r="AI67" s="112" t="n">
        <f aca="false">AI66+AI$7/100</f>
        <v>1.18</v>
      </c>
      <c r="AJ67" s="122" t="n">
        <f aca="false">AI67+IF($I$3="Forward", $D$9, $G$9)</f>
        <v>1.18</v>
      </c>
      <c r="AK67" s="112" t="n">
        <f aca="false">AI67*TAN(RADIANS(AM$7))-(IF($B$4, 9.807, 32.174)*AI67^2)/(2*AL$7^2*COS(RADIANS(AM$7))^2)+$D$7</f>
        <v>4.77394614433105</v>
      </c>
      <c r="AL67" s="123" t="n">
        <f aca="false">MIN($V$5,AK67)</f>
        <v>4.77394614433105</v>
      </c>
      <c r="AM67" s="112"/>
      <c r="AN67" s="112" t="n">
        <f aca="false">AN66+AN$7/100</f>
        <v>1.18</v>
      </c>
      <c r="AO67" s="112" t="n">
        <f aca="false">AN67</f>
        <v>1.18</v>
      </c>
      <c r="AP67" s="112" t="n">
        <f aca="false">AN67*TAN(RADIANS(AR$7))-(IF($B$4, 9.807, 32.174)*AN67^2)/(2*AQ$7^2*COS(RADIANS(AR$7))^2)+$D$7</f>
        <v>4.77394614433105</v>
      </c>
      <c r="AQ67" s="123" t="n">
        <f aca="false">MIN($V$5,AP67)</f>
        <v>4.77394614433105</v>
      </c>
      <c r="AR67" s="112"/>
      <c r="AS67" s="112" t="n">
        <f aca="false">AS66+AS$7/100</f>
        <v>1.18</v>
      </c>
      <c r="AT67" s="122" t="n">
        <f aca="false">AS67-IF($I$3="Forward", $D$9, $G$9)</f>
        <v>1.18</v>
      </c>
      <c r="AU67" s="112" t="n">
        <f aca="false">AS67*TAN(RADIANS(AW$7))-(IF($B$4, 9.807, 32.174)*AS67^2)/(2*AV$7^2*COS(RADIANS(AW$7))^2)+$D$7</f>
        <v>4.77394614433105</v>
      </c>
      <c r="AV67" s="123" t="n">
        <f aca="false">MIN($V$5,AU67)</f>
        <v>4.77394614433105</v>
      </c>
      <c r="AW67" s="112"/>
      <c r="AX67" s="112" t="n">
        <f aca="false">AX66+AX$7/100</f>
        <v>1.18</v>
      </c>
      <c r="AY67" s="122" t="n">
        <f aca="false">AX67+IF($I$3="Forward", $D$9, $G$9)</f>
        <v>1.18</v>
      </c>
      <c r="AZ67" s="112" t="n">
        <f aca="false">AX67*TAN(RADIANS(BB$7))-(IF($B$4, 9.807, 32.174)*AX67^2)/(2*BA$7^2*COS(RADIANS(BB$7))^2)+$D$7</f>
        <v>4.77394614433105</v>
      </c>
      <c r="BA67" s="123" t="n">
        <f aca="false">MIN($V$5,AZ67)</f>
        <v>4.77394614433105</v>
      </c>
      <c r="BB67" s="112"/>
      <c r="BC67" s="112" t="n">
        <f aca="false">BC66+BC$7/100</f>
        <v>1.18</v>
      </c>
      <c r="BD67" s="112" t="n">
        <f aca="false">BC67</f>
        <v>1.18</v>
      </c>
      <c r="BE67" s="112" t="n">
        <f aca="false">BC67*TAN(RADIANS(BG$7))-(IF($B$4, 9.807, 32.174)*BC67^2)/(2*BF$7^2*COS(RADIANS(BG$7))^2)+$D$7</f>
        <v>4.77394614433105</v>
      </c>
      <c r="BF67" s="123" t="n">
        <f aca="false">MIN($V$5,BE67)</f>
        <v>4.77394614433105</v>
      </c>
      <c r="BG67" s="112"/>
      <c r="BH67" s="112" t="n">
        <f aca="false">BH66+BH$7/100</f>
        <v>1.18</v>
      </c>
      <c r="BI67" s="122" t="n">
        <f aca="false">BH67-IF($I$3="Forward", $D$9, $G$9)</f>
        <v>1.18</v>
      </c>
      <c r="BJ67" s="112" t="n">
        <f aca="false">BH67*TAN(RADIANS(BL$7))-(IF($B$4, 9.807, 32.174)*BH67^2)/(2*BK$7^2*COS(RADIANS(BL$7))^2)+$D$7</f>
        <v>4.77394614433105</v>
      </c>
      <c r="BK67" s="123" t="n">
        <f aca="false">MIN($V$5,BJ67)</f>
        <v>4.77394614433105</v>
      </c>
      <c r="BL67" s="112"/>
      <c r="BM67" s="112" t="n">
        <f aca="false">BM66+BM$7/100</f>
        <v>1.18</v>
      </c>
      <c r="BN67" s="122" t="n">
        <f aca="false">BM67+IF($I$3="Forward", $D$9, $G$9)</f>
        <v>1.18</v>
      </c>
      <c r="BO67" s="112" t="n">
        <f aca="false">BM67*TAN(RADIANS(BQ$7))-(IF($B$4, 9.807, 32.174)*BM67^2)/(2*BP$7^2*COS(RADIANS(BQ$7))^2)+$D$7</f>
        <v>4.77394614433105</v>
      </c>
      <c r="BP67" s="123" t="n">
        <f aca="false">MIN($V$5,BO67)</f>
        <v>4.77394614433105</v>
      </c>
      <c r="BQ67" s="112"/>
      <c r="BR67" s="112" t="n">
        <f aca="false">BR66+BR$7/100</f>
        <v>1.18</v>
      </c>
      <c r="BS67" s="112" t="n">
        <f aca="false">BR67</f>
        <v>1.18</v>
      </c>
      <c r="BT67" s="112" t="n">
        <f aca="false">BR67*TAN(RADIANS(BV$7))-(IF($B$4, 9.807, 32.174)*BR67^2)/(2*BU$7^2*COS(RADIANS(BV$7))^2)+$D$7</f>
        <v>4.77394614433105</v>
      </c>
      <c r="BU67" s="123" t="n">
        <f aca="false">MIN($V$5,BT67)</f>
        <v>4.77394614433105</v>
      </c>
      <c r="BV67" s="112"/>
      <c r="BW67" s="112" t="n">
        <f aca="false">BW66+BW$7/100</f>
        <v>1.18</v>
      </c>
      <c r="BX67" s="122" t="n">
        <f aca="false">BW67-IF($I$3="Forward", $D$9, $G$9)</f>
        <v>1.18</v>
      </c>
      <c r="BY67" s="112" t="n">
        <f aca="false">BW67*TAN(RADIANS(CA$7))-(IF($B$4, 9.807, 32.174)*BW67^2)/(2*BZ$7^2*COS(RADIANS(CA$7))^2)+$D$7</f>
        <v>4.77394614433105</v>
      </c>
      <c r="BZ67" s="123" t="n">
        <f aca="false">MIN($V$5,BY67)</f>
        <v>4.77394614433105</v>
      </c>
      <c r="CA67" s="112"/>
      <c r="CB67" s="112" t="n">
        <f aca="false">CB66+CB$7/100</f>
        <v>1.18</v>
      </c>
      <c r="CC67" s="122" t="n">
        <f aca="false">CB67+IF($I$3="Forward", $D$9, $G$9)</f>
        <v>1.18</v>
      </c>
      <c r="CD67" s="112" t="n">
        <f aca="false">CB67*TAN(RADIANS(CF$7))-(IF($B$4, 9.807, 32.174)*CB67^2)/(2*CE$7^2*COS(RADIANS(CF$7))^2)+$D$7</f>
        <v>4.77394614433105</v>
      </c>
      <c r="CE67" s="123" t="n">
        <f aca="false">MIN($V$5,CD67)</f>
        <v>4.77394614433105</v>
      </c>
      <c r="CF67" s="112"/>
      <c r="CG67" s="124" t="n">
        <f aca="false">CG66+CG$7/100</f>
        <v>1.18</v>
      </c>
      <c r="CH67" s="124" t="n">
        <f aca="false">CG67</f>
        <v>1.18</v>
      </c>
      <c r="CI67" s="124" t="n">
        <f aca="false">CG67*TAN(RADIANS(CK$7))-(IF($B$4, 9.807, 32.174)*CG67^2)/(2*CJ$7^2*COS(RADIANS(CK$7))^2)+$D$7</f>
        <v>4.77394614433105</v>
      </c>
      <c r="CJ67" s="123" t="n">
        <f aca="false">MIN($V$5,CI67)</f>
        <v>4.77394614433105</v>
      </c>
      <c r="CK67" s="124"/>
      <c r="CL67" s="112" t="n">
        <f aca="false">CL66+CL$7/100</f>
        <v>1.18</v>
      </c>
      <c r="CM67" s="122" t="n">
        <f aca="false">CL67-IF($I$3="Forward", $D$9, $G$9)</f>
        <v>1.18</v>
      </c>
      <c r="CN67" s="112" t="n">
        <f aca="false">CL67*TAN(RADIANS(CP$7))-(IF($B$4, 9.807, 32.174)*CL67^2)/(2*CO$7^2*COS(RADIANS(CP$7))^2)+$D$7</f>
        <v>4.77394614433105</v>
      </c>
      <c r="CO67" s="123" t="n">
        <f aca="false">MIN($V$5,CN67)</f>
        <v>4.77394614433105</v>
      </c>
      <c r="CP67" s="112"/>
      <c r="CQ67" s="112" t="n">
        <f aca="false">CQ66+CQ$7/100</f>
        <v>1.18</v>
      </c>
      <c r="CR67" s="122" t="n">
        <f aca="false">CQ67+IF($I$3="Forward", $D$9, $G$9)</f>
        <v>1.18</v>
      </c>
      <c r="CS67" s="112" t="n">
        <f aca="false">CQ67*TAN(RADIANS(CU$7))-(IF($B$4, 9.807, 32.174)*CQ67^2)/(2*CT$7^2*COS(RADIANS(CU$7))^2)+$D$7</f>
        <v>4.77394614433105</v>
      </c>
      <c r="CT67" s="123" t="n">
        <f aca="false">MIN($V$5,CS67)</f>
        <v>4.77394614433105</v>
      </c>
      <c r="CU67" s="112"/>
      <c r="CV67" s="112" t="n">
        <f aca="false">CV66+CV$7/100</f>
        <v>1.18</v>
      </c>
      <c r="CW67" s="112" t="n">
        <f aca="false">CV67</f>
        <v>1.18</v>
      </c>
      <c r="CX67" s="112" t="n">
        <f aca="false">CV67*TAN(RADIANS(CZ$7))-(IF($B$4, 9.807, 32.174)*CV67^2)/(2*CY$7^2*COS(RADIANS(CZ$7))^2)+$D$7</f>
        <v>4.77394614433105</v>
      </c>
      <c r="CY67" s="123" t="n">
        <f aca="false">MIN($V$5,CX67)</f>
        <v>4.77394614433105</v>
      </c>
      <c r="CZ67" s="112"/>
      <c r="DA67" s="112" t="n">
        <f aca="false">DA66+DA$7/100</f>
        <v>1.18</v>
      </c>
      <c r="DB67" s="122" t="n">
        <f aca="false">DA67-IF($I$3="Forward", $D$9, $G$9)</f>
        <v>1.18</v>
      </c>
      <c r="DC67" s="112" t="n">
        <f aca="false">DA67*TAN(RADIANS(DE$7))-(IF($B$4, 9.807, 32.174)*DA67^2)/(2*DD$7^2*COS(RADIANS(DE$7))^2)+$D$7</f>
        <v>4.77394614433105</v>
      </c>
      <c r="DD67" s="123" t="n">
        <f aca="false">MIN($V$5,DC67)</f>
        <v>4.77394614433105</v>
      </c>
      <c r="DE67" s="112"/>
      <c r="DF67" s="112" t="n">
        <f aca="false">DF66+DF$7/100</f>
        <v>1.18</v>
      </c>
      <c r="DG67" s="122" t="n">
        <f aca="false">DF67+IF($I$3="Forward", $D$9, $G$9)</f>
        <v>1.18</v>
      </c>
      <c r="DH67" s="112" t="n">
        <f aca="false">DF67*TAN(RADIANS(DJ$7))-(IF($B$4, 9.807, 32.174)*DF67^2)/(2*DI$7^2*COS(RADIANS(DJ$7))^2)+$D$7</f>
        <v>4.77394614433105</v>
      </c>
      <c r="DI67" s="123" t="n">
        <f aca="false">MIN($V$5,DH67)</f>
        <v>4.77394614433105</v>
      </c>
      <c r="DJ67" s="112"/>
      <c r="DK67" s="112" t="n">
        <f aca="false">DK66+DK$7/100</f>
        <v>1.18</v>
      </c>
      <c r="DL67" s="112" t="n">
        <f aca="false">DK67</f>
        <v>1.18</v>
      </c>
      <c r="DM67" s="112" t="n">
        <f aca="false">DK67*TAN(RADIANS(DO$7))-(IF($B$4, 9.807, 32.174)*DK67^2)/(2*DN$7^2*COS(RADIANS(DO$7))^2)+$D$7</f>
        <v>4.77394614433105</v>
      </c>
      <c r="DN67" s="123" t="n">
        <f aca="false">MIN($V$5,DM67)</f>
        <v>4.77394614433105</v>
      </c>
      <c r="DO67" s="112"/>
      <c r="DP67" s="112" t="n">
        <f aca="false">DP66+DP$7/100</f>
        <v>1.18</v>
      </c>
      <c r="DQ67" s="122" t="n">
        <f aca="false">DP67-IF($I$3="Forward", $D$9, $G$9)</f>
        <v>1.18</v>
      </c>
      <c r="DR67" s="112" t="n">
        <f aca="false">DP67*TAN(RADIANS(DT$7))-(IF($B$4, 9.807, 32.174)*DP67^2)/(2*DS$7^2*COS(RADIANS(DT$7))^2)+$D$7</f>
        <v>4.77394614433105</v>
      </c>
      <c r="DS67" s="123" t="n">
        <f aca="false">MIN($V$5,DR67)</f>
        <v>4.77394614433105</v>
      </c>
      <c r="DT67" s="112"/>
      <c r="DU67" s="112" t="n">
        <f aca="false">DU66+DU$7/100</f>
        <v>1.18</v>
      </c>
      <c r="DV67" s="122" t="n">
        <f aca="false">DU67+IF($I$3="Forward", $D$9, $G$9)</f>
        <v>1.18</v>
      </c>
      <c r="DW67" s="112" t="n">
        <f aca="false">DU67*TAN(RADIANS(DY$7))-(IF($B$4, 9.807, 32.174)*DU67^2)/(2*DX$7^2*COS(RADIANS(DY$7))^2)+$D$7</f>
        <v>4.77394614433105</v>
      </c>
      <c r="DX67" s="123" t="n">
        <f aca="false">MIN($V$5,DW67)</f>
        <v>4.77394614433105</v>
      </c>
      <c r="DY67" s="112"/>
      <c r="DZ67" s="112" t="n">
        <f aca="false">DZ66+DZ$7/100</f>
        <v>1.18</v>
      </c>
      <c r="EA67" s="112" t="n">
        <f aca="false">DZ67</f>
        <v>1.18</v>
      </c>
      <c r="EB67" s="112" t="n">
        <f aca="false">DZ67*TAN(RADIANS(ED$7))-(IF($B$4, 9.807, 32.174)*DZ67^2)/(2*EC$7^2*COS(RADIANS(ED$7))^2)+$D$7</f>
        <v>4.77394614433105</v>
      </c>
      <c r="EC67" s="123" t="n">
        <f aca="false">MIN($V$5,EB67)</f>
        <v>4.77394614433105</v>
      </c>
      <c r="ED67" s="112"/>
      <c r="EE67" s="112" t="n">
        <f aca="false">EE66+EE$7/100</f>
        <v>1.18</v>
      </c>
      <c r="EF67" s="122" t="n">
        <f aca="false">EE67-IF($I$3="Forward", $D$9, $G$9)</f>
        <v>1.18</v>
      </c>
      <c r="EG67" s="112" t="n">
        <f aca="false">EE67*TAN(RADIANS(EI$7))-(IF($B$4, 9.807, 32.174)*EE67^2)/(2*EH$7^2*COS(RADIANS(EI$7))^2)+$D$7</f>
        <v>4.77394614433105</v>
      </c>
      <c r="EH67" s="123" t="n">
        <f aca="false">MIN($V$5,EG67)</f>
        <v>4.77394614433105</v>
      </c>
      <c r="EI67" s="112"/>
      <c r="EJ67" s="112" t="n">
        <f aca="false">EJ66+EJ$7/100</f>
        <v>1.18</v>
      </c>
      <c r="EK67" s="122" t="n">
        <f aca="false">EJ67+IF($I$3="Forward", $D$9, $G$9)</f>
        <v>1.18</v>
      </c>
      <c r="EL67" s="112" t="n">
        <f aca="false">EJ67*TAN(RADIANS(EN$7))-(IF($B$4, 9.807, 32.174)*EJ67^2)/(2*EM$7^2*COS(RADIANS(EN$7))^2)+$D$7</f>
        <v>4.77394614433105</v>
      </c>
      <c r="EM67" s="123" t="n">
        <f aca="false">MIN($V$5,EL67)</f>
        <v>4.77394614433105</v>
      </c>
      <c r="EN67" s="112"/>
      <c r="EO67" s="112" t="n">
        <f aca="false">EO66+EO$7/100</f>
        <v>1.18</v>
      </c>
      <c r="EP67" s="112" t="n">
        <f aca="false">EO67</f>
        <v>1.18</v>
      </c>
      <c r="EQ67" s="112" t="n">
        <f aca="false">EO67*TAN(RADIANS(ES$7))-(IF($B$4, 9.807, 32.174)*EO67^2)/(2*ER$7^2*COS(RADIANS(ES$7))^2)+$D$7</f>
        <v>4.77394614433105</v>
      </c>
      <c r="ER67" s="123" t="n">
        <f aca="false">MIN($V$5,EQ67)</f>
        <v>4.77394614433105</v>
      </c>
      <c r="ES67" s="112"/>
      <c r="ET67" s="112" t="n">
        <f aca="false">ET66+ET$7/100</f>
        <v>1.18</v>
      </c>
      <c r="EU67" s="122" t="n">
        <f aca="false">ET67-IF($I$3="Forward", $D$9, $G$9)</f>
        <v>1.18</v>
      </c>
      <c r="EV67" s="112" t="n">
        <f aca="false">ET67*TAN(RADIANS(EX$7))-(IF($B$4, 9.807, 32.174)*ET67^2)/(2*EW$7^2*COS(RADIANS(EX$7))^2)+$D$7</f>
        <v>4.77394614433105</v>
      </c>
      <c r="EW67" s="123" t="n">
        <f aca="false">MIN($V$5,EV67)</f>
        <v>4.77394614433105</v>
      </c>
      <c r="EX67" s="112"/>
    </row>
    <row r="68" s="131" customFormat="true" ht="15" hidden="false" customHeight="false" outlineLevel="0" collapsed="false">
      <c r="T68" s="112" t="n">
        <f aca="false">T67+T$7/100</f>
        <v>1.2</v>
      </c>
      <c r="U68" s="122" t="n">
        <f aca="false">T68+IF($I$3="Forward", $D$9, $G$9)</f>
        <v>1.2</v>
      </c>
      <c r="V68" s="112" t="n">
        <f aca="false">T68*TAN(RADIANS(X$7))-(IF($B$4, 9.807, 32.174)*T68^2)/(2*W$7^2*COS(RADIANS(X$7))^2)+$D$7</f>
        <v>4.7702152734165</v>
      </c>
      <c r="W68" s="123" t="n">
        <f aca="false">MIN($V$5,V68)</f>
        <v>4.7702152734165</v>
      </c>
      <c r="X68" s="112"/>
      <c r="Y68" s="112" t="n">
        <f aca="false">Y67+Y$7/100</f>
        <v>1.2</v>
      </c>
      <c r="Z68" s="112" t="n">
        <f aca="false">Y68</f>
        <v>1.2</v>
      </c>
      <c r="AA68" s="112" t="n">
        <f aca="false">Y68*TAN(RADIANS(AC$7))-(IF($B$4, 9.807, 32.174)*Y68^2)/(2*AB$7^2*COS(RADIANS(AC$7))^2)+$D$7</f>
        <v>4.7702152734165</v>
      </c>
      <c r="AB68" s="123" t="n">
        <f aca="false">MIN($V$5,AA68)</f>
        <v>4.7702152734165</v>
      </c>
      <c r="AC68" s="112"/>
      <c r="AD68" s="112" t="n">
        <f aca="false">AD67+AD$7/100</f>
        <v>1.2</v>
      </c>
      <c r="AE68" s="122" t="n">
        <f aca="false">AD68-IF($I$3="Forward", $D$9, $G$9)</f>
        <v>1.2</v>
      </c>
      <c r="AF68" s="112" t="n">
        <f aca="false">AD68*TAN(RADIANS(AH$7))-(IF($B$4, 9.807, 32.174)*AD68^2)/(2*AG$7^2*COS(RADIANS(AH$7))^2)+$D$7</f>
        <v>4.7702152734165</v>
      </c>
      <c r="AG68" s="123" t="n">
        <f aca="false">MIN($V$5,AF68)</f>
        <v>4.7702152734165</v>
      </c>
      <c r="AH68" s="112"/>
      <c r="AI68" s="112" t="n">
        <f aca="false">AI67+AI$7/100</f>
        <v>1.2</v>
      </c>
      <c r="AJ68" s="122" t="n">
        <f aca="false">AI68+IF($I$3="Forward", $D$9, $G$9)</f>
        <v>1.2</v>
      </c>
      <c r="AK68" s="112" t="n">
        <f aca="false">AI68*TAN(RADIANS(AM$7))-(IF($B$4, 9.807, 32.174)*AI68^2)/(2*AL$7^2*COS(RADIANS(AM$7))^2)+$D$7</f>
        <v>4.7702152734165</v>
      </c>
      <c r="AL68" s="123" t="n">
        <f aca="false">MIN($V$5,AK68)</f>
        <v>4.7702152734165</v>
      </c>
      <c r="AM68" s="112"/>
      <c r="AN68" s="112" t="n">
        <f aca="false">AN67+AN$7/100</f>
        <v>1.2</v>
      </c>
      <c r="AO68" s="112" t="n">
        <f aca="false">AN68</f>
        <v>1.2</v>
      </c>
      <c r="AP68" s="112" t="n">
        <f aca="false">AN68*TAN(RADIANS(AR$7))-(IF($B$4, 9.807, 32.174)*AN68^2)/(2*AQ$7^2*COS(RADIANS(AR$7))^2)+$D$7</f>
        <v>4.7702152734165</v>
      </c>
      <c r="AQ68" s="123" t="n">
        <f aca="false">MIN($V$5,AP68)</f>
        <v>4.7702152734165</v>
      </c>
      <c r="AR68" s="112"/>
      <c r="AS68" s="112" t="n">
        <f aca="false">AS67+AS$7/100</f>
        <v>1.2</v>
      </c>
      <c r="AT68" s="122" t="n">
        <f aca="false">AS68-IF($I$3="Forward", $D$9, $G$9)</f>
        <v>1.2</v>
      </c>
      <c r="AU68" s="112" t="n">
        <f aca="false">AS68*TAN(RADIANS(AW$7))-(IF($B$4, 9.807, 32.174)*AS68^2)/(2*AV$7^2*COS(RADIANS(AW$7))^2)+$D$7</f>
        <v>4.7702152734165</v>
      </c>
      <c r="AV68" s="123" t="n">
        <f aca="false">MIN($V$5,AU68)</f>
        <v>4.7702152734165</v>
      </c>
      <c r="AW68" s="112"/>
      <c r="AX68" s="112" t="n">
        <f aca="false">AX67+AX$7/100</f>
        <v>1.2</v>
      </c>
      <c r="AY68" s="122" t="n">
        <f aca="false">AX68+IF($I$3="Forward", $D$9, $G$9)</f>
        <v>1.2</v>
      </c>
      <c r="AZ68" s="112" t="n">
        <f aca="false">AX68*TAN(RADIANS(BB$7))-(IF($B$4, 9.807, 32.174)*AX68^2)/(2*BA$7^2*COS(RADIANS(BB$7))^2)+$D$7</f>
        <v>4.7702152734165</v>
      </c>
      <c r="BA68" s="123" t="n">
        <f aca="false">MIN($V$5,AZ68)</f>
        <v>4.7702152734165</v>
      </c>
      <c r="BB68" s="112"/>
      <c r="BC68" s="112" t="n">
        <f aca="false">BC67+BC$7/100</f>
        <v>1.2</v>
      </c>
      <c r="BD68" s="112" t="n">
        <f aca="false">BC68</f>
        <v>1.2</v>
      </c>
      <c r="BE68" s="112" t="n">
        <f aca="false">BC68*TAN(RADIANS(BG$7))-(IF($B$4, 9.807, 32.174)*BC68^2)/(2*BF$7^2*COS(RADIANS(BG$7))^2)+$D$7</f>
        <v>4.7702152734165</v>
      </c>
      <c r="BF68" s="123" t="n">
        <f aca="false">MIN($V$5,BE68)</f>
        <v>4.7702152734165</v>
      </c>
      <c r="BG68" s="112"/>
      <c r="BH68" s="112" t="n">
        <f aca="false">BH67+BH$7/100</f>
        <v>1.2</v>
      </c>
      <c r="BI68" s="122" t="n">
        <f aca="false">BH68-IF($I$3="Forward", $D$9, $G$9)</f>
        <v>1.2</v>
      </c>
      <c r="BJ68" s="112" t="n">
        <f aca="false">BH68*TAN(RADIANS(BL$7))-(IF($B$4, 9.807, 32.174)*BH68^2)/(2*BK$7^2*COS(RADIANS(BL$7))^2)+$D$7</f>
        <v>4.7702152734165</v>
      </c>
      <c r="BK68" s="123" t="n">
        <f aca="false">MIN($V$5,BJ68)</f>
        <v>4.7702152734165</v>
      </c>
      <c r="BL68" s="112"/>
      <c r="BM68" s="112" t="n">
        <f aca="false">BM67+BM$7/100</f>
        <v>1.2</v>
      </c>
      <c r="BN68" s="122" t="n">
        <f aca="false">BM68+IF($I$3="Forward", $D$9, $G$9)</f>
        <v>1.2</v>
      </c>
      <c r="BO68" s="112" t="n">
        <f aca="false">BM68*TAN(RADIANS(BQ$7))-(IF($B$4, 9.807, 32.174)*BM68^2)/(2*BP$7^2*COS(RADIANS(BQ$7))^2)+$D$7</f>
        <v>4.7702152734165</v>
      </c>
      <c r="BP68" s="123" t="n">
        <f aca="false">MIN($V$5,BO68)</f>
        <v>4.7702152734165</v>
      </c>
      <c r="BQ68" s="112"/>
      <c r="BR68" s="112" t="n">
        <f aca="false">BR67+BR$7/100</f>
        <v>1.2</v>
      </c>
      <c r="BS68" s="112" t="n">
        <f aca="false">BR68</f>
        <v>1.2</v>
      </c>
      <c r="BT68" s="112" t="n">
        <f aca="false">BR68*TAN(RADIANS(BV$7))-(IF($B$4, 9.807, 32.174)*BR68^2)/(2*BU$7^2*COS(RADIANS(BV$7))^2)+$D$7</f>
        <v>4.7702152734165</v>
      </c>
      <c r="BU68" s="123" t="n">
        <f aca="false">MIN($V$5,BT68)</f>
        <v>4.7702152734165</v>
      </c>
      <c r="BV68" s="112"/>
      <c r="BW68" s="112" t="n">
        <f aca="false">BW67+BW$7/100</f>
        <v>1.2</v>
      </c>
      <c r="BX68" s="122" t="n">
        <f aca="false">BW68-IF($I$3="Forward", $D$9, $G$9)</f>
        <v>1.2</v>
      </c>
      <c r="BY68" s="112" t="n">
        <f aca="false">BW68*TAN(RADIANS(CA$7))-(IF($B$4, 9.807, 32.174)*BW68^2)/(2*BZ$7^2*COS(RADIANS(CA$7))^2)+$D$7</f>
        <v>4.7702152734165</v>
      </c>
      <c r="BZ68" s="123" t="n">
        <f aca="false">MIN($V$5,BY68)</f>
        <v>4.7702152734165</v>
      </c>
      <c r="CA68" s="112"/>
      <c r="CB68" s="112" t="n">
        <f aca="false">CB67+CB$7/100</f>
        <v>1.2</v>
      </c>
      <c r="CC68" s="122" t="n">
        <f aca="false">CB68+IF($I$3="Forward", $D$9, $G$9)</f>
        <v>1.2</v>
      </c>
      <c r="CD68" s="112" t="n">
        <f aca="false">CB68*TAN(RADIANS(CF$7))-(IF($B$4, 9.807, 32.174)*CB68^2)/(2*CE$7^2*COS(RADIANS(CF$7))^2)+$D$7</f>
        <v>4.7702152734165</v>
      </c>
      <c r="CE68" s="123" t="n">
        <f aca="false">MIN($V$5,CD68)</f>
        <v>4.7702152734165</v>
      </c>
      <c r="CF68" s="112"/>
      <c r="CG68" s="124" t="n">
        <f aca="false">CG67+CG$7/100</f>
        <v>1.2</v>
      </c>
      <c r="CH68" s="124" t="n">
        <f aca="false">CG68</f>
        <v>1.2</v>
      </c>
      <c r="CI68" s="124" t="n">
        <f aca="false">CG68*TAN(RADIANS(CK$7))-(IF($B$4, 9.807, 32.174)*CG68^2)/(2*CJ$7^2*COS(RADIANS(CK$7))^2)+$D$7</f>
        <v>4.7702152734165</v>
      </c>
      <c r="CJ68" s="123" t="n">
        <f aca="false">MIN($V$5,CI68)</f>
        <v>4.7702152734165</v>
      </c>
      <c r="CK68" s="124"/>
      <c r="CL68" s="112" t="n">
        <f aca="false">CL67+CL$7/100</f>
        <v>1.2</v>
      </c>
      <c r="CM68" s="122" t="n">
        <f aca="false">CL68-IF($I$3="Forward", $D$9, $G$9)</f>
        <v>1.2</v>
      </c>
      <c r="CN68" s="112" t="n">
        <f aca="false">CL68*TAN(RADIANS(CP$7))-(IF($B$4, 9.807, 32.174)*CL68^2)/(2*CO$7^2*COS(RADIANS(CP$7))^2)+$D$7</f>
        <v>4.7702152734165</v>
      </c>
      <c r="CO68" s="123" t="n">
        <f aca="false">MIN($V$5,CN68)</f>
        <v>4.7702152734165</v>
      </c>
      <c r="CP68" s="112"/>
      <c r="CQ68" s="112" t="n">
        <f aca="false">CQ67+CQ$7/100</f>
        <v>1.2</v>
      </c>
      <c r="CR68" s="122" t="n">
        <f aca="false">CQ68+IF($I$3="Forward", $D$9, $G$9)</f>
        <v>1.2</v>
      </c>
      <c r="CS68" s="112" t="n">
        <f aca="false">CQ68*TAN(RADIANS(CU$7))-(IF($B$4, 9.807, 32.174)*CQ68^2)/(2*CT$7^2*COS(RADIANS(CU$7))^2)+$D$7</f>
        <v>4.7702152734165</v>
      </c>
      <c r="CT68" s="123" t="n">
        <f aca="false">MIN($V$5,CS68)</f>
        <v>4.7702152734165</v>
      </c>
      <c r="CU68" s="112"/>
      <c r="CV68" s="112" t="n">
        <f aca="false">CV67+CV$7/100</f>
        <v>1.2</v>
      </c>
      <c r="CW68" s="112" t="n">
        <f aca="false">CV68</f>
        <v>1.2</v>
      </c>
      <c r="CX68" s="112" t="n">
        <f aca="false">CV68*TAN(RADIANS(CZ$7))-(IF($B$4, 9.807, 32.174)*CV68^2)/(2*CY$7^2*COS(RADIANS(CZ$7))^2)+$D$7</f>
        <v>4.7702152734165</v>
      </c>
      <c r="CY68" s="123" t="n">
        <f aca="false">MIN($V$5,CX68)</f>
        <v>4.7702152734165</v>
      </c>
      <c r="CZ68" s="112"/>
      <c r="DA68" s="112" t="n">
        <f aca="false">DA67+DA$7/100</f>
        <v>1.2</v>
      </c>
      <c r="DB68" s="122" t="n">
        <f aca="false">DA68-IF($I$3="Forward", $D$9, $G$9)</f>
        <v>1.2</v>
      </c>
      <c r="DC68" s="112" t="n">
        <f aca="false">DA68*TAN(RADIANS(DE$7))-(IF($B$4, 9.807, 32.174)*DA68^2)/(2*DD$7^2*COS(RADIANS(DE$7))^2)+$D$7</f>
        <v>4.7702152734165</v>
      </c>
      <c r="DD68" s="123" t="n">
        <f aca="false">MIN($V$5,DC68)</f>
        <v>4.7702152734165</v>
      </c>
      <c r="DE68" s="112"/>
      <c r="DF68" s="112" t="n">
        <f aca="false">DF67+DF$7/100</f>
        <v>1.2</v>
      </c>
      <c r="DG68" s="122" t="n">
        <f aca="false">DF68+IF($I$3="Forward", $D$9, $G$9)</f>
        <v>1.2</v>
      </c>
      <c r="DH68" s="112" t="n">
        <f aca="false">DF68*TAN(RADIANS(DJ$7))-(IF($B$4, 9.807, 32.174)*DF68^2)/(2*DI$7^2*COS(RADIANS(DJ$7))^2)+$D$7</f>
        <v>4.7702152734165</v>
      </c>
      <c r="DI68" s="123" t="n">
        <f aca="false">MIN($V$5,DH68)</f>
        <v>4.7702152734165</v>
      </c>
      <c r="DJ68" s="112"/>
      <c r="DK68" s="112" t="n">
        <f aca="false">DK67+DK$7/100</f>
        <v>1.2</v>
      </c>
      <c r="DL68" s="112" t="n">
        <f aca="false">DK68</f>
        <v>1.2</v>
      </c>
      <c r="DM68" s="112" t="n">
        <f aca="false">DK68*TAN(RADIANS(DO$7))-(IF($B$4, 9.807, 32.174)*DK68^2)/(2*DN$7^2*COS(RADIANS(DO$7))^2)+$D$7</f>
        <v>4.7702152734165</v>
      </c>
      <c r="DN68" s="123" t="n">
        <f aca="false">MIN($V$5,DM68)</f>
        <v>4.7702152734165</v>
      </c>
      <c r="DO68" s="112"/>
      <c r="DP68" s="112" t="n">
        <f aca="false">DP67+DP$7/100</f>
        <v>1.2</v>
      </c>
      <c r="DQ68" s="122" t="n">
        <f aca="false">DP68-IF($I$3="Forward", $D$9, $G$9)</f>
        <v>1.2</v>
      </c>
      <c r="DR68" s="112" t="n">
        <f aca="false">DP68*TAN(RADIANS(DT$7))-(IF($B$4, 9.807, 32.174)*DP68^2)/(2*DS$7^2*COS(RADIANS(DT$7))^2)+$D$7</f>
        <v>4.7702152734165</v>
      </c>
      <c r="DS68" s="123" t="n">
        <f aca="false">MIN($V$5,DR68)</f>
        <v>4.7702152734165</v>
      </c>
      <c r="DT68" s="112"/>
      <c r="DU68" s="112" t="n">
        <f aca="false">DU67+DU$7/100</f>
        <v>1.2</v>
      </c>
      <c r="DV68" s="122" t="n">
        <f aca="false">DU68+IF($I$3="Forward", $D$9, $G$9)</f>
        <v>1.2</v>
      </c>
      <c r="DW68" s="112" t="n">
        <f aca="false">DU68*TAN(RADIANS(DY$7))-(IF($B$4, 9.807, 32.174)*DU68^2)/(2*DX$7^2*COS(RADIANS(DY$7))^2)+$D$7</f>
        <v>4.7702152734165</v>
      </c>
      <c r="DX68" s="123" t="n">
        <f aca="false">MIN($V$5,DW68)</f>
        <v>4.7702152734165</v>
      </c>
      <c r="DY68" s="112"/>
      <c r="DZ68" s="112" t="n">
        <f aca="false">DZ67+DZ$7/100</f>
        <v>1.2</v>
      </c>
      <c r="EA68" s="112" t="n">
        <f aca="false">DZ68</f>
        <v>1.2</v>
      </c>
      <c r="EB68" s="112" t="n">
        <f aca="false">DZ68*TAN(RADIANS(ED$7))-(IF($B$4, 9.807, 32.174)*DZ68^2)/(2*EC$7^2*COS(RADIANS(ED$7))^2)+$D$7</f>
        <v>4.7702152734165</v>
      </c>
      <c r="EC68" s="123" t="n">
        <f aca="false">MIN($V$5,EB68)</f>
        <v>4.7702152734165</v>
      </c>
      <c r="ED68" s="112"/>
      <c r="EE68" s="112" t="n">
        <f aca="false">EE67+EE$7/100</f>
        <v>1.2</v>
      </c>
      <c r="EF68" s="122" t="n">
        <f aca="false">EE68-IF($I$3="Forward", $D$9, $G$9)</f>
        <v>1.2</v>
      </c>
      <c r="EG68" s="112" t="n">
        <f aca="false">EE68*TAN(RADIANS(EI$7))-(IF($B$4, 9.807, 32.174)*EE68^2)/(2*EH$7^2*COS(RADIANS(EI$7))^2)+$D$7</f>
        <v>4.7702152734165</v>
      </c>
      <c r="EH68" s="123" t="n">
        <f aca="false">MIN($V$5,EG68)</f>
        <v>4.7702152734165</v>
      </c>
      <c r="EI68" s="112"/>
      <c r="EJ68" s="112" t="n">
        <f aca="false">EJ67+EJ$7/100</f>
        <v>1.2</v>
      </c>
      <c r="EK68" s="122" t="n">
        <f aca="false">EJ68+IF($I$3="Forward", $D$9, $G$9)</f>
        <v>1.2</v>
      </c>
      <c r="EL68" s="112" t="n">
        <f aca="false">EJ68*TAN(RADIANS(EN$7))-(IF($B$4, 9.807, 32.174)*EJ68^2)/(2*EM$7^2*COS(RADIANS(EN$7))^2)+$D$7</f>
        <v>4.7702152734165</v>
      </c>
      <c r="EM68" s="123" t="n">
        <f aca="false">MIN($V$5,EL68)</f>
        <v>4.7702152734165</v>
      </c>
      <c r="EN68" s="112"/>
      <c r="EO68" s="112" t="n">
        <f aca="false">EO67+EO$7/100</f>
        <v>1.2</v>
      </c>
      <c r="EP68" s="112" t="n">
        <f aca="false">EO68</f>
        <v>1.2</v>
      </c>
      <c r="EQ68" s="112" t="n">
        <f aca="false">EO68*TAN(RADIANS(ES$7))-(IF($B$4, 9.807, 32.174)*EO68^2)/(2*ER$7^2*COS(RADIANS(ES$7))^2)+$D$7</f>
        <v>4.7702152734165</v>
      </c>
      <c r="ER68" s="123" t="n">
        <f aca="false">MIN($V$5,EQ68)</f>
        <v>4.7702152734165</v>
      </c>
      <c r="ES68" s="112"/>
      <c r="ET68" s="112" t="n">
        <f aca="false">ET67+ET$7/100</f>
        <v>1.2</v>
      </c>
      <c r="EU68" s="122" t="n">
        <f aca="false">ET68-IF($I$3="Forward", $D$9, $G$9)</f>
        <v>1.2</v>
      </c>
      <c r="EV68" s="112" t="n">
        <f aca="false">ET68*TAN(RADIANS(EX$7))-(IF($B$4, 9.807, 32.174)*ET68^2)/(2*EW$7^2*COS(RADIANS(EX$7))^2)+$D$7</f>
        <v>4.7702152734165</v>
      </c>
      <c r="EW68" s="123" t="n">
        <f aca="false">MIN($V$5,EV68)</f>
        <v>4.7702152734165</v>
      </c>
      <c r="EX68" s="112"/>
    </row>
    <row r="69" s="131" customFormat="true" ht="15" hidden="false" customHeight="false" outlineLevel="0" collapsed="false">
      <c r="T69" s="112" t="n">
        <f aca="false">T68+T$7/100</f>
        <v>1.22</v>
      </c>
      <c r="U69" s="122" t="n">
        <f aca="false">T69+IF($I$3="Forward", $D$9, $G$9)</f>
        <v>1.22</v>
      </c>
      <c r="V69" s="112" t="n">
        <f aca="false">T69*TAN(RADIANS(X$7))-(IF($B$4, 9.807, 32.174)*T69^2)/(2*W$7^2*COS(RADIANS(X$7))^2)+$D$7</f>
        <v>4.76377588977411</v>
      </c>
      <c r="W69" s="123" t="n">
        <f aca="false">MIN($V$5,V69)</f>
        <v>4.76377588977411</v>
      </c>
      <c r="X69" s="112"/>
      <c r="Y69" s="112" t="n">
        <f aca="false">Y68+Y$7/100</f>
        <v>1.22</v>
      </c>
      <c r="Z69" s="112" t="n">
        <f aca="false">Y69</f>
        <v>1.22</v>
      </c>
      <c r="AA69" s="112" t="n">
        <f aca="false">Y69*TAN(RADIANS(AC$7))-(IF($B$4, 9.807, 32.174)*Y69^2)/(2*AB$7^2*COS(RADIANS(AC$7))^2)+$D$7</f>
        <v>4.76377588977411</v>
      </c>
      <c r="AB69" s="123" t="n">
        <f aca="false">MIN($V$5,AA69)</f>
        <v>4.76377588977411</v>
      </c>
      <c r="AC69" s="112"/>
      <c r="AD69" s="112" t="n">
        <f aca="false">AD68+AD$7/100</f>
        <v>1.22</v>
      </c>
      <c r="AE69" s="122" t="n">
        <f aca="false">AD69-IF($I$3="Forward", $D$9, $G$9)</f>
        <v>1.22</v>
      </c>
      <c r="AF69" s="112" t="n">
        <f aca="false">AD69*TAN(RADIANS(AH$7))-(IF($B$4, 9.807, 32.174)*AD69^2)/(2*AG$7^2*COS(RADIANS(AH$7))^2)+$D$7</f>
        <v>4.76377588977411</v>
      </c>
      <c r="AG69" s="123" t="n">
        <f aca="false">MIN($V$5,AF69)</f>
        <v>4.76377588977411</v>
      </c>
      <c r="AH69" s="112"/>
      <c r="AI69" s="112" t="n">
        <f aca="false">AI68+AI$7/100</f>
        <v>1.22</v>
      </c>
      <c r="AJ69" s="122" t="n">
        <f aca="false">AI69+IF($I$3="Forward", $D$9, $G$9)</f>
        <v>1.22</v>
      </c>
      <c r="AK69" s="112" t="n">
        <f aca="false">AI69*TAN(RADIANS(AM$7))-(IF($B$4, 9.807, 32.174)*AI69^2)/(2*AL$7^2*COS(RADIANS(AM$7))^2)+$D$7</f>
        <v>4.76377588977411</v>
      </c>
      <c r="AL69" s="123" t="n">
        <f aca="false">MIN($V$5,AK69)</f>
        <v>4.76377588977411</v>
      </c>
      <c r="AM69" s="112"/>
      <c r="AN69" s="112" t="n">
        <f aca="false">AN68+AN$7/100</f>
        <v>1.22</v>
      </c>
      <c r="AO69" s="112" t="n">
        <f aca="false">AN69</f>
        <v>1.22</v>
      </c>
      <c r="AP69" s="112" t="n">
        <f aca="false">AN69*TAN(RADIANS(AR$7))-(IF($B$4, 9.807, 32.174)*AN69^2)/(2*AQ$7^2*COS(RADIANS(AR$7))^2)+$D$7</f>
        <v>4.76377588977411</v>
      </c>
      <c r="AQ69" s="123" t="n">
        <f aca="false">MIN($V$5,AP69)</f>
        <v>4.76377588977411</v>
      </c>
      <c r="AR69" s="112"/>
      <c r="AS69" s="112" t="n">
        <f aca="false">AS68+AS$7/100</f>
        <v>1.22</v>
      </c>
      <c r="AT69" s="122" t="n">
        <f aca="false">AS69-IF($I$3="Forward", $D$9, $G$9)</f>
        <v>1.22</v>
      </c>
      <c r="AU69" s="112" t="n">
        <f aca="false">AS69*TAN(RADIANS(AW$7))-(IF($B$4, 9.807, 32.174)*AS69^2)/(2*AV$7^2*COS(RADIANS(AW$7))^2)+$D$7</f>
        <v>4.76377588977411</v>
      </c>
      <c r="AV69" s="123" t="n">
        <f aca="false">MIN($V$5,AU69)</f>
        <v>4.76377588977411</v>
      </c>
      <c r="AW69" s="112"/>
      <c r="AX69" s="112" t="n">
        <f aca="false">AX68+AX$7/100</f>
        <v>1.22</v>
      </c>
      <c r="AY69" s="122" t="n">
        <f aca="false">AX69+IF($I$3="Forward", $D$9, $G$9)</f>
        <v>1.22</v>
      </c>
      <c r="AZ69" s="112" t="n">
        <f aca="false">AX69*TAN(RADIANS(BB$7))-(IF($B$4, 9.807, 32.174)*AX69^2)/(2*BA$7^2*COS(RADIANS(BB$7))^2)+$D$7</f>
        <v>4.76377588977411</v>
      </c>
      <c r="BA69" s="123" t="n">
        <f aca="false">MIN($V$5,AZ69)</f>
        <v>4.76377588977411</v>
      </c>
      <c r="BB69" s="112"/>
      <c r="BC69" s="112" t="n">
        <f aca="false">BC68+BC$7/100</f>
        <v>1.22</v>
      </c>
      <c r="BD69" s="112" t="n">
        <f aca="false">BC69</f>
        <v>1.22</v>
      </c>
      <c r="BE69" s="112" t="n">
        <f aca="false">BC69*TAN(RADIANS(BG$7))-(IF($B$4, 9.807, 32.174)*BC69^2)/(2*BF$7^2*COS(RADIANS(BG$7))^2)+$D$7</f>
        <v>4.76377588977411</v>
      </c>
      <c r="BF69" s="123" t="n">
        <f aca="false">MIN($V$5,BE69)</f>
        <v>4.76377588977411</v>
      </c>
      <c r="BG69" s="112"/>
      <c r="BH69" s="112" t="n">
        <f aca="false">BH68+BH$7/100</f>
        <v>1.22</v>
      </c>
      <c r="BI69" s="122" t="n">
        <f aca="false">BH69-IF($I$3="Forward", $D$9, $G$9)</f>
        <v>1.22</v>
      </c>
      <c r="BJ69" s="112" t="n">
        <f aca="false">BH69*TAN(RADIANS(BL$7))-(IF($B$4, 9.807, 32.174)*BH69^2)/(2*BK$7^2*COS(RADIANS(BL$7))^2)+$D$7</f>
        <v>4.76377588977411</v>
      </c>
      <c r="BK69" s="123" t="n">
        <f aca="false">MIN($V$5,BJ69)</f>
        <v>4.76377588977411</v>
      </c>
      <c r="BL69" s="112"/>
      <c r="BM69" s="112" t="n">
        <f aca="false">BM68+BM$7/100</f>
        <v>1.22</v>
      </c>
      <c r="BN69" s="122" t="n">
        <f aca="false">BM69+IF($I$3="Forward", $D$9, $G$9)</f>
        <v>1.22</v>
      </c>
      <c r="BO69" s="112" t="n">
        <f aca="false">BM69*TAN(RADIANS(BQ$7))-(IF($B$4, 9.807, 32.174)*BM69^2)/(2*BP$7^2*COS(RADIANS(BQ$7))^2)+$D$7</f>
        <v>4.76377588977411</v>
      </c>
      <c r="BP69" s="123" t="n">
        <f aca="false">MIN($V$5,BO69)</f>
        <v>4.76377588977411</v>
      </c>
      <c r="BQ69" s="112"/>
      <c r="BR69" s="112" t="n">
        <f aca="false">BR68+BR$7/100</f>
        <v>1.22</v>
      </c>
      <c r="BS69" s="112" t="n">
        <f aca="false">BR69</f>
        <v>1.22</v>
      </c>
      <c r="BT69" s="112" t="n">
        <f aca="false">BR69*TAN(RADIANS(BV$7))-(IF($B$4, 9.807, 32.174)*BR69^2)/(2*BU$7^2*COS(RADIANS(BV$7))^2)+$D$7</f>
        <v>4.76377588977411</v>
      </c>
      <c r="BU69" s="123" t="n">
        <f aca="false">MIN($V$5,BT69)</f>
        <v>4.76377588977411</v>
      </c>
      <c r="BV69" s="112"/>
      <c r="BW69" s="112" t="n">
        <f aca="false">BW68+BW$7/100</f>
        <v>1.22</v>
      </c>
      <c r="BX69" s="122" t="n">
        <f aca="false">BW69-IF($I$3="Forward", $D$9, $G$9)</f>
        <v>1.22</v>
      </c>
      <c r="BY69" s="112" t="n">
        <f aca="false">BW69*TAN(RADIANS(CA$7))-(IF($B$4, 9.807, 32.174)*BW69^2)/(2*BZ$7^2*COS(RADIANS(CA$7))^2)+$D$7</f>
        <v>4.76377588977411</v>
      </c>
      <c r="BZ69" s="123" t="n">
        <f aca="false">MIN($V$5,BY69)</f>
        <v>4.76377588977411</v>
      </c>
      <c r="CA69" s="112"/>
      <c r="CB69" s="112" t="n">
        <f aca="false">CB68+CB$7/100</f>
        <v>1.22</v>
      </c>
      <c r="CC69" s="122" t="n">
        <f aca="false">CB69+IF($I$3="Forward", $D$9, $G$9)</f>
        <v>1.22</v>
      </c>
      <c r="CD69" s="112" t="n">
        <f aca="false">CB69*TAN(RADIANS(CF$7))-(IF($B$4, 9.807, 32.174)*CB69^2)/(2*CE$7^2*COS(RADIANS(CF$7))^2)+$D$7</f>
        <v>4.76377588977411</v>
      </c>
      <c r="CE69" s="123" t="n">
        <f aca="false">MIN($V$5,CD69)</f>
        <v>4.76377588977411</v>
      </c>
      <c r="CF69" s="112"/>
      <c r="CG69" s="124" t="n">
        <f aca="false">CG68+CG$7/100</f>
        <v>1.22</v>
      </c>
      <c r="CH69" s="124" t="n">
        <f aca="false">CG69</f>
        <v>1.22</v>
      </c>
      <c r="CI69" s="124" t="n">
        <f aca="false">CG69*TAN(RADIANS(CK$7))-(IF($B$4, 9.807, 32.174)*CG69^2)/(2*CJ$7^2*COS(RADIANS(CK$7))^2)+$D$7</f>
        <v>4.76377588977411</v>
      </c>
      <c r="CJ69" s="123" t="n">
        <f aca="false">MIN($V$5,CI69)</f>
        <v>4.76377588977411</v>
      </c>
      <c r="CK69" s="124"/>
      <c r="CL69" s="112" t="n">
        <f aca="false">CL68+CL$7/100</f>
        <v>1.22</v>
      </c>
      <c r="CM69" s="122" t="n">
        <f aca="false">CL69-IF($I$3="Forward", $D$9, $G$9)</f>
        <v>1.22</v>
      </c>
      <c r="CN69" s="112" t="n">
        <f aca="false">CL69*TAN(RADIANS(CP$7))-(IF($B$4, 9.807, 32.174)*CL69^2)/(2*CO$7^2*COS(RADIANS(CP$7))^2)+$D$7</f>
        <v>4.76377588977411</v>
      </c>
      <c r="CO69" s="123" t="n">
        <f aca="false">MIN($V$5,CN69)</f>
        <v>4.76377588977411</v>
      </c>
      <c r="CP69" s="112"/>
      <c r="CQ69" s="112" t="n">
        <f aca="false">CQ68+CQ$7/100</f>
        <v>1.22</v>
      </c>
      <c r="CR69" s="122" t="n">
        <f aca="false">CQ69+IF($I$3="Forward", $D$9, $G$9)</f>
        <v>1.22</v>
      </c>
      <c r="CS69" s="112" t="n">
        <f aca="false">CQ69*TAN(RADIANS(CU$7))-(IF($B$4, 9.807, 32.174)*CQ69^2)/(2*CT$7^2*COS(RADIANS(CU$7))^2)+$D$7</f>
        <v>4.76377588977411</v>
      </c>
      <c r="CT69" s="123" t="n">
        <f aca="false">MIN($V$5,CS69)</f>
        <v>4.76377588977411</v>
      </c>
      <c r="CU69" s="112"/>
      <c r="CV69" s="112" t="n">
        <f aca="false">CV68+CV$7/100</f>
        <v>1.22</v>
      </c>
      <c r="CW69" s="112" t="n">
        <f aca="false">CV69</f>
        <v>1.22</v>
      </c>
      <c r="CX69" s="112" t="n">
        <f aca="false">CV69*TAN(RADIANS(CZ$7))-(IF($B$4, 9.807, 32.174)*CV69^2)/(2*CY$7^2*COS(RADIANS(CZ$7))^2)+$D$7</f>
        <v>4.76377588977411</v>
      </c>
      <c r="CY69" s="123" t="n">
        <f aca="false">MIN($V$5,CX69)</f>
        <v>4.76377588977411</v>
      </c>
      <c r="CZ69" s="112"/>
      <c r="DA69" s="112" t="n">
        <f aca="false">DA68+DA$7/100</f>
        <v>1.22</v>
      </c>
      <c r="DB69" s="122" t="n">
        <f aca="false">DA69-IF($I$3="Forward", $D$9, $G$9)</f>
        <v>1.22</v>
      </c>
      <c r="DC69" s="112" t="n">
        <f aca="false">DA69*TAN(RADIANS(DE$7))-(IF($B$4, 9.807, 32.174)*DA69^2)/(2*DD$7^2*COS(RADIANS(DE$7))^2)+$D$7</f>
        <v>4.76377588977411</v>
      </c>
      <c r="DD69" s="123" t="n">
        <f aca="false">MIN($V$5,DC69)</f>
        <v>4.76377588977411</v>
      </c>
      <c r="DE69" s="112"/>
      <c r="DF69" s="112" t="n">
        <f aca="false">DF68+DF$7/100</f>
        <v>1.22</v>
      </c>
      <c r="DG69" s="122" t="n">
        <f aca="false">DF69+IF($I$3="Forward", $D$9, $G$9)</f>
        <v>1.22</v>
      </c>
      <c r="DH69" s="112" t="n">
        <f aca="false">DF69*TAN(RADIANS(DJ$7))-(IF($B$4, 9.807, 32.174)*DF69^2)/(2*DI$7^2*COS(RADIANS(DJ$7))^2)+$D$7</f>
        <v>4.76377588977411</v>
      </c>
      <c r="DI69" s="123" t="n">
        <f aca="false">MIN($V$5,DH69)</f>
        <v>4.76377588977411</v>
      </c>
      <c r="DJ69" s="112"/>
      <c r="DK69" s="112" t="n">
        <f aca="false">DK68+DK$7/100</f>
        <v>1.22</v>
      </c>
      <c r="DL69" s="112" t="n">
        <f aca="false">DK69</f>
        <v>1.22</v>
      </c>
      <c r="DM69" s="112" t="n">
        <f aca="false">DK69*TAN(RADIANS(DO$7))-(IF($B$4, 9.807, 32.174)*DK69^2)/(2*DN$7^2*COS(RADIANS(DO$7))^2)+$D$7</f>
        <v>4.76377588977411</v>
      </c>
      <c r="DN69" s="123" t="n">
        <f aca="false">MIN($V$5,DM69)</f>
        <v>4.76377588977411</v>
      </c>
      <c r="DO69" s="112"/>
      <c r="DP69" s="112" t="n">
        <f aca="false">DP68+DP$7/100</f>
        <v>1.22</v>
      </c>
      <c r="DQ69" s="122" t="n">
        <f aca="false">DP69-IF($I$3="Forward", $D$9, $G$9)</f>
        <v>1.22</v>
      </c>
      <c r="DR69" s="112" t="n">
        <f aca="false">DP69*TAN(RADIANS(DT$7))-(IF($B$4, 9.807, 32.174)*DP69^2)/(2*DS$7^2*COS(RADIANS(DT$7))^2)+$D$7</f>
        <v>4.76377588977411</v>
      </c>
      <c r="DS69" s="123" t="n">
        <f aca="false">MIN($V$5,DR69)</f>
        <v>4.76377588977411</v>
      </c>
      <c r="DT69" s="112"/>
      <c r="DU69" s="112" t="n">
        <f aca="false">DU68+DU$7/100</f>
        <v>1.22</v>
      </c>
      <c r="DV69" s="122" t="n">
        <f aca="false">DU69+IF($I$3="Forward", $D$9, $G$9)</f>
        <v>1.22</v>
      </c>
      <c r="DW69" s="112" t="n">
        <f aca="false">DU69*TAN(RADIANS(DY$7))-(IF($B$4, 9.807, 32.174)*DU69^2)/(2*DX$7^2*COS(RADIANS(DY$7))^2)+$D$7</f>
        <v>4.76377588977411</v>
      </c>
      <c r="DX69" s="123" t="n">
        <f aca="false">MIN($V$5,DW69)</f>
        <v>4.76377588977411</v>
      </c>
      <c r="DY69" s="112"/>
      <c r="DZ69" s="112" t="n">
        <f aca="false">DZ68+DZ$7/100</f>
        <v>1.22</v>
      </c>
      <c r="EA69" s="112" t="n">
        <f aca="false">DZ69</f>
        <v>1.22</v>
      </c>
      <c r="EB69" s="112" t="n">
        <f aca="false">DZ69*TAN(RADIANS(ED$7))-(IF($B$4, 9.807, 32.174)*DZ69^2)/(2*EC$7^2*COS(RADIANS(ED$7))^2)+$D$7</f>
        <v>4.76377588977411</v>
      </c>
      <c r="EC69" s="123" t="n">
        <f aca="false">MIN($V$5,EB69)</f>
        <v>4.76377588977411</v>
      </c>
      <c r="ED69" s="112"/>
      <c r="EE69" s="112" t="n">
        <f aca="false">EE68+EE$7/100</f>
        <v>1.22</v>
      </c>
      <c r="EF69" s="122" t="n">
        <f aca="false">EE69-IF($I$3="Forward", $D$9, $G$9)</f>
        <v>1.22</v>
      </c>
      <c r="EG69" s="112" t="n">
        <f aca="false">EE69*TAN(RADIANS(EI$7))-(IF($B$4, 9.807, 32.174)*EE69^2)/(2*EH$7^2*COS(RADIANS(EI$7))^2)+$D$7</f>
        <v>4.76377588977411</v>
      </c>
      <c r="EH69" s="123" t="n">
        <f aca="false">MIN($V$5,EG69)</f>
        <v>4.76377588977411</v>
      </c>
      <c r="EI69" s="112"/>
      <c r="EJ69" s="112" t="n">
        <f aca="false">EJ68+EJ$7/100</f>
        <v>1.22</v>
      </c>
      <c r="EK69" s="122" t="n">
        <f aca="false">EJ69+IF($I$3="Forward", $D$9, $G$9)</f>
        <v>1.22</v>
      </c>
      <c r="EL69" s="112" t="n">
        <f aca="false">EJ69*TAN(RADIANS(EN$7))-(IF($B$4, 9.807, 32.174)*EJ69^2)/(2*EM$7^2*COS(RADIANS(EN$7))^2)+$D$7</f>
        <v>4.76377588977411</v>
      </c>
      <c r="EM69" s="123" t="n">
        <f aca="false">MIN($V$5,EL69)</f>
        <v>4.76377588977411</v>
      </c>
      <c r="EN69" s="112"/>
      <c r="EO69" s="112" t="n">
        <f aca="false">EO68+EO$7/100</f>
        <v>1.22</v>
      </c>
      <c r="EP69" s="112" t="n">
        <f aca="false">EO69</f>
        <v>1.22</v>
      </c>
      <c r="EQ69" s="112" t="n">
        <f aca="false">EO69*TAN(RADIANS(ES$7))-(IF($B$4, 9.807, 32.174)*EO69^2)/(2*ER$7^2*COS(RADIANS(ES$7))^2)+$D$7</f>
        <v>4.76377588977411</v>
      </c>
      <c r="ER69" s="123" t="n">
        <f aca="false">MIN($V$5,EQ69)</f>
        <v>4.76377588977411</v>
      </c>
      <c r="ES69" s="112"/>
      <c r="ET69" s="112" t="n">
        <f aca="false">ET68+ET$7/100</f>
        <v>1.22</v>
      </c>
      <c r="EU69" s="122" t="n">
        <f aca="false">ET69-IF($I$3="Forward", $D$9, $G$9)</f>
        <v>1.22</v>
      </c>
      <c r="EV69" s="112" t="n">
        <f aca="false">ET69*TAN(RADIANS(EX$7))-(IF($B$4, 9.807, 32.174)*ET69^2)/(2*EW$7^2*COS(RADIANS(EX$7))^2)+$D$7</f>
        <v>4.76377588977411</v>
      </c>
      <c r="EW69" s="123" t="n">
        <f aca="false">MIN($V$5,EV69)</f>
        <v>4.76377588977411</v>
      </c>
      <c r="EX69" s="112"/>
    </row>
    <row r="70" s="131" customFormat="true" ht="15" hidden="false" customHeight="false" outlineLevel="0" collapsed="false">
      <c r="T70" s="112" t="n">
        <f aca="false">T69+T$7/100</f>
        <v>1.24</v>
      </c>
      <c r="U70" s="122" t="n">
        <f aca="false">T70+IF($I$3="Forward", $D$9, $G$9)</f>
        <v>1.24</v>
      </c>
      <c r="V70" s="112" t="n">
        <f aca="false">T70*TAN(RADIANS(X$7))-(IF($B$4, 9.807, 32.174)*T70^2)/(2*W$7^2*COS(RADIANS(X$7))^2)+$D$7</f>
        <v>4.75462799340386</v>
      </c>
      <c r="W70" s="123" t="n">
        <f aca="false">MIN($V$5,V70)</f>
        <v>4.75462799340386</v>
      </c>
      <c r="X70" s="112"/>
      <c r="Y70" s="112" t="n">
        <f aca="false">Y69+Y$7/100</f>
        <v>1.24</v>
      </c>
      <c r="Z70" s="112" t="n">
        <f aca="false">Y70</f>
        <v>1.24</v>
      </c>
      <c r="AA70" s="112" t="n">
        <f aca="false">Y70*TAN(RADIANS(AC$7))-(IF($B$4, 9.807, 32.174)*Y70^2)/(2*AB$7^2*COS(RADIANS(AC$7))^2)+$D$7</f>
        <v>4.75462799340386</v>
      </c>
      <c r="AB70" s="123" t="n">
        <f aca="false">MIN($V$5,AA70)</f>
        <v>4.75462799340386</v>
      </c>
      <c r="AC70" s="112"/>
      <c r="AD70" s="112" t="n">
        <f aca="false">AD69+AD$7/100</f>
        <v>1.24</v>
      </c>
      <c r="AE70" s="122" t="n">
        <f aca="false">AD70-IF($I$3="Forward", $D$9, $G$9)</f>
        <v>1.24</v>
      </c>
      <c r="AF70" s="112" t="n">
        <f aca="false">AD70*TAN(RADIANS(AH$7))-(IF($B$4, 9.807, 32.174)*AD70^2)/(2*AG$7^2*COS(RADIANS(AH$7))^2)+$D$7</f>
        <v>4.75462799340386</v>
      </c>
      <c r="AG70" s="123" t="n">
        <f aca="false">MIN($V$5,AF70)</f>
        <v>4.75462799340386</v>
      </c>
      <c r="AH70" s="112"/>
      <c r="AI70" s="112" t="n">
        <f aca="false">AI69+AI$7/100</f>
        <v>1.24</v>
      </c>
      <c r="AJ70" s="122" t="n">
        <f aca="false">AI70+IF($I$3="Forward", $D$9, $G$9)</f>
        <v>1.24</v>
      </c>
      <c r="AK70" s="112" t="n">
        <f aca="false">AI70*TAN(RADIANS(AM$7))-(IF($B$4, 9.807, 32.174)*AI70^2)/(2*AL$7^2*COS(RADIANS(AM$7))^2)+$D$7</f>
        <v>4.75462799340386</v>
      </c>
      <c r="AL70" s="123" t="n">
        <f aca="false">MIN($V$5,AK70)</f>
        <v>4.75462799340386</v>
      </c>
      <c r="AM70" s="112"/>
      <c r="AN70" s="112" t="n">
        <f aca="false">AN69+AN$7/100</f>
        <v>1.24</v>
      </c>
      <c r="AO70" s="112" t="n">
        <f aca="false">AN70</f>
        <v>1.24</v>
      </c>
      <c r="AP70" s="112" t="n">
        <f aca="false">AN70*TAN(RADIANS(AR$7))-(IF($B$4, 9.807, 32.174)*AN70^2)/(2*AQ$7^2*COS(RADIANS(AR$7))^2)+$D$7</f>
        <v>4.75462799340386</v>
      </c>
      <c r="AQ70" s="123" t="n">
        <f aca="false">MIN($V$5,AP70)</f>
        <v>4.75462799340386</v>
      </c>
      <c r="AR70" s="112"/>
      <c r="AS70" s="112" t="n">
        <f aca="false">AS69+AS$7/100</f>
        <v>1.24</v>
      </c>
      <c r="AT70" s="122" t="n">
        <f aca="false">AS70-IF($I$3="Forward", $D$9, $G$9)</f>
        <v>1.24</v>
      </c>
      <c r="AU70" s="112" t="n">
        <f aca="false">AS70*TAN(RADIANS(AW$7))-(IF($B$4, 9.807, 32.174)*AS70^2)/(2*AV$7^2*COS(RADIANS(AW$7))^2)+$D$7</f>
        <v>4.75462799340386</v>
      </c>
      <c r="AV70" s="123" t="n">
        <f aca="false">MIN($V$5,AU70)</f>
        <v>4.75462799340386</v>
      </c>
      <c r="AW70" s="112"/>
      <c r="AX70" s="112" t="n">
        <f aca="false">AX69+AX$7/100</f>
        <v>1.24</v>
      </c>
      <c r="AY70" s="122" t="n">
        <f aca="false">AX70+IF($I$3="Forward", $D$9, $G$9)</f>
        <v>1.24</v>
      </c>
      <c r="AZ70" s="112" t="n">
        <f aca="false">AX70*TAN(RADIANS(BB$7))-(IF($B$4, 9.807, 32.174)*AX70^2)/(2*BA$7^2*COS(RADIANS(BB$7))^2)+$D$7</f>
        <v>4.75462799340386</v>
      </c>
      <c r="BA70" s="123" t="n">
        <f aca="false">MIN($V$5,AZ70)</f>
        <v>4.75462799340386</v>
      </c>
      <c r="BB70" s="112"/>
      <c r="BC70" s="112" t="n">
        <f aca="false">BC69+BC$7/100</f>
        <v>1.24</v>
      </c>
      <c r="BD70" s="112" t="n">
        <f aca="false">BC70</f>
        <v>1.24</v>
      </c>
      <c r="BE70" s="112" t="n">
        <f aca="false">BC70*TAN(RADIANS(BG$7))-(IF($B$4, 9.807, 32.174)*BC70^2)/(2*BF$7^2*COS(RADIANS(BG$7))^2)+$D$7</f>
        <v>4.75462799340386</v>
      </c>
      <c r="BF70" s="123" t="n">
        <f aca="false">MIN($V$5,BE70)</f>
        <v>4.75462799340386</v>
      </c>
      <c r="BG70" s="112"/>
      <c r="BH70" s="112" t="n">
        <f aca="false">BH69+BH$7/100</f>
        <v>1.24</v>
      </c>
      <c r="BI70" s="122" t="n">
        <f aca="false">BH70-IF($I$3="Forward", $D$9, $G$9)</f>
        <v>1.24</v>
      </c>
      <c r="BJ70" s="112" t="n">
        <f aca="false">BH70*TAN(RADIANS(BL$7))-(IF($B$4, 9.807, 32.174)*BH70^2)/(2*BK$7^2*COS(RADIANS(BL$7))^2)+$D$7</f>
        <v>4.75462799340386</v>
      </c>
      <c r="BK70" s="123" t="n">
        <f aca="false">MIN($V$5,BJ70)</f>
        <v>4.75462799340386</v>
      </c>
      <c r="BL70" s="112"/>
      <c r="BM70" s="112" t="n">
        <f aca="false">BM69+BM$7/100</f>
        <v>1.24</v>
      </c>
      <c r="BN70" s="122" t="n">
        <f aca="false">BM70+IF($I$3="Forward", $D$9, $G$9)</f>
        <v>1.24</v>
      </c>
      <c r="BO70" s="112" t="n">
        <f aca="false">BM70*TAN(RADIANS(BQ$7))-(IF($B$4, 9.807, 32.174)*BM70^2)/(2*BP$7^2*COS(RADIANS(BQ$7))^2)+$D$7</f>
        <v>4.75462799340386</v>
      </c>
      <c r="BP70" s="123" t="n">
        <f aca="false">MIN($V$5,BO70)</f>
        <v>4.75462799340386</v>
      </c>
      <c r="BQ70" s="112"/>
      <c r="BR70" s="112" t="n">
        <f aca="false">BR69+BR$7/100</f>
        <v>1.24</v>
      </c>
      <c r="BS70" s="112" t="n">
        <f aca="false">BR70</f>
        <v>1.24</v>
      </c>
      <c r="BT70" s="112" t="n">
        <f aca="false">BR70*TAN(RADIANS(BV$7))-(IF($B$4, 9.807, 32.174)*BR70^2)/(2*BU$7^2*COS(RADIANS(BV$7))^2)+$D$7</f>
        <v>4.75462799340386</v>
      </c>
      <c r="BU70" s="123" t="n">
        <f aca="false">MIN($V$5,BT70)</f>
        <v>4.75462799340386</v>
      </c>
      <c r="BV70" s="112"/>
      <c r="BW70" s="112" t="n">
        <f aca="false">BW69+BW$7/100</f>
        <v>1.24</v>
      </c>
      <c r="BX70" s="122" t="n">
        <f aca="false">BW70-IF($I$3="Forward", $D$9, $G$9)</f>
        <v>1.24</v>
      </c>
      <c r="BY70" s="112" t="n">
        <f aca="false">BW70*TAN(RADIANS(CA$7))-(IF($B$4, 9.807, 32.174)*BW70^2)/(2*BZ$7^2*COS(RADIANS(CA$7))^2)+$D$7</f>
        <v>4.75462799340386</v>
      </c>
      <c r="BZ70" s="123" t="n">
        <f aca="false">MIN($V$5,BY70)</f>
        <v>4.75462799340386</v>
      </c>
      <c r="CA70" s="112"/>
      <c r="CB70" s="112" t="n">
        <f aca="false">CB69+CB$7/100</f>
        <v>1.24</v>
      </c>
      <c r="CC70" s="122" t="n">
        <f aca="false">CB70+IF($I$3="Forward", $D$9, $G$9)</f>
        <v>1.24</v>
      </c>
      <c r="CD70" s="112" t="n">
        <f aca="false">CB70*TAN(RADIANS(CF$7))-(IF($B$4, 9.807, 32.174)*CB70^2)/(2*CE$7^2*COS(RADIANS(CF$7))^2)+$D$7</f>
        <v>4.75462799340386</v>
      </c>
      <c r="CE70" s="123" t="n">
        <f aca="false">MIN($V$5,CD70)</f>
        <v>4.75462799340386</v>
      </c>
      <c r="CF70" s="112"/>
      <c r="CG70" s="124" t="n">
        <f aca="false">CG69+CG$7/100</f>
        <v>1.24</v>
      </c>
      <c r="CH70" s="124" t="n">
        <f aca="false">CG70</f>
        <v>1.24</v>
      </c>
      <c r="CI70" s="124" t="n">
        <f aca="false">CG70*TAN(RADIANS(CK$7))-(IF($B$4, 9.807, 32.174)*CG70^2)/(2*CJ$7^2*COS(RADIANS(CK$7))^2)+$D$7</f>
        <v>4.75462799340386</v>
      </c>
      <c r="CJ70" s="123" t="n">
        <f aca="false">MIN($V$5,CI70)</f>
        <v>4.75462799340386</v>
      </c>
      <c r="CK70" s="124"/>
      <c r="CL70" s="112" t="n">
        <f aca="false">CL69+CL$7/100</f>
        <v>1.24</v>
      </c>
      <c r="CM70" s="122" t="n">
        <f aca="false">CL70-IF($I$3="Forward", $D$9, $G$9)</f>
        <v>1.24</v>
      </c>
      <c r="CN70" s="112" t="n">
        <f aca="false">CL70*TAN(RADIANS(CP$7))-(IF($B$4, 9.807, 32.174)*CL70^2)/(2*CO$7^2*COS(RADIANS(CP$7))^2)+$D$7</f>
        <v>4.75462799340386</v>
      </c>
      <c r="CO70" s="123" t="n">
        <f aca="false">MIN($V$5,CN70)</f>
        <v>4.75462799340386</v>
      </c>
      <c r="CP70" s="112"/>
      <c r="CQ70" s="112" t="n">
        <f aca="false">CQ69+CQ$7/100</f>
        <v>1.24</v>
      </c>
      <c r="CR70" s="122" t="n">
        <f aca="false">CQ70+IF($I$3="Forward", $D$9, $G$9)</f>
        <v>1.24</v>
      </c>
      <c r="CS70" s="112" t="n">
        <f aca="false">CQ70*TAN(RADIANS(CU$7))-(IF($B$4, 9.807, 32.174)*CQ70^2)/(2*CT$7^2*COS(RADIANS(CU$7))^2)+$D$7</f>
        <v>4.75462799340386</v>
      </c>
      <c r="CT70" s="123" t="n">
        <f aca="false">MIN($V$5,CS70)</f>
        <v>4.75462799340386</v>
      </c>
      <c r="CU70" s="112"/>
      <c r="CV70" s="112" t="n">
        <f aca="false">CV69+CV$7/100</f>
        <v>1.24</v>
      </c>
      <c r="CW70" s="112" t="n">
        <f aca="false">CV70</f>
        <v>1.24</v>
      </c>
      <c r="CX70" s="112" t="n">
        <f aca="false">CV70*TAN(RADIANS(CZ$7))-(IF($B$4, 9.807, 32.174)*CV70^2)/(2*CY$7^2*COS(RADIANS(CZ$7))^2)+$D$7</f>
        <v>4.75462799340386</v>
      </c>
      <c r="CY70" s="123" t="n">
        <f aca="false">MIN($V$5,CX70)</f>
        <v>4.75462799340386</v>
      </c>
      <c r="CZ70" s="112"/>
      <c r="DA70" s="112" t="n">
        <f aca="false">DA69+DA$7/100</f>
        <v>1.24</v>
      </c>
      <c r="DB70" s="122" t="n">
        <f aca="false">DA70-IF($I$3="Forward", $D$9, $G$9)</f>
        <v>1.24</v>
      </c>
      <c r="DC70" s="112" t="n">
        <f aca="false">DA70*TAN(RADIANS(DE$7))-(IF($B$4, 9.807, 32.174)*DA70^2)/(2*DD$7^2*COS(RADIANS(DE$7))^2)+$D$7</f>
        <v>4.75462799340386</v>
      </c>
      <c r="DD70" s="123" t="n">
        <f aca="false">MIN($V$5,DC70)</f>
        <v>4.75462799340386</v>
      </c>
      <c r="DE70" s="112"/>
      <c r="DF70" s="112" t="n">
        <f aca="false">DF69+DF$7/100</f>
        <v>1.24</v>
      </c>
      <c r="DG70" s="122" t="n">
        <f aca="false">DF70+IF($I$3="Forward", $D$9, $G$9)</f>
        <v>1.24</v>
      </c>
      <c r="DH70" s="112" t="n">
        <f aca="false">DF70*TAN(RADIANS(DJ$7))-(IF($B$4, 9.807, 32.174)*DF70^2)/(2*DI$7^2*COS(RADIANS(DJ$7))^2)+$D$7</f>
        <v>4.75462799340386</v>
      </c>
      <c r="DI70" s="123" t="n">
        <f aca="false">MIN($V$5,DH70)</f>
        <v>4.75462799340386</v>
      </c>
      <c r="DJ70" s="112"/>
      <c r="DK70" s="112" t="n">
        <f aca="false">DK69+DK$7/100</f>
        <v>1.24</v>
      </c>
      <c r="DL70" s="112" t="n">
        <f aca="false">DK70</f>
        <v>1.24</v>
      </c>
      <c r="DM70" s="112" t="n">
        <f aca="false">DK70*TAN(RADIANS(DO$7))-(IF($B$4, 9.807, 32.174)*DK70^2)/(2*DN$7^2*COS(RADIANS(DO$7))^2)+$D$7</f>
        <v>4.75462799340386</v>
      </c>
      <c r="DN70" s="123" t="n">
        <f aca="false">MIN($V$5,DM70)</f>
        <v>4.75462799340386</v>
      </c>
      <c r="DO70" s="112"/>
      <c r="DP70" s="112" t="n">
        <f aca="false">DP69+DP$7/100</f>
        <v>1.24</v>
      </c>
      <c r="DQ70" s="122" t="n">
        <f aca="false">DP70-IF($I$3="Forward", $D$9, $G$9)</f>
        <v>1.24</v>
      </c>
      <c r="DR70" s="112" t="n">
        <f aca="false">DP70*TAN(RADIANS(DT$7))-(IF($B$4, 9.807, 32.174)*DP70^2)/(2*DS$7^2*COS(RADIANS(DT$7))^2)+$D$7</f>
        <v>4.75462799340386</v>
      </c>
      <c r="DS70" s="123" t="n">
        <f aca="false">MIN($V$5,DR70)</f>
        <v>4.75462799340386</v>
      </c>
      <c r="DT70" s="112"/>
      <c r="DU70" s="112" t="n">
        <f aca="false">DU69+DU$7/100</f>
        <v>1.24</v>
      </c>
      <c r="DV70" s="122" t="n">
        <f aca="false">DU70+IF($I$3="Forward", $D$9, $G$9)</f>
        <v>1.24</v>
      </c>
      <c r="DW70" s="112" t="n">
        <f aca="false">DU70*TAN(RADIANS(DY$7))-(IF($B$4, 9.807, 32.174)*DU70^2)/(2*DX$7^2*COS(RADIANS(DY$7))^2)+$D$7</f>
        <v>4.75462799340386</v>
      </c>
      <c r="DX70" s="123" t="n">
        <f aca="false">MIN($V$5,DW70)</f>
        <v>4.75462799340386</v>
      </c>
      <c r="DY70" s="112"/>
      <c r="DZ70" s="112" t="n">
        <f aca="false">DZ69+DZ$7/100</f>
        <v>1.24</v>
      </c>
      <c r="EA70" s="112" t="n">
        <f aca="false">DZ70</f>
        <v>1.24</v>
      </c>
      <c r="EB70" s="112" t="n">
        <f aca="false">DZ70*TAN(RADIANS(ED$7))-(IF($B$4, 9.807, 32.174)*DZ70^2)/(2*EC$7^2*COS(RADIANS(ED$7))^2)+$D$7</f>
        <v>4.75462799340386</v>
      </c>
      <c r="EC70" s="123" t="n">
        <f aca="false">MIN($V$5,EB70)</f>
        <v>4.75462799340386</v>
      </c>
      <c r="ED70" s="112"/>
      <c r="EE70" s="112" t="n">
        <f aca="false">EE69+EE$7/100</f>
        <v>1.24</v>
      </c>
      <c r="EF70" s="122" t="n">
        <f aca="false">EE70-IF($I$3="Forward", $D$9, $G$9)</f>
        <v>1.24</v>
      </c>
      <c r="EG70" s="112" t="n">
        <f aca="false">EE70*TAN(RADIANS(EI$7))-(IF($B$4, 9.807, 32.174)*EE70^2)/(2*EH$7^2*COS(RADIANS(EI$7))^2)+$D$7</f>
        <v>4.75462799340386</v>
      </c>
      <c r="EH70" s="123" t="n">
        <f aca="false">MIN($V$5,EG70)</f>
        <v>4.75462799340386</v>
      </c>
      <c r="EI70" s="112"/>
      <c r="EJ70" s="112" t="n">
        <f aca="false">EJ69+EJ$7/100</f>
        <v>1.24</v>
      </c>
      <c r="EK70" s="122" t="n">
        <f aca="false">EJ70+IF($I$3="Forward", $D$9, $G$9)</f>
        <v>1.24</v>
      </c>
      <c r="EL70" s="112" t="n">
        <f aca="false">EJ70*TAN(RADIANS(EN$7))-(IF($B$4, 9.807, 32.174)*EJ70^2)/(2*EM$7^2*COS(RADIANS(EN$7))^2)+$D$7</f>
        <v>4.75462799340386</v>
      </c>
      <c r="EM70" s="123" t="n">
        <f aca="false">MIN($V$5,EL70)</f>
        <v>4.75462799340386</v>
      </c>
      <c r="EN70" s="112"/>
      <c r="EO70" s="112" t="n">
        <f aca="false">EO69+EO$7/100</f>
        <v>1.24</v>
      </c>
      <c r="EP70" s="112" t="n">
        <f aca="false">EO70</f>
        <v>1.24</v>
      </c>
      <c r="EQ70" s="112" t="n">
        <f aca="false">EO70*TAN(RADIANS(ES$7))-(IF($B$4, 9.807, 32.174)*EO70^2)/(2*ER$7^2*COS(RADIANS(ES$7))^2)+$D$7</f>
        <v>4.75462799340386</v>
      </c>
      <c r="ER70" s="123" t="n">
        <f aca="false">MIN($V$5,EQ70)</f>
        <v>4.75462799340386</v>
      </c>
      <c r="ES70" s="112"/>
      <c r="ET70" s="112" t="n">
        <f aca="false">ET69+ET$7/100</f>
        <v>1.24</v>
      </c>
      <c r="EU70" s="122" t="n">
        <f aca="false">ET70-IF($I$3="Forward", $D$9, $G$9)</f>
        <v>1.24</v>
      </c>
      <c r="EV70" s="112" t="n">
        <f aca="false">ET70*TAN(RADIANS(EX$7))-(IF($B$4, 9.807, 32.174)*ET70^2)/(2*EW$7^2*COS(RADIANS(EX$7))^2)+$D$7</f>
        <v>4.75462799340386</v>
      </c>
      <c r="EW70" s="123" t="n">
        <f aca="false">MIN($V$5,EV70)</f>
        <v>4.75462799340386</v>
      </c>
      <c r="EX70" s="112"/>
    </row>
    <row r="71" s="131" customFormat="true" ht="15" hidden="false" customHeight="false" outlineLevel="0" collapsed="false">
      <c r="T71" s="112" t="n">
        <f aca="false">T70+T$7/100</f>
        <v>1.26</v>
      </c>
      <c r="U71" s="122" t="n">
        <f aca="false">T71+IF($I$3="Forward", $D$9, $G$9)</f>
        <v>1.26</v>
      </c>
      <c r="V71" s="112" t="n">
        <f aca="false">T71*TAN(RADIANS(X$7))-(IF($B$4, 9.807, 32.174)*T71^2)/(2*W$7^2*COS(RADIANS(X$7))^2)+$D$7</f>
        <v>4.74277158430578</v>
      </c>
      <c r="W71" s="123" t="n">
        <f aca="false">MIN($V$5,V71)</f>
        <v>4.74277158430578</v>
      </c>
      <c r="X71" s="112"/>
      <c r="Y71" s="112" t="n">
        <f aca="false">Y70+Y$7/100</f>
        <v>1.26</v>
      </c>
      <c r="Z71" s="112" t="n">
        <f aca="false">Y71</f>
        <v>1.26</v>
      </c>
      <c r="AA71" s="112" t="n">
        <f aca="false">Y71*TAN(RADIANS(AC$7))-(IF($B$4, 9.807, 32.174)*Y71^2)/(2*AB$7^2*COS(RADIANS(AC$7))^2)+$D$7</f>
        <v>4.74277158430578</v>
      </c>
      <c r="AB71" s="123" t="n">
        <f aca="false">MIN($V$5,AA71)</f>
        <v>4.74277158430578</v>
      </c>
      <c r="AC71" s="112"/>
      <c r="AD71" s="112" t="n">
        <f aca="false">AD70+AD$7/100</f>
        <v>1.26</v>
      </c>
      <c r="AE71" s="122" t="n">
        <f aca="false">AD71-IF($I$3="Forward", $D$9, $G$9)</f>
        <v>1.26</v>
      </c>
      <c r="AF71" s="112" t="n">
        <f aca="false">AD71*TAN(RADIANS(AH$7))-(IF($B$4, 9.807, 32.174)*AD71^2)/(2*AG$7^2*COS(RADIANS(AH$7))^2)+$D$7</f>
        <v>4.74277158430578</v>
      </c>
      <c r="AG71" s="123" t="n">
        <f aca="false">MIN($V$5,AF71)</f>
        <v>4.74277158430578</v>
      </c>
      <c r="AH71" s="112"/>
      <c r="AI71" s="112" t="n">
        <f aca="false">AI70+AI$7/100</f>
        <v>1.26</v>
      </c>
      <c r="AJ71" s="122" t="n">
        <f aca="false">AI71+IF($I$3="Forward", $D$9, $G$9)</f>
        <v>1.26</v>
      </c>
      <c r="AK71" s="112" t="n">
        <f aca="false">AI71*TAN(RADIANS(AM$7))-(IF($B$4, 9.807, 32.174)*AI71^2)/(2*AL$7^2*COS(RADIANS(AM$7))^2)+$D$7</f>
        <v>4.74277158430578</v>
      </c>
      <c r="AL71" s="123" t="n">
        <f aca="false">MIN($V$5,AK71)</f>
        <v>4.74277158430578</v>
      </c>
      <c r="AM71" s="112"/>
      <c r="AN71" s="112" t="n">
        <f aca="false">AN70+AN$7/100</f>
        <v>1.26</v>
      </c>
      <c r="AO71" s="112" t="n">
        <f aca="false">AN71</f>
        <v>1.26</v>
      </c>
      <c r="AP71" s="112" t="n">
        <f aca="false">AN71*TAN(RADIANS(AR$7))-(IF($B$4, 9.807, 32.174)*AN71^2)/(2*AQ$7^2*COS(RADIANS(AR$7))^2)+$D$7</f>
        <v>4.74277158430578</v>
      </c>
      <c r="AQ71" s="123" t="n">
        <f aca="false">MIN($V$5,AP71)</f>
        <v>4.74277158430578</v>
      </c>
      <c r="AR71" s="112"/>
      <c r="AS71" s="112" t="n">
        <f aca="false">AS70+AS$7/100</f>
        <v>1.26</v>
      </c>
      <c r="AT71" s="122" t="n">
        <f aca="false">AS71-IF($I$3="Forward", $D$9, $G$9)</f>
        <v>1.26</v>
      </c>
      <c r="AU71" s="112" t="n">
        <f aca="false">AS71*TAN(RADIANS(AW$7))-(IF($B$4, 9.807, 32.174)*AS71^2)/(2*AV$7^2*COS(RADIANS(AW$7))^2)+$D$7</f>
        <v>4.74277158430578</v>
      </c>
      <c r="AV71" s="123" t="n">
        <f aca="false">MIN($V$5,AU71)</f>
        <v>4.74277158430578</v>
      </c>
      <c r="AW71" s="112"/>
      <c r="AX71" s="112" t="n">
        <f aca="false">AX70+AX$7/100</f>
        <v>1.26</v>
      </c>
      <c r="AY71" s="122" t="n">
        <f aca="false">AX71+IF($I$3="Forward", $D$9, $G$9)</f>
        <v>1.26</v>
      </c>
      <c r="AZ71" s="112" t="n">
        <f aca="false">AX71*TAN(RADIANS(BB$7))-(IF($B$4, 9.807, 32.174)*AX71^2)/(2*BA$7^2*COS(RADIANS(BB$7))^2)+$D$7</f>
        <v>4.74277158430578</v>
      </c>
      <c r="BA71" s="123" t="n">
        <f aca="false">MIN($V$5,AZ71)</f>
        <v>4.74277158430578</v>
      </c>
      <c r="BB71" s="112"/>
      <c r="BC71" s="112" t="n">
        <f aca="false">BC70+BC$7/100</f>
        <v>1.26</v>
      </c>
      <c r="BD71" s="112" t="n">
        <f aca="false">BC71</f>
        <v>1.26</v>
      </c>
      <c r="BE71" s="112" t="n">
        <f aca="false">BC71*TAN(RADIANS(BG$7))-(IF($B$4, 9.807, 32.174)*BC71^2)/(2*BF$7^2*COS(RADIANS(BG$7))^2)+$D$7</f>
        <v>4.74277158430578</v>
      </c>
      <c r="BF71" s="123" t="n">
        <f aca="false">MIN($V$5,BE71)</f>
        <v>4.74277158430578</v>
      </c>
      <c r="BG71" s="112"/>
      <c r="BH71" s="112" t="n">
        <f aca="false">BH70+BH$7/100</f>
        <v>1.26</v>
      </c>
      <c r="BI71" s="122" t="n">
        <f aca="false">BH71-IF($I$3="Forward", $D$9, $G$9)</f>
        <v>1.26</v>
      </c>
      <c r="BJ71" s="112" t="n">
        <f aca="false">BH71*TAN(RADIANS(BL$7))-(IF($B$4, 9.807, 32.174)*BH71^2)/(2*BK$7^2*COS(RADIANS(BL$7))^2)+$D$7</f>
        <v>4.74277158430578</v>
      </c>
      <c r="BK71" s="123" t="n">
        <f aca="false">MIN($V$5,BJ71)</f>
        <v>4.74277158430578</v>
      </c>
      <c r="BL71" s="112"/>
      <c r="BM71" s="112" t="n">
        <f aca="false">BM70+BM$7/100</f>
        <v>1.26</v>
      </c>
      <c r="BN71" s="122" t="n">
        <f aca="false">BM71+IF($I$3="Forward", $D$9, $G$9)</f>
        <v>1.26</v>
      </c>
      <c r="BO71" s="112" t="n">
        <f aca="false">BM71*TAN(RADIANS(BQ$7))-(IF($B$4, 9.807, 32.174)*BM71^2)/(2*BP$7^2*COS(RADIANS(BQ$7))^2)+$D$7</f>
        <v>4.74277158430578</v>
      </c>
      <c r="BP71" s="123" t="n">
        <f aca="false">MIN($V$5,BO71)</f>
        <v>4.74277158430578</v>
      </c>
      <c r="BQ71" s="112"/>
      <c r="BR71" s="112" t="n">
        <f aca="false">BR70+BR$7/100</f>
        <v>1.26</v>
      </c>
      <c r="BS71" s="112" t="n">
        <f aca="false">BR71</f>
        <v>1.26</v>
      </c>
      <c r="BT71" s="112" t="n">
        <f aca="false">BR71*TAN(RADIANS(BV$7))-(IF($B$4, 9.807, 32.174)*BR71^2)/(2*BU$7^2*COS(RADIANS(BV$7))^2)+$D$7</f>
        <v>4.74277158430578</v>
      </c>
      <c r="BU71" s="123" t="n">
        <f aca="false">MIN($V$5,BT71)</f>
        <v>4.74277158430578</v>
      </c>
      <c r="BV71" s="112"/>
      <c r="BW71" s="112" t="n">
        <f aca="false">BW70+BW$7/100</f>
        <v>1.26</v>
      </c>
      <c r="BX71" s="122" t="n">
        <f aca="false">BW71-IF($I$3="Forward", $D$9, $G$9)</f>
        <v>1.26</v>
      </c>
      <c r="BY71" s="112" t="n">
        <f aca="false">BW71*TAN(RADIANS(CA$7))-(IF($B$4, 9.807, 32.174)*BW71^2)/(2*BZ$7^2*COS(RADIANS(CA$7))^2)+$D$7</f>
        <v>4.74277158430578</v>
      </c>
      <c r="BZ71" s="123" t="n">
        <f aca="false">MIN($V$5,BY71)</f>
        <v>4.74277158430578</v>
      </c>
      <c r="CA71" s="112"/>
      <c r="CB71" s="112" t="n">
        <f aca="false">CB70+CB$7/100</f>
        <v>1.26</v>
      </c>
      <c r="CC71" s="122" t="n">
        <f aca="false">CB71+IF($I$3="Forward", $D$9, $G$9)</f>
        <v>1.26</v>
      </c>
      <c r="CD71" s="112" t="n">
        <f aca="false">CB71*TAN(RADIANS(CF$7))-(IF($B$4, 9.807, 32.174)*CB71^2)/(2*CE$7^2*COS(RADIANS(CF$7))^2)+$D$7</f>
        <v>4.74277158430578</v>
      </c>
      <c r="CE71" s="123" t="n">
        <f aca="false">MIN($V$5,CD71)</f>
        <v>4.74277158430578</v>
      </c>
      <c r="CF71" s="112"/>
      <c r="CG71" s="124" t="n">
        <f aca="false">CG70+CG$7/100</f>
        <v>1.26</v>
      </c>
      <c r="CH71" s="124" t="n">
        <f aca="false">CG71</f>
        <v>1.26</v>
      </c>
      <c r="CI71" s="124" t="n">
        <f aca="false">CG71*TAN(RADIANS(CK$7))-(IF($B$4, 9.807, 32.174)*CG71^2)/(2*CJ$7^2*COS(RADIANS(CK$7))^2)+$D$7</f>
        <v>4.74277158430578</v>
      </c>
      <c r="CJ71" s="123" t="n">
        <f aca="false">MIN($V$5,CI71)</f>
        <v>4.74277158430578</v>
      </c>
      <c r="CK71" s="124"/>
      <c r="CL71" s="112" t="n">
        <f aca="false">CL70+CL$7/100</f>
        <v>1.26</v>
      </c>
      <c r="CM71" s="122" t="n">
        <f aca="false">CL71-IF($I$3="Forward", $D$9, $G$9)</f>
        <v>1.26</v>
      </c>
      <c r="CN71" s="112" t="n">
        <f aca="false">CL71*TAN(RADIANS(CP$7))-(IF($B$4, 9.807, 32.174)*CL71^2)/(2*CO$7^2*COS(RADIANS(CP$7))^2)+$D$7</f>
        <v>4.74277158430578</v>
      </c>
      <c r="CO71" s="123" t="n">
        <f aca="false">MIN($V$5,CN71)</f>
        <v>4.74277158430578</v>
      </c>
      <c r="CP71" s="112"/>
      <c r="CQ71" s="112" t="n">
        <f aca="false">CQ70+CQ$7/100</f>
        <v>1.26</v>
      </c>
      <c r="CR71" s="122" t="n">
        <f aca="false">CQ71+IF($I$3="Forward", $D$9, $G$9)</f>
        <v>1.26</v>
      </c>
      <c r="CS71" s="112" t="n">
        <f aca="false">CQ71*TAN(RADIANS(CU$7))-(IF($B$4, 9.807, 32.174)*CQ71^2)/(2*CT$7^2*COS(RADIANS(CU$7))^2)+$D$7</f>
        <v>4.74277158430578</v>
      </c>
      <c r="CT71" s="123" t="n">
        <f aca="false">MIN($V$5,CS71)</f>
        <v>4.74277158430578</v>
      </c>
      <c r="CU71" s="112"/>
      <c r="CV71" s="112" t="n">
        <f aca="false">CV70+CV$7/100</f>
        <v>1.26</v>
      </c>
      <c r="CW71" s="112" t="n">
        <f aca="false">CV71</f>
        <v>1.26</v>
      </c>
      <c r="CX71" s="112" t="n">
        <f aca="false">CV71*TAN(RADIANS(CZ$7))-(IF($B$4, 9.807, 32.174)*CV71^2)/(2*CY$7^2*COS(RADIANS(CZ$7))^2)+$D$7</f>
        <v>4.74277158430578</v>
      </c>
      <c r="CY71" s="123" t="n">
        <f aca="false">MIN($V$5,CX71)</f>
        <v>4.74277158430578</v>
      </c>
      <c r="CZ71" s="112"/>
      <c r="DA71" s="112" t="n">
        <f aca="false">DA70+DA$7/100</f>
        <v>1.26</v>
      </c>
      <c r="DB71" s="122" t="n">
        <f aca="false">DA71-IF($I$3="Forward", $D$9, $G$9)</f>
        <v>1.26</v>
      </c>
      <c r="DC71" s="112" t="n">
        <f aca="false">DA71*TAN(RADIANS(DE$7))-(IF($B$4, 9.807, 32.174)*DA71^2)/(2*DD$7^2*COS(RADIANS(DE$7))^2)+$D$7</f>
        <v>4.74277158430578</v>
      </c>
      <c r="DD71" s="123" t="n">
        <f aca="false">MIN($V$5,DC71)</f>
        <v>4.74277158430578</v>
      </c>
      <c r="DE71" s="112"/>
      <c r="DF71" s="112" t="n">
        <f aca="false">DF70+DF$7/100</f>
        <v>1.26</v>
      </c>
      <c r="DG71" s="122" t="n">
        <f aca="false">DF71+IF($I$3="Forward", $D$9, $G$9)</f>
        <v>1.26</v>
      </c>
      <c r="DH71" s="112" t="n">
        <f aca="false">DF71*TAN(RADIANS(DJ$7))-(IF($B$4, 9.807, 32.174)*DF71^2)/(2*DI$7^2*COS(RADIANS(DJ$7))^2)+$D$7</f>
        <v>4.74277158430578</v>
      </c>
      <c r="DI71" s="123" t="n">
        <f aca="false">MIN($V$5,DH71)</f>
        <v>4.74277158430578</v>
      </c>
      <c r="DJ71" s="112"/>
      <c r="DK71" s="112" t="n">
        <f aca="false">DK70+DK$7/100</f>
        <v>1.26</v>
      </c>
      <c r="DL71" s="112" t="n">
        <f aca="false">DK71</f>
        <v>1.26</v>
      </c>
      <c r="DM71" s="112" t="n">
        <f aca="false">DK71*TAN(RADIANS(DO$7))-(IF($B$4, 9.807, 32.174)*DK71^2)/(2*DN$7^2*COS(RADIANS(DO$7))^2)+$D$7</f>
        <v>4.74277158430578</v>
      </c>
      <c r="DN71" s="123" t="n">
        <f aca="false">MIN($V$5,DM71)</f>
        <v>4.74277158430578</v>
      </c>
      <c r="DO71" s="112"/>
      <c r="DP71" s="112" t="n">
        <f aca="false">DP70+DP$7/100</f>
        <v>1.26</v>
      </c>
      <c r="DQ71" s="122" t="n">
        <f aca="false">DP71-IF($I$3="Forward", $D$9, $G$9)</f>
        <v>1.26</v>
      </c>
      <c r="DR71" s="112" t="n">
        <f aca="false">DP71*TAN(RADIANS(DT$7))-(IF($B$4, 9.807, 32.174)*DP71^2)/(2*DS$7^2*COS(RADIANS(DT$7))^2)+$D$7</f>
        <v>4.74277158430578</v>
      </c>
      <c r="DS71" s="123" t="n">
        <f aca="false">MIN($V$5,DR71)</f>
        <v>4.74277158430578</v>
      </c>
      <c r="DT71" s="112"/>
      <c r="DU71" s="112" t="n">
        <f aca="false">DU70+DU$7/100</f>
        <v>1.26</v>
      </c>
      <c r="DV71" s="122" t="n">
        <f aca="false">DU71+IF($I$3="Forward", $D$9, $G$9)</f>
        <v>1.26</v>
      </c>
      <c r="DW71" s="112" t="n">
        <f aca="false">DU71*TAN(RADIANS(DY$7))-(IF($B$4, 9.807, 32.174)*DU71^2)/(2*DX$7^2*COS(RADIANS(DY$7))^2)+$D$7</f>
        <v>4.74277158430578</v>
      </c>
      <c r="DX71" s="123" t="n">
        <f aca="false">MIN($V$5,DW71)</f>
        <v>4.74277158430578</v>
      </c>
      <c r="DY71" s="112"/>
      <c r="DZ71" s="112" t="n">
        <f aca="false">DZ70+DZ$7/100</f>
        <v>1.26</v>
      </c>
      <c r="EA71" s="112" t="n">
        <f aca="false">DZ71</f>
        <v>1.26</v>
      </c>
      <c r="EB71" s="112" t="n">
        <f aca="false">DZ71*TAN(RADIANS(ED$7))-(IF($B$4, 9.807, 32.174)*DZ71^2)/(2*EC$7^2*COS(RADIANS(ED$7))^2)+$D$7</f>
        <v>4.74277158430578</v>
      </c>
      <c r="EC71" s="123" t="n">
        <f aca="false">MIN($V$5,EB71)</f>
        <v>4.74277158430578</v>
      </c>
      <c r="ED71" s="112"/>
      <c r="EE71" s="112" t="n">
        <f aca="false">EE70+EE$7/100</f>
        <v>1.26</v>
      </c>
      <c r="EF71" s="122" t="n">
        <f aca="false">EE71-IF($I$3="Forward", $D$9, $G$9)</f>
        <v>1.26</v>
      </c>
      <c r="EG71" s="112" t="n">
        <f aca="false">EE71*TAN(RADIANS(EI$7))-(IF($B$4, 9.807, 32.174)*EE71^2)/(2*EH$7^2*COS(RADIANS(EI$7))^2)+$D$7</f>
        <v>4.74277158430578</v>
      </c>
      <c r="EH71" s="123" t="n">
        <f aca="false">MIN($V$5,EG71)</f>
        <v>4.74277158430578</v>
      </c>
      <c r="EI71" s="112"/>
      <c r="EJ71" s="112" t="n">
        <f aca="false">EJ70+EJ$7/100</f>
        <v>1.26</v>
      </c>
      <c r="EK71" s="122" t="n">
        <f aca="false">EJ71+IF($I$3="Forward", $D$9, $G$9)</f>
        <v>1.26</v>
      </c>
      <c r="EL71" s="112" t="n">
        <f aca="false">EJ71*TAN(RADIANS(EN$7))-(IF($B$4, 9.807, 32.174)*EJ71^2)/(2*EM$7^2*COS(RADIANS(EN$7))^2)+$D$7</f>
        <v>4.74277158430578</v>
      </c>
      <c r="EM71" s="123" t="n">
        <f aca="false">MIN($V$5,EL71)</f>
        <v>4.74277158430578</v>
      </c>
      <c r="EN71" s="112"/>
      <c r="EO71" s="112" t="n">
        <f aca="false">EO70+EO$7/100</f>
        <v>1.26</v>
      </c>
      <c r="EP71" s="112" t="n">
        <f aca="false">EO71</f>
        <v>1.26</v>
      </c>
      <c r="EQ71" s="112" t="n">
        <f aca="false">EO71*TAN(RADIANS(ES$7))-(IF($B$4, 9.807, 32.174)*EO71^2)/(2*ER$7^2*COS(RADIANS(ES$7))^2)+$D$7</f>
        <v>4.74277158430578</v>
      </c>
      <c r="ER71" s="123" t="n">
        <f aca="false">MIN($V$5,EQ71)</f>
        <v>4.74277158430578</v>
      </c>
      <c r="ES71" s="112"/>
      <c r="ET71" s="112" t="n">
        <f aca="false">ET70+ET$7/100</f>
        <v>1.26</v>
      </c>
      <c r="EU71" s="122" t="n">
        <f aca="false">ET71-IF($I$3="Forward", $D$9, $G$9)</f>
        <v>1.26</v>
      </c>
      <c r="EV71" s="112" t="n">
        <f aca="false">ET71*TAN(RADIANS(EX$7))-(IF($B$4, 9.807, 32.174)*ET71^2)/(2*EW$7^2*COS(RADIANS(EX$7))^2)+$D$7</f>
        <v>4.74277158430578</v>
      </c>
      <c r="EW71" s="123" t="n">
        <f aca="false">MIN($V$5,EV71)</f>
        <v>4.74277158430578</v>
      </c>
      <c r="EX71" s="112"/>
    </row>
    <row r="72" s="131" customFormat="true" ht="15" hidden="false" customHeight="false" outlineLevel="0" collapsed="false">
      <c r="T72" s="112" t="n">
        <f aca="false">T71+T$7/100</f>
        <v>1.28</v>
      </c>
      <c r="U72" s="122" t="n">
        <f aca="false">T72+IF($I$3="Forward", $D$9, $G$9)</f>
        <v>1.28</v>
      </c>
      <c r="V72" s="112" t="n">
        <f aca="false">T72*TAN(RADIANS(X$7))-(IF($B$4, 9.807, 32.174)*T72^2)/(2*W$7^2*COS(RADIANS(X$7))^2)+$D$7</f>
        <v>4.72820666247984</v>
      </c>
      <c r="W72" s="123" t="n">
        <f aca="false">MIN($V$5,V72)</f>
        <v>4.72820666247984</v>
      </c>
      <c r="X72" s="112"/>
      <c r="Y72" s="112" t="n">
        <f aca="false">Y71+Y$7/100</f>
        <v>1.28</v>
      </c>
      <c r="Z72" s="112" t="n">
        <f aca="false">Y72</f>
        <v>1.28</v>
      </c>
      <c r="AA72" s="112" t="n">
        <f aca="false">Y72*TAN(RADIANS(AC$7))-(IF($B$4, 9.807, 32.174)*Y72^2)/(2*AB$7^2*COS(RADIANS(AC$7))^2)+$D$7</f>
        <v>4.72820666247984</v>
      </c>
      <c r="AB72" s="123" t="n">
        <f aca="false">MIN($V$5,AA72)</f>
        <v>4.72820666247984</v>
      </c>
      <c r="AC72" s="112"/>
      <c r="AD72" s="112" t="n">
        <f aca="false">AD71+AD$7/100</f>
        <v>1.28</v>
      </c>
      <c r="AE72" s="122" t="n">
        <f aca="false">AD72-IF($I$3="Forward", $D$9, $G$9)</f>
        <v>1.28</v>
      </c>
      <c r="AF72" s="112" t="n">
        <f aca="false">AD72*TAN(RADIANS(AH$7))-(IF($B$4, 9.807, 32.174)*AD72^2)/(2*AG$7^2*COS(RADIANS(AH$7))^2)+$D$7</f>
        <v>4.72820666247984</v>
      </c>
      <c r="AG72" s="123" t="n">
        <f aca="false">MIN($V$5,AF72)</f>
        <v>4.72820666247984</v>
      </c>
      <c r="AH72" s="112"/>
      <c r="AI72" s="112" t="n">
        <f aca="false">AI71+AI$7/100</f>
        <v>1.28</v>
      </c>
      <c r="AJ72" s="122" t="n">
        <f aca="false">AI72+IF($I$3="Forward", $D$9, $G$9)</f>
        <v>1.28</v>
      </c>
      <c r="AK72" s="112" t="n">
        <f aca="false">AI72*TAN(RADIANS(AM$7))-(IF($B$4, 9.807, 32.174)*AI72^2)/(2*AL$7^2*COS(RADIANS(AM$7))^2)+$D$7</f>
        <v>4.72820666247984</v>
      </c>
      <c r="AL72" s="123" t="n">
        <f aca="false">MIN($V$5,AK72)</f>
        <v>4.72820666247984</v>
      </c>
      <c r="AM72" s="112"/>
      <c r="AN72" s="112" t="n">
        <f aca="false">AN71+AN$7/100</f>
        <v>1.28</v>
      </c>
      <c r="AO72" s="112" t="n">
        <f aca="false">AN72</f>
        <v>1.28</v>
      </c>
      <c r="AP72" s="112" t="n">
        <f aca="false">AN72*TAN(RADIANS(AR$7))-(IF($B$4, 9.807, 32.174)*AN72^2)/(2*AQ$7^2*COS(RADIANS(AR$7))^2)+$D$7</f>
        <v>4.72820666247984</v>
      </c>
      <c r="AQ72" s="123" t="n">
        <f aca="false">MIN($V$5,AP72)</f>
        <v>4.72820666247984</v>
      </c>
      <c r="AR72" s="112"/>
      <c r="AS72" s="112" t="n">
        <f aca="false">AS71+AS$7/100</f>
        <v>1.28</v>
      </c>
      <c r="AT72" s="122" t="n">
        <f aca="false">AS72-IF($I$3="Forward", $D$9, $G$9)</f>
        <v>1.28</v>
      </c>
      <c r="AU72" s="112" t="n">
        <f aca="false">AS72*TAN(RADIANS(AW$7))-(IF($B$4, 9.807, 32.174)*AS72^2)/(2*AV$7^2*COS(RADIANS(AW$7))^2)+$D$7</f>
        <v>4.72820666247984</v>
      </c>
      <c r="AV72" s="123" t="n">
        <f aca="false">MIN($V$5,AU72)</f>
        <v>4.72820666247984</v>
      </c>
      <c r="AW72" s="112"/>
      <c r="AX72" s="112" t="n">
        <f aca="false">AX71+AX$7/100</f>
        <v>1.28</v>
      </c>
      <c r="AY72" s="122" t="n">
        <f aca="false">AX72+IF($I$3="Forward", $D$9, $G$9)</f>
        <v>1.28</v>
      </c>
      <c r="AZ72" s="112" t="n">
        <f aca="false">AX72*TAN(RADIANS(BB$7))-(IF($B$4, 9.807, 32.174)*AX72^2)/(2*BA$7^2*COS(RADIANS(BB$7))^2)+$D$7</f>
        <v>4.72820666247984</v>
      </c>
      <c r="BA72" s="123" t="n">
        <f aca="false">MIN($V$5,AZ72)</f>
        <v>4.72820666247984</v>
      </c>
      <c r="BB72" s="112"/>
      <c r="BC72" s="112" t="n">
        <f aca="false">BC71+BC$7/100</f>
        <v>1.28</v>
      </c>
      <c r="BD72" s="112" t="n">
        <f aca="false">BC72</f>
        <v>1.28</v>
      </c>
      <c r="BE72" s="112" t="n">
        <f aca="false">BC72*TAN(RADIANS(BG$7))-(IF($B$4, 9.807, 32.174)*BC72^2)/(2*BF$7^2*COS(RADIANS(BG$7))^2)+$D$7</f>
        <v>4.72820666247984</v>
      </c>
      <c r="BF72" s="123" t="n">
        <f aca="false">MIN($V$5,BE72)</f>
        <v>4.72820666247984</v>
      </c>
      <c r="BG72" s="112"/>
      <c r="BH72" s="112" t="n">
        <f aca="false">BH71+BH$7/100</f>
        <v>1.28</v>
      </c>
      <c r="BI72" s="122" t="n">
        <f aca="false">BH72-IF($I$3="Forward", $D$9, $G$9)</f>
        <v>1.28</v>
      </c>
      <c r="BJ72" s="112" t="n">
        <f aca="false">BH72*TAN(RADIANS(BL$7))-(IF($B$4, 9.807, 32.174)*BH72^2)/(2*BK$7^2*COS(RADIANS(BL$7))^2)+$D$7</f>
        <v>4.72820666247984</v>
      </c>
      <c r="BK72" s="123" t="n">
        <f aca="false">MIN($V$5,BJ72)</f>
        <v>4.72820666247984</v>
      </c>
      <c r="BL72" s="112"/>
      <c r="BM72" s="112" t="n">
        <f aca="false">BM71+BM$7/100</f>
        <v>1.28</v>
      </c>
      <c r="BN72" s="122" t="n">
        <f aca="false">BM72+IF($I$3="Forward", $D$9, $G$9)</f>
        <v>1.28</v>
      </c>
      <c r="BO72" s="112" t="n">
        <f aca="false">BM72*TAN(RADIANS(BQ$7))-(IF($B$4, 9.807, 32.174)*BM72^2)/(2*BP$7^2*COS(RADIANS(BQ$7))^2)+$D$7</f>
        <v>4.72820666247984</v>
      </c>
      <c r="BP72" s="123" t="n">
        <f aca="false">MIN($V$5,BO72)</f>
        <v>4.72820666247984</v>
      </c>
      <c r="BQ72" s="112"/>
      <c r="BR72" s="112" t="n">
        <f aca="false">BR71+BR$7/100</f>
        <v>1.28</v>
      </c>
      <c r="BS72" s="112" t="n">
        <f aca="false">BR72</f>
        <v>1.28</v>
      </c>
      <c r="BT72" s="112" t="n">
        <f aca="false">BR72*TAN(RADIANS(BV$7))-(IF($B$4, 9.807, 32.174)*BR72^2)/(2*BU$7^2*COS(RADIANS(BV$7))^2)+$D$7</f>
        <v>4.72820666247984</v>
      </c>
      <c r="BU72" s="123" t="n">
        <f aca="false">MIN($V$5,BT72)</f>
        <v>4.72820666247984</v>
      </c>
      <c r="BV72" s="112"/>
      <c r="BW72" s="112" t="n">
        <f aca="false">BW71+BW$7/100</f>
        <v>1.28</v>
      </c>
      <c r="BX72" s="122" t="n">
        <f aca="false">BW72-IF($I$3="Forward", $D$9, $G$9)</f>
        <v>1.28</v>
      </c>
      <c r="BY72" s="112" t="n">
        <f aca="false">BW72*TAN(RADIANS(CA$7))-(IF($B$4, 9.807, 32.174)*BW72^2)/(2*BZ$7^2*COS(RADIANS(CA$7))^2)+$D$7</f>
        <v>4.72820666247984</v>
      </c>
      <c r="BZ72" s="123" t="n">
        <f aca="false">MIN($V$5,BY72)</f>
        <v>4.72820666247984</v>
      </c>
      <c r="CA72" s="112"/>
      <c r="CB72" s="112" t="n">
        <f aca="false">CB71+CB$7/100</f>
        <v>1.28</v>
      </c>
      <c r="CC72" s="122" t="n">
        <f aca="false">CB72+IF($I$3="Forward", $D$9, $G$9)</f>
        <v>1.28</v>
      </c>
      <c r="CD72" s="112" t="n">
        <f aca="false">CB72*TAN(RADIANS(CF$7))-(IF($B$4, 9.807, 32.174)*CB72^2)/(2*CE$7^2*COS(RADIANS(CF$7))^2)+$D$7</f>
        <v>4.72820666247984</v>
      </c>
      <c r="CE72" s="123" t="n">
        <f aca="false">MIN($V$5,CD72)</f>
        <v>4.72820666247984</v>
      </c>
      <c r="CF72" s="112"/>
      <c r="CG72" s="124" t="n">
        <f aca="false">CG71+CG$7/100</f>
        <v>1.28</v>
      </c>
      <c r="CH72" s="124" t="n">
        <f aca="false">CG72</f>
        <v>1.28</v>
      </c>
      <c r="CI72" s="124" t="n">
        <f aca="false">CG72*TAN(RADIANS(CK$7))-(IF($B$4, 9.807, 32.174)*CG72^2)/(2*CJ$7^2*COS(RADIANS(CK$7))^2)+$D$7</f>
        <v>4.72820666247984</v>
      </c>
      <c r="CJ72" s="123" t="n">
        <f aca="false">MIN($V$5,CI72)</f>
        <v>4.72820666247984</v>
      </c>
      <c r="CK72" s="124"/>
      <c r="CL72" s="112" t="n">
        <f aca="false">CL71+CL$7/100</f>
        <v>1.28</v>
      </c>
      <c r="CM72" s="122" t="n">
        <f aca="false">CL72-IF($I$3="Forward", $D$9, $G$9)</f>
        <v>1.28</v>
      </c>
      <c r="CN72" s="112" t="n">
        <f aca="false">CL72*TAN(RADIANS(CP$7))-(IF($B$4, 9.807, 32.174)*CL72^2)/(2*CO$7^2*COS(RADIANS(CP$7))^2)+$D$7</f>
        <v>4.72820666247984</v>
      </c>
      <c r="CO72" s="123" t="n">
        <f aca="false">MIN($V$5,CN72)</f>
        <v>4.72820666247984</v>
      </c>
      <c r="CP72" s="112"/>
      <c r="CQ72" s="112" t="n">
        <f aca="false">CQ71+CQ$7/100</f>
        <v>1.28</v>
      </c>
      <c r="CR72" s="122" t="n">
        <f aca="false">CQ72+IF($I$3="Forward", $D$9, $G$9)</f>
        <v>1.28</v>
      </c>
      <c r="CS72" s="112" t="n">
        <f aca="false">CQ72*TAN(RADIANS(CU$7))-(IF($B$4, 9.807, 32.174)*CQ72^2)/(2*CT$7^2*COS(RADIANS(CU$7))^2)+$D$7</f>
        <v>4.72820666247984</v>
      </c>
      <c r="CT72" s="123" t="n">
        <f aca="false">MIN($V$5,CS72)</f>
        <v>4.72820666247984</v>
      </c>
      <c r="CU72" s="112"/>
      <c r="CV72" s="112" t="n">
        <f aca="false">CV71+CV$7/100</f>
        <v>1.28</v>
      </c>
      <c r="CW72" s="112" t="n">
        <f aca="false">CV72</f>
        <v>1.28</v>
      </c>
      <c r="CX72" s="112" t="n">
        <f aca="false">CV72*TAN(RADIANS(CZ$7))-(IF($B$4, 9.807, 32.174)*CV72^2)/(2*CY$7^2*COS(RADIANS(CZ$7))^2)+$D$7</f>
        <v>4.72820666247984</v>
      </c>
      <c r="CY72" s="123" t="n">
        <f aca="false">MIN($V$5,CX72)</f>
        <v>4.72820666247984</v>
      </c>
      <c r="CZ72" s="112"/>
      <c r="DA72" s="112" t="n">
        <f aca="false">DA71+DA$7/100</f>
        <v>1.28</v>
      </c>
      <c r="DB72" s="122" t="n">
        <f aca="false">DA72-IF($I$3="Forward", $D$9, $G$9)</f>
        <v>1.28</v>
      </c>
      <c r="DC72" s="112" t="n">
        <f aca="false">DA72*TAN(RADIANS(DE$7))-(IF($B$4, 9.807, 32.174)*DA72^2)/(2*DD$7^2*COS(RADIANS(DE$7))^2)+$D$7</f>
        <v>4.72820666247984</v>
      </c>
      <c r="DD72" s="123" t="n">
        <f aca="false">MIN($V$5,DC72)</f>
        <v>4.72820666247984</v>
      </c>
      <c r="DE72" s="112"/>
      <c r="DF72" s="112" t="n">
        <f aca="false">DF71+DF$7/100</f>
        <v>1.28</v>
      </c>
      <c r="DG72" s="122" t="n">
        <f aca="false">DF72+IF($I$3="Forward", $D$9, $G$9)</f>
        <v>1.28</v>
      </c>
      <c r="DH72" s="112" t="n">
        <f aca="false">DF72*TAN(RADIANS(DJ$7))-(IF($B$4, 9.807, 32.174)*DF72^2)/(2*DI$7^2*COS(RADIANS(DJ$7))^2)+$D$7</f>
        <v>4.72820666247984</v>
      </c>
      <c r="DI72" s="123" t="n">
        <f aca="false">MIN($V$5,DH72)</f>
        <v>4.72820666247984</v>
      </c>
      <c r="DJ72" s="112"/>
      <c r="DK72" s="112" t="n">
        <f aca="false">DK71+DK$7/100</f>
        <v>1.28</v>
      </c>
      <c r="DL72" s="112" t="n">
        <f aca="false">DK72</f>
        <v>1.28</v>
      </c>
      <c r="DM72" s="112" t="n">
        <f aca="false">DK72*TAN(RADIANS(DO$7))-(IF($B$4, 9.807, 32.174)*DK72^2)/(2*DN$7^2*COS(RADIANS(DO$7))^2)+$D$7</f>
        <v>4.72820666247984</v>
      </c>
      <c r="DN72" s="123" t="n">
        <f aca="false">MIN($V$5,DM72)</f>
        <v>4.72820666247984</v>
      </c>
      <c r="DO72" s="112"/>
      <c r="DP72" s="112" t="n">
        <f aca="false">DP71+DP$7/100</f>
        <v>1.28</v>
      </c>
      <c r="DQ72" s="122" t="n">
        <f aca="false">DP72-IF($I$3="Forward", $D$9, $G$9)</f>
        <v>1.28</v>
      </c>
      <c r="DR72" s="112" t="n">
        <f aca="false">DP72*TAN(RADIANS(DT$7))-(IF($B$4, 9.807, 32.174)*DP72^2)/(2*DS$7^2*COS(RADIANS(DT$7))^2)+$D$7</f>
        <v>4.72820666247984</v>
      </c>
      <c r="DS72" s="123" t="n">
        <f aca="false">MIN($V$5,DR72)</f>
        <v>4.72820666247984</v>
      </c>
      <c r="DT72" s="112"/>
      <c r="DU72" s="112" t="n">
        <f aca="false">DU71+DU$7/100</f>
        <v>1.28</v>
      </c>
      <c r="DV72" s="122" t="n">
        <f aca="false">DU72+IF($I$3="Forward", $D$9, $G$9)</f>
        <v>1.28</v>
      </c>
      <c r="DW72" s="112" t="n">
        <f aca="false">DU72*TAN(RADIANS(DY$7))-(IF($B$4, 9.807, 32.174)*DU72^2)/(2*DX$7^2*COS(RADIANS(DY$7))^2)+$D$7</f>
        <v>4.72820666247984</v>
      </c>
      <c r="DX72" s="123" t="n">
        <f aca="false">MIN($V$5,DW72)</f>
        <v>4.72820666247984</v>
      </c>
      <c r="DY72" s="112"/>
      <c r="DZ72" s="112" t="n">
        <f aca="false">DZ71+DZ$7/100</f>
        <v>1.28</v>
      </c>
      <c r="EA72" s="112" t="n">
        <f aca="false">DZ72</f>
        <v>1.28</v>
      </c>
      <c r="EB72" s="112" t="n">
        <f aca="false">DZ72*TAN(RADIANS(ED$7))-(IF($B$4, 9.807, 32.174)*DZ72^2)/(2*EC$7^2*COS(RADIANS(ED$7))^2)+$D$7</f>
        <v>4.72820666247984</v>
      </c>
      <c r="EC72" s="123" t="n">
        <f aca="false">MIN($V$5,EB72)</f>
        <v>4.72820666247984</v>
      </c>
      <c r="ED72" s="112"/>
      <c r="EE72" s="112" t="n">
        <f aca="false">EE71+EE$7/100</f>
        <v>1.28</v>
      </c>
      <c r="EF72" s="122" t="n">
        <f aca="false">EE72-IF($I$3="Forward", $D$9, $G$9)</f>
        <v>1.28</v>
      </c>
      <c r="EG72" s="112" t="n">
        <f aca="false">EE72*TAN(RADIANS(EI$7))-(IF($B$4, 9.807, 32.174)*EE72^2)/(2*EH$7^2*COS(RADIANS(EI$7))^2)+$D$7</f>
        <v>4.72820666247984</v>
      </c>
      <c r="EH72" s="123" t="n">
        <f aca="false">MIN($V$5,EG72)</f>
        <v>4.72820666247984</v>
      </c>
      <c r="EI72" s="112"/>
      <c r="EJ72" s="112" t="n">
        <f aca="false">EJ71+EJ$7/100</f>
        <v>1.28</v>
      </c>
      <c r="EK72" s="122" t="n">
        <f aca="false">EJ72+IF($I$3="Forward", $D$9, $G$9)</f>
        <v>1.28</v>
      </c>
      <c r="EL72" s="112" t="n">
        <f aca="false">EJ72*TAN(RADIANS(EN$7))-(IF($B$4, 9.807, 32.174)*EJ72^2)/(2*EM$7^2*COS(RADIANS(EN$7))^2)+$D$7</f>
        <v>4.72820666247984</v>
      </c>
      <c r="EM72" s="123" t="n">
        <f aca="false">MIN($V$5,EL72)</f>
        <v>4.72820666247984</v>
      </c>
      <c r="EN72" s="112"/>
      <c r="EO72" s="112" t="n">
        <f aca="false">EO71+EO$7/100</f>
        <v>1.28</v>
      </c>
      <c r="EP72" s="112" t="n">
        <f aca="false">EO72</f>
        <v>1.28</v>
      </c>
      <c r="EQ72" s="112" t="n">
        <f aca="false">EO72*TAN(RADIANS(ES$7))-(IF($B$4, 9.807, 32.174)*EO72^2)/(2*ER$7^2*COS(RADIANS(ES$7))^2)+$D$7</f>
        <v>4.72820666247984</v>
      </c>
      <c r="ER72" s="123" t="n">
        <f aca="false">MIN($V$5,EQ72)</f>
        <v>4.72820666247984</v>
      </c>
      <c r="ES72" s="112"/>
      <c r="ET72" s="112" t="n">
        <f aca="false">ET71+ET$7/100</f>
        <v>1.28</v>
      </c>
      <c r="EU72" s="122" t="n">
        <f aca="false">ET72-IF($I$3="Forward", $D$9, $G$9)</f>
        <v>1.28</v>
      </c>
      <c r="EV72" s="112" t="n">
        <f aca="false">ET72*TAN(RADIANS(EX$7))-(IF($B$4, 9.807, 32.174)*ET72^2)/(2*EW$7^2*COS(RADIANS(EX$7))^2)+$D$7</f>
        <v>4.72820666247984</v>
      </c>
      <c r="EW72" s="123" t="n">
        <f aca="false">MIN($V$5,EV72)</f>
        <v>4.72820666247984</v>
      </c>
      <c r="EX72" s="112"/>
    </row>
    <row r="73" s="131" customFormat="true" ht="15" hidden="false" customHeight="false" outlineLevel="0" collapsed="false">
      <c r="T73" s="112" t="n">
        <f aca="false">T72+T$7/100</f>
        <v>1.3</v>
      </c>
      <c r="U73" s="122" t="n">
        <f aca="false">T73+IF($I$3="Forward", $D$9, $G$9)</f>
        <v>1.3</v>
      </c>
      <c r="V73" s="112" t="n">
        <f aca="false">T73*TAN(RADIANS(X$7))-(IF($B$4, 9.807, 32.174)*T73^2)/(2*W$7^2*COS(RADIANS(X$7))^2)+$D$7</f>
        <v>4.71093322792606</v>
      </c>
      <c r="W73" s="123" t="n">
        <f aca="false">MIN($V$5,V73)</f>
        <v>4.71093322792606</v>
      </c>
      <c r="X73" s="112"/>
      <c r="Y73" s="112" t="n">
        <f aca="false">Y72+Y$7/100</f>
        <v>1.3</v>
      </c>
      <c r="Z73" s="112" t="n">
        <f aca="false">Y73</f>
        <v>1.3</v>
      </c>
      <c r="AA73" s="112" t="n">
        <f aca="false">Y73*TAN(RADIANS(AC$7))-(IF($B$4, 9.807, 32.174)*Y73^2)/(2*AB$7^2*COS(RADIANS(AC$7))^2)+$D$7</f>
        <v>4.71093322792606</v>
      </c>
      <c r="AB73" s="123" t="n">
        <f aca="false">MIN($V$5,AA73)</f>
        <v>4.71093322792606</v>
      </c>
      <c r="AC73" s="112"/>
      <c r="AD73" s="112" t="n">
        <f aca="false">AD72+AD$7/100</f>
        <v>1.3</v>
      </c>
      <c r="AE73" s="122" t="n">
        <f aca="false">AD73-IF($I$3="Forward", $D$9, $G$9)</f>
        <v>1.3</v>
      </c>
      <c r="AF73" s="112" t="n">
        <f aca="false">AD73*TAN(RADIANS(AH$7))-(IF($B$4, 9.807, 32.174)*AD73^2)/(2*AG$7^2*COS(RADIANS(AH$7))^2)+$D$7</f>
        <v>4.71093322792606</v>
      </c>
      <c r="AG73" s="123" t="n">
        <f aca="false">MIN($V$5,AF73)</f>
        <v>4.71093322792606</v>
      </c>
      <c r="AH73" s="112"/>
      <c r="AI73" s="112" t="n">
        <f aca="false">AI72+AI$7/100</f>
        <v>1.3</v>
      </c>
      <c r="AJ73" s="122" t="n">
        <f aca="false">AI73+IF($I$3="Forward", $D$9, $G$9)</f>
        <v>1.3</v>
      </c>
      <c r="AK73" s="112" t="n">
        <f aca="false">AI73*TAN(RADIANS(AM$7))-(IF($B$4, 9.807, 32.174)*AI73^2)/(2*AL$7^2*COS(RADIANS(AM$7))^2)+$D$7</f>
        <v>4.71093322792606</v>
      </c>
      <c r="AL73" s="123" t="n">
        <f aca="false">MIN($V$5,AK73)</f>
        <v>4.71093322792606</v>
      </c>
      <c r="AM73" s="112"/>
      <c r="AN73" s="112" t="n">
        <f aca="false">AN72+AN$7/100</f>
        <v>1.3</v>
      </c>
      <c r="AO73" s="112" t="n">
        <f aca="false">AN73</f>
        <v>1.3</v>
      </c>
      <c r="AP73" s="112" t="n">
        <f aca="false">AN73*TAN(RADIANS(AR$7))-(IF($B$4, 9.807, 32.174)*AN73^2)/(2*AQ$7^2*COS(RADIANS(AR$7))^2)+$D$7</f>
        <v>4.71093322792606</v>
      </c>
      <c r="AQ73" s="123" t="n">
        <f aca="false">MIN($V$5,AP73)</f>
        <v>4.71093322792606</v>
      </c>
      <c r="AR73" s="112"/>
      <c r="AS73" s="112" t="n">
        <f aca="false">AS72+AS$7/100</f>
        <v>1.3</v>
      </c>
      <c r="AT73" s="122" t="n">
        <f aca="false">AS73-IF($I$3="Forward", $D$9, $G$9)</f>
        <v>1.3</v>
      </c>
      <c r="AU73" s="112" t="n">
        <f aca="false">AS73*TAN(RADIANS(AW$7))-(IF($B$4, 9.807, 32.174)*AS73^2)/(2*AV$7^2*COS(RADIANS(AW$7))^2)+$D$7</f>
        <v>4.71093322792606</v>
      </c>
      <c r="AV73" s="123" t="n">
        <f aca="false">MIN($V$5,AU73)</f>
        <v>4.71093322792606</v>
      </c>
      <c r="AW73" s="112"/>
      <c r="AX73" s="112" t="n">
        <f aca="false">AX72+AX$7/100</f>
        <v>1.3</v>
      </c>
      <c r="AY73" s="122" t="n">
        <f aca="false">AX73+IF($I$3="Forward", $D$9, $G$9)</f>
        <v>1.3</v>
      </c>
      <c r="AZ73" s="112" t="n">
        <f aca="false">AX73*TAN(RADIANS(BB$7))-(IF($B$4, 9.807, 32.174)*AX73^2)/(2*BA$7^2*COS(RADIANS(BB$7))^2)+$D$7</f>
        <v>4.71093322792606</v>
      </c>
      <c r="BA73" s="123" t="n">
        <f aca="false">MIN($V$5,AZ73)</f>
        <v>4.71093322792606</v>
      </c>
      <c r="BB73" s="112"/>
      <c r="BC73" s="112" t="n">
        <f aca="false">BC72+BC$7/100</f>
        <v>1.3</v>
      </c>
      <c r="BD73" s="112" t="n">
        <f aca="false">BC73</f>
        <v>1.3</v>
      </c>
      <c r="BE73" s="112" t="n">
        <f aca="false">BC73*TAN(RADIANS(BG$7))-(IF($B$4, 9.807, 32.174)*BC73^2)/(2*BF$7^2*COS(RADIANS(BG$7))^2)+$D$7</f>
        <v>4.71093322792606</v>
      </c>
      <c r="BF73" s="123" t="n">
        <f aca="false">MIN($V$5,BE73)</f>
        <v>4.71093322792606</v>
      </c>
      <c r="BG73" s="112"/>
      <c r="BH73" s="112" t="n">
        <f aca="false">BH72+BH$7/100</f>
        <v>1.3</v>
      </c>
      <c r="BI73" s="122" t="n">
        <f aca="false">BH73-IF($I$3="Forward", $D$9, $G$9)</f>
        <v>1.3</v>
      </c>
      <c r="BJ73" s="112" t="n">
        <f aca="false">BH73*TAN(RADIANS(BL$7))-(IF($B$4, 9.807, 32.174)*BH73^2)/(2*BK$7^2*COS(RADIANS(BL$7))^2)+$D$7</f>
        <v>4.71093322792606</v>
      </c>
      <c r="BK73" s="123" t="n">
        <f aca="false">MIN($V$5,BJ73)</f>
        <v>4.71093322792606</v>
      </c>
      <c r="BL73" s="112"/>
      <c r="BM73" s="112" t="n">
        <f aca="false">BM72+BM$7/100</f>
        <v>1.3</v>
      </c>
      <c r="BN73" s="122" t="n">
        <f aca="false">BM73+IF($I$3="Forward", $D$9, $G$9)</f>
        <v>1.3</v>
      </c>
      <c r="BO73" s="112" t="n">
        <f aca="false">BM73*TAN(RADIANS(BQ$7))-(IF($B$4, 9.807, 32.174)*BM73^2)/(2*BP$7^2*COS(RADIANS(BQ$7))^2)+$D$7</f>
        <v>4.71093322792606</v>
      </c>
      <c r="BP73" s="123" t="n">
        <f aca="false">MIN($V$5,BO73)</f>
        <v>4.71093322792606</v>
      </c>
      <c r="BQ73" s="112"/>
      <c r="BR73" s="112" t="n">
        <f aca="false">BR72+BR$7/100</f>
        <v>1.3</v>
      </c>
      <c r="BS73" s="112" t="n">
        <f aca="false">BR73</f>
        <v>1.3</v>
      </c>
      <c r="BT73" s="112" t="n">
        <f aca="false">BR73*TAN(RADIANS(BV$7))-(IF($B$4, 9.807, 32.174)*BR73^2)/(2*BU$7^2*COS(RADIANS(BV$7))^2)+$D$7</f>
        <v>4.71093322792606</v>
      </c>
      <c r="BU73" s="123" t="n">
        <f aca="false">MIN($V$5,BT73)</f>
        <v>4.71093322792606</v>
      </c>
      <c r="BV73" s="112"/>
      <c r="BW73" s="112" t="n">
        <f aca="false">BW72+BW$7/100</f>
        <v>1.3</v>
      </c>
      <c r="BX73" s="122" t="n">
        <f aca="false">BW73-IF($I$3="Forward", $D$9, $G$9)</f>
        <v>1.3</v>
      </c>
      <c r="BY73" s="112" t="n">
        <f aca="false">BW73*TAN(RADIANS(CA$7))-(IF($B$4, 9.807, 32.174)*BW73^2)/(2*BZ$7^2*COS(RADIANS(CA$7))^2)+$D$7</f>
        <v>4.71093322792606</v>
      </c>
      <c r="BZ73" s="123" t="n">
        <f aca="false">MIN($V$5,BY73)</f>
        <v>4.71093322792606</v>
      </c>
      <c r="CA73" s="112"/>
      <c r="CB73" s="112" t="n">
        <f aca="false">CB72+CB$7/100</f>
        <v>1.3</v>
      </c>
      <c r="CC73" s="122" t="n">
        <f aca="false">CB73+IF($I$3="Forward", $D$9, $G$9)</f>
        <v>1.3</v>
      </c>
      <c r="CD73" s="112" t="n">
        <f aca="false">CB73*TAN(RADIANS(CF$7))-(IF($B$4, 9.807, 32.174)*CB73^2)/(2*CE$7^2*COS(RADIANS(CF$7))^2)+$D$7</f>
        <v>4.71093322792606</v>
      </c>
      <c r="CE73" s="123" t="n">
        <f aca="false">MIN($V$5,CD73)</f>
        <v>4.71093322792606</v>
      </c>
      <c r="CF73" s="112"/>
      <c r="CG73" s="124" t="n">
        <f aca="false">CG72+CG$7/100</f>
        <v>1.3</v>
      </c>
      <c r="CH73" s="124" t="n">
        <f aca="false">CG73</f>
        <v>1.3</v>
      </c>
      <c r="CI73" s="124" t="n">
        <f aca="false">CG73*TAN(RADIANS(CK$7))-(IF($B$4, 9.807, 32.174)*CG73^2)/(2*CJ$7^2*COS(RADIANS(CK$7))^2)+$D$7</f>
        <v>4.71093322792606</v>
      </c>
      <c r="CJ73" s="123" t="n">
        <f aca="false">MIN($V$5,CI73)</f>
        <v>4.71093322792606</v>
      </c>
      <c r="CK73" s="124"/>
      <c r="CL73" s="112" t="n">
        <f aca="false">CL72+CL$7/100</f>
        <v>1.3</v>
      </c>
      <c r="CM73" s="122" t="n">
        <f aca="false">CL73-IF($I$3="Forward", $D$9, $G$9)</f>
        <v>1.3</v>
      </c>
      <c r="CN73" s="112" t="n">
        <f aca="false">CL73*TAN(RADIANS(CP$7))-(IF($B$4, 9.807, 32.174)*CL73^2)/(2*CO$7^2*COS(RADIANS(CP$7))^2)+$D$7</f>
        <v>4.71093322792606</v>
      </c>
      <c r="CO73" s="123" t="n">
        <f aca="false">MIN($V$5,CN73)</f>
        <v>4.71093322792606</v>
      </c>
      <c r="CP73" s="112"/>
      <c r="CQ73" s="112" t="n">
        <f aca="false">CQ72+CQ$7/100</f>
        <v>1.3</v>
      </c>
      <c r="CR73" s="122" t="n">
        <f aca="false">CQ73+IF($I$3="Forward", $D$9, $G$9)</f>
        <v>1.3</v>
      </c>
      <c r="CS73" s="112" t="n">
        <f aca="false">CQ73*TAN(RADIANS(CU$7))-(IF($B$4, 9.807, 32.174)*CQ73^2)/(2*CT$7^2*COS(RADIANS(CU$7))^2)+$D$7</f>
        <v>4.71093322792606</v>
      </c>
      <c r="CT73" s="123" t="n">
        <f aca="false">MIN($V$5,CS73)</f>
        <v>4.71093322792606</v>
      </c>
      <c r="CU73" s="112"/>
      <c r="CV73" s="112" t="n">
        <f aca="false">CV72+CV$7/100</f>
        <v>1.3</v>
      </c>
      <c r="CW73" s="112" t="n">
        <f aca="false">CV73</f>
        <v>1.3</v>
      </c>
      <c r="CX73" s="112" t="n">
        <f aca="false">CV73*TAN(RADIANS(CZ$7))-(IF($B$4, 9.807, 32.174)*CV73^2)/(2*CY$7^2*COS(RADIANS(CZ$7))^2)+$D$7</f>
        <v>4.71093322792606</v>
      </c>
      <c r="CY73" s="123" t="n">
        <f aca="false">MIN($V$5,CX73)</f>
        <v>4.71093322792606</v>
      </c>
      <c r="CZ73" s="112"/>
      <c r="DA73" s="112" t="n">
        <f aca="false">DA72+DA$7/100</f>
        <v>1.3</v>
      </c>
      <c r="DB73" s="122" t="n">
        <f aca="false">DA73-IF($I$3="Forward", $D$9, $G$9)</f>
        <v>1.3</v>
      </c>
      <c r="DC73" s="112" t="n">
        <f aca="false">DA73*TAN(RADIANS(DE$7))-(IF($B$4, 9.807, 32.174)*DA73^2)/(2*DD$7^2*COS(RADIANS(DE$7))^2)+$D$7</f>
        <v>4.71093322792606</v>
      </c>
      <c r="DD73" s="123" t="n">
        <f aca="false">MIN($V$5,DC73)</f>
        <v>4.71093322792606</v>
      </c>
      <c r="DE73" s="112"/>
      <c r="DF73" s="112" t="n">
        <f aca="false">DF72+DF$7/100</f>
        <v>1.3</v>
      </c>
      <c r="DG73" s="122" t="n">
        <f aca="false">DF73+IF($I$3="Forward", $D$9, $G$9)</f>
        <v>1.3</v>
      </c>
      <c r="DH73" s="112" t="n">
        <f aca="false">DF73*TAN(RADIANS(DJ$7))-(IF($B$4, 9.807, 32.174)*DF73^2)/(2*DI$7^2*COS(RADIANS(DJ$7))^2)+$D$7</f>
        <v>4.71093322792606</v>
      </c>
      <c r="DI73" s="123" t="n">
        <f aca="false">MIN($V$5,DH73)</f>
        <v>4.71093322792606</v>
      </c>
      <c r="DJ73" s="112"/>
      <c r="DK73" s="112" t="n">
        <f aca="false">DK72+DK$7/100</f>
        <v>1.3</v>
      </c>
      <c r="DL73" s="112" t="n">
        <f aca="false">DK73</f>
        <v>1.3</v>
      </c>
      <c r="DM73" s="112" t="n">
        <f aca="false">DK73*TAN(RADIANS(DO$7))-(IF($B$4, 9.807, 32.174)*DK73^2)/(2*DN$7^2*COS(RADIANS(DO$7))^2)+$D$7</f>
        <v>4.71093322792606</v>
      </c>
      <c r="DN73" s="123" t="n">
        <f aca="false">MIN($V$5,DM73)</f>
        <v>4.71093322792606</v>
      </c>
      <c r="DO73" s="112"/>
      <c r="DP73" s="112" t="n">
        <f aca="false">DP72+DP$7/100</f>
        <v>1.3</v>
      </c>
      <c r="DQ73" s="122" t="n">
        <f aca="false">DP73-IF($I$3="Forward", $D$9, $G$9)</f>
        <v>1.3</v>
      </c>
      <c r="DR73" s="112" t="n">
        <f aca="false">DP73*TAN(RADIANS(DT$7))-(IF($B$4, 9.807, 32.174)*DP73^2)/(2*DS$7^2*COS(RADIANS(DT$7))^2)+$D$7</f>
        <v>4.71093322792606</v>
      </c>
      <c r="DS73" s="123" t="n">
        <f aca="false">MIN($V$5,DR73)</f>
        <v>4.71093322792606</v>
      </c>
      <c r="DT73" s="112"/>
      <c r="DU73" s="112" t="n">
        <f aca="false">DU72+DU$7/100</f>
        <v>1.3</v>
      </c>
      <c r="DV73" s="122" t="n">
        <f aca="false">DU73+IF($I$3="Forward", $D$9, $G$9)</f>
        <v>1.3</v>
      </c>
      <c r="DW73" s="112" t="n">
        <f aca="false">DU73*TAN(RADIANS(DY$7))-(IF($B$4, 9.807, 32.174)*DU73^2)/(2*DX$7^2*COS(RADIANS(DY$7))^2)+$D$7</f>
        <v>4.71093322792606</v>
      </c>
      <c r="DX73" s="123" t="n">
        <f aca="false">MIN($V$5,DW73)</f>
        <v>4.71093322792606</v>
      </c>
      <c r="DY73" s="112"/>
      <c r="DZ73" s="112" t="n">
        <f aca="false">DZ72+DZ$7/100</f>
        <v>1.3</v>
      </c>
      <c r="EA73" s="112" t="n">
        <f aca="false">DZ73</f>
        <v>1.3</v>
      </c>
      <c r="EB73" s="112" t="n">
        <f aca="false">DZ73*TAN(RADIANS(ED$7))-(IF($B$4, 9.807, 32.174)*DZ73^2)/(2*EC$7^2*COS(RADIANS(ED$7))^2)+$D$7</f>
        <v>4.71093322792606</v>
      </c>
      <c r="EC73" s="123" t="n">
        <f aca="false">MIN($V$5,EB73)</f>
        <v>4.71093322792606</v>
      </c>
      <c r="ED73" s="112"/>
      <c r="EE73" s="112" t="n">
        <f aca="false">EE72+EE$7/100</f>
        <v>1.3</v>
      </c>
      <c r="EF73" s="122" t="n">
        <f aca="false">EE73-IF($I$3="Forward", $D$9, $G$9)</f>
        <v>1.3</v>
      </c>
      <c r="EG73" s="112" t="n">
        <f aca="false">EE73*TAN(RADIANS(EI$7))-(IF($B$4, 9.807, 32.174)*EE73^2)/(2*EH$7^2*COS(RADIANS(EI$7))^2)+$D$7</f>
        <v>4.71093322792606</v>
      </c>
      <c r="EH73" s="123" t="n">
        <f aca="false">MIN($V$5,EG73)</f>
        <v>4.71093322792606</v>
      </c>
      <c r="EI73" s="112"/>
      <c r="EJ73" s="112" t="n">
        <f aca="false">EJ72+EJ$7/100</f>
        <v>1.3</v>
      </c>
      <c r="EK73" s="122" t="n">
        <f aca="false">EJ73+IF($I$3="Forward", $D$9, $G$9)</f>
        <v>1.3</v>
      </c>
      <c r="EL73" s="112" t="n">
        <f aca="false">EJ73*TAN(RADIANS(EN$7))-(IF($B$4, 9.807, 32.174)*EJ73^2)/(2*EM$7^2*COS(RADIANS(EN$7))^2)+$D$7</f>
        <v>4.71093322792606</v>
      </c>
      <c r="EM73" s="123" t="n">
        <f aca="false">MIN($V$5,EL73)</f>
        <v>4.71093322792606</v>
      </c>
      <c r="EN73" s="112"/>
      <c r="EO73" s="112" t="n">
        <f aca="false">EO72+EO$7/100</f>
        <v>1.3</v>
      </c>
      <c r="EP73" s="112" t="n">
        <f aca="false">EO73</f>
        <v>1.3</v>
      </c>
      <c r="EQ73" s="112" t="n">
        <f aca="false">EO73*TAN(RADIANS(ES$7))-(IF($B$4, 9.807, 32.174)*EO73^2)/(2*ER$7^2*COS(RADIANS(ES$7))^2)+$D$7</f>
        <v>4.71093322792606</v>
      </c>
      <c r="ER73" s="123" t="n">
        <f aca="false">MIN($V$5,EQ73)</f>
        <v>4.71093322792606</v>
      </c>
      <c r="ES73" s="112"/>
      <c r="ET73" s="112" t="n">
        <f aca="false">ET72+ET$7/100</f>
        <v>1.3</v>
      </c>
      <c r="EU73" s="122" t="n">
        <f aca="false">ET73-IF($I$3="Forward", $D$9, $G$9)</f>
        <v>1.3</v>
      </c>
      <c r="EV73" s="112" t="n">
        <f aca="false">ET73*TAN(RADIANS(EX$7))-(IF($B$4, 9.807, 32.174)*ET73^2)/(2*EW$7^2*COS(RADIANS(EX$7))^2)+$D$7</f>
        <v>4.71093322792606</v>
      </c>
      <c r="EW73" s="123" t="n">
        <f aca="false">MIN($V$5,EV73)</f>
        <v>4.71093322792606</v>
      </c>
      <c r="EX73" s="112"/>
    </row>
    <row r="74" s="131" customFormat="true" ht="15" hidden="false" customHeight="false" outlineLevel="0" collapsed="false">
      <c r="T74" s="112" t="n">
        <f aca="false">T73+T$7/100</f>
        <v>1.32</v>
      </c>
      <c r="U74" s="122" t="n">
        <f aca="false">T74+IF($I$3="Forward", $D$9, $G$9)</f>
        <v>1.32</v>
      </c>
      <c r="V74" s="112" t="n">
        <f aca="false">T74*TAN(RADIANS(X$7))-(IF($B$4, 9.807, 32.174)*T74^2)/(2*W$7^2*COS(RADIANS(X$7))^2)+$D$7</f>
        <v>4.69095128064443</v>
      </c>
      <c r="W74" s="123" t="n">
        <f aca="false">MIN($V$5,V74)</f>
        <v>4.69095128064443</v>
      </c>
      <c r="X74" s="112"/>
      <c r="Y74" s="112" t="n">
        <f aca="false">Y73+Y$7/100</f>
        <v>1.32</v>
      </c>
      <c r="Z74" s="112" t="n">
        <f aca="false">Y74</f>
        <v>1.32</v>
      </c>
      <c r="AA74" s="112" t="n">
        <f aca="false">Y74*TAN(RADIANS(AC$7))-(IF($B$4, 9.807, 32.174)*Y74^2)/(2*AB$7^2*COS(RADIANS(AC$7))^2)+$D$7</f>
        <v>4.69095128064443</v>
      </c>
      <c r="AB74" s="123" t="n">
        <f aca="false">MIN($V$5,AA74)</f>
        <v>4.69095128064443</v>
      </c>
      <c r="AC74" s="112"/>
      <c r="AD74" s="112" t="n">
        <f aca="false">AD73+AD$7/100</f>
        <v>1.32</v>
      </c>
      <c r="AE74" s="122" t="n">
        <f aca="false">AD74-IF($I$3="Forward", $D$9, $G$9)</f>
        <v>1.32</v>
      </c>
      <c r="AF74" s="112" t="n">
        <f aca="false">AD74*TAN(RADIANS(AH$7))-(IF($B$4, 9.807, 32.174)*AD74^2)/(2*AG$7^2*COS(RADIANS(AH$7))^2)+$D$7</f>
        <v>4.69095128064443</v>
      </c>
      <c r="AG74" s="123" t="n">
        <f aca="false">MIN($V$5,AF74)</f>
        <v>4.69095128064443</v>
      </c>
      <c r="AH74" s="112"/>
      <c r="AI74" s="112" t="n">
        <f aca="false">AI73+AI$7/100</f>
        <v>1.32</v>
      </c>
      <c r="AJ74" s="122" t="n">
        <f aca="false">AI74+IF($I$3="Forward", $D$9, $G$9)</f>
        <v>1.32</v>
      </c>
      <c r="AK74" s="112" t="n">
        <f aca="false">AI74*TAN(RADIANS(AM$7))-(IF($B$4, 9.807, 32.174)*AI74^2)/(2*AL$7^2*COS(RADIANS(AM$7))^2)+$D$7</f>
        <v>4.69095128064443</v>
      </c>
      <c r="AL74" s="123" t="n">
        <f aca="false">MIN($V$5,AK74)</f>
        <v>4.69095128064443</v>
      </c>
      <c r="AM74" s="112"/>
      <c r="AN74" s="112" t="n">
        <f aca="false">AN73+AN$7/100</f>
        <v>1.32</v>
      </c>
      <c r="AO74" s="112" t="n">
        <f aca="false">AN74</f>
        <v>1.32</v>
      </c>
      <c r="AP74" s="112" t="n">
        <f aca="false">AN74*TAN(RADIANS(AR$7))-(IF($B$4, 9.807, 32.174)*AN74^2)/(2*AQ$7^2*COS(RADIANS(AR$7))^2)+$D$7</f>
        <v>4.69095128064443</v>
      </c>
      <c r="AQ74" s="123" t="n">
        <f aca="false">MIN($V$5,AP74)</f>
        <v>4.69095128064443</v>
      </c>
      <c r="AR74" s="112"/>
      <c r="AS74" s="112" t="n">
        <f aca="false">AS73+AS$7/100</f>
        <v>1.32</v>
      </c>
      <c r="AT74" s="122" t="n">
        <f aca="false">AS74-IF($I$3="Forward", $D$9, $G$9)</f>
        <v>1.32</v>
      </c>
      <c r="AU74" s="112" t="n">
        <f aca="false">AS74*TAN(RADIANS(AW$7))-(IF($B$4, 9.807, 32.174)*AS74^2)/(2*AV$7^2*COS(RADIANS(AW$7))^2)+$D$7</f>
        <v>4.69095128064443</v>
      </c>
      <c r="AV74" s="123" t="n">
        <f aca="false">MIN($V$5,AU74)</f>
        <v>4.69095128064443</v>
      </c>
      <c r="AW74" s="112"/>
      <c r="AX74" s="112" t="n">
        <f aca="false">AX73+AX$7/100</f>
        <v>1.32</v>
      </c>
      <c r="AY74" s="122" t="n">
        <f aca="false">AX74+IF($I$3="Forward", $D$9, $G$9)</f>
        <v>1.32</v>
      </c>
      <c r="AZ74" s="112" t="n">
        <f aca="false">AX74*TAN(RADIANS(BB$7))-(IF($B$4, 9.807, 32.174)*AX74^2)/(2*BA$7^2*COS(RADIANS(BB$7))^2)+$D$7</f>
        <v>4.69095128064443</v>
      </c>
      <c r="BA74" s="123" t="n">
        <f aca="false">MIN($V$5,AZ74)</f>
        <v>4.69095128064443</v>
      </c>
      <c r="BB74" s="112"/>
      <c r="BC74" s="112" t="n">
        <f aca="false">BC73+BC$7/100</f>
        <v>1.32</v>
      </c>
      <c r="BD74" s="112" t="n">
        <f aca="false">BC74</f>
        <v>1.32</v>
      </c>
      <c r="BE74" s="112" t="n">
        <f aca="false">BC74*TAN(RADIANS(BG$7))-(IF($B$4, 9.807, 32.174)*BC74^2)/(2*BF$7^2*COS(RADIANS(BG$7))^2)+$D$7</f>
        <v>4.69095128064443</v>
      </c>
      <c r="BF74" s="123" t="n">
        <f aca="false">MIN($V$5,BE74)</f>
        <v>4.69095128064443</v>
      </c>
      <c r="BG74" s="112"/>
      <c r="BH74" s="112" t="n">
        <f aca="false">BH73+BH$7/100</f>
        <v>1.32</v>
      </c>
      <c r="BI74" s="122" t="n">
        <f aca="false">BH74-IF($I$3="Forward", $D$9, $G$9)</f>
        <v>1.32</v>
      </c>
      <c r="BJ74" s="112" t="n">
        <f aca="false">BH74*TAN(RADIANS(BL$7))-(IF($B$4, 9.807, 32.174)*BH74^2)/(2*BK$7^2*COS(RADIANS(BL$7))^2)+$D$7</f>
        <v>4.69095128064443</v>
      </c>
      <c r="BK74" s="123" t="n">
        <f aca="false">MIN($V$5,BJ74)</f>
        <v>4.69095128064443</v>
      </c>
      <c r="BL74" s="112"/>
      <c r="BM74" s="112" t="n">
        <f aca="false">BM73+BM$7/100</f>
        <v>1.32</v>
      </c>
      <c r="BN74" s="122" t="n">
        <f aca="false">BM74+IF($I$3="Forward", $D$9, $G$9)</f>
        <v>1.32</v>
      </c>
      <c r="BO74" s="112" t="n">
        <f aca="false">BM74*TAN(RADIANS(BQ$7))-(IF($B$4, 9.807, 32.174)*BM74^2)/(2*BP$7^2*COS(RADIANS(BQ$7))^2)+$D$7</f>
        <v>4.69095128064443</v>
      </c>
      <c r="BP74" s="123" t="n">
        <f aca="false">MIN($V$5,BO74)</f>
        <v>4.69095128064443</v>
      </c>
      <c r="BQ74" s="112"/>
      <c r="BR74" s="112" t="n">
        <f aca="false">BR73+BR$7/100</f>
        <v>1.32</v>
      </c>
      <c r="BS74" s="112" t="n">
        <f aca="false">BR74</f>
        <v>1.32</v>
      </c>
      <c r="BT74" s="112" t="n">
        <f aca="false">BR74*TAN(RADIANS(BV$7))-(IF($B$4, 9.807, 32.174)*BR74^2)/(2*BU$7^2*COS(RADIANS(BV$7))^2)+$D$7</f>
        <v>4.69095128064443</v>
      </c>
      <c r="BU74" s="123" t="n">
        <f aca="false">MIN($V$5,BT74)</f>
        <v>4.69095128064443</v>
      </c>
      <c r="BV74" s="112"/>
      <c r="BW74" s="112" t="n">
        <f aca="false">BW73+BW$7/100</f>
        <v>1.32</v>
      </c>
      <c r="BX74" s="122" t="n">
        <f aca="false">BW74-IF($I$3="Forward", $D$9, $G$9)</f>
        <v>1.32</v>
      </c>
      <c r="BY74" s="112" t="n">
        <f aca="false">BW74*TAN(RADIANS(CA$7))-(IF($B$4, 9.807, 32.174)*BW74^2)/(2*BZ$7^2*COS(RADIANS(CA$7))^2)+$D$7</f>
        <v>4.69095128064443</v>
      </c>
      <c r="BZ74" s="123" t="n">
        <f aca="false">MIN($V$5,BY74)</f>
        <v>4.69095128064443</v>
      </c>
      <c r="CA74" s="112"/>
      <c r="CB74" s="112" t="n">
        <f aca="false">CB73+CB$7/100</f>
        <v>1.32</v>
      </c>
      <c r="CC74" s="122" t="n">
        <f aca="false">CB74+IF($I$3="Forward", $D$9, $G$9)</f>
        <v>1.32</v>
      </c>
      <c r="CD74" s="112" t="n">
        <f aca="false">CB74*TAN(RADIANS(CF$7))-(IF($B$4, 9.807, 32.174)*CB74^2)/(2*CE$7^2*COS(RADIANS(CF$7))^2)+$D$7</f>
        <v>4.69095128064443</v>
      </c>
      <c r="CE74" s="123" t="n">
        <f aca="false">MIN($V$5,CD74)</f>
        <v>4.69095128064443</v>
      </c>
      <c r="CF74" s="112"/>
      <c r="CG74" s="124" t="n">
        <f aca="false">CG73+CG$7/100</f>
        <v>1.32</v>
      </c>
      <c r="CH74" s="124" t="n">
        <f aca="false">CG74</f>
        <v>1.32</v>
      </c>
      <c r="CI74" s="124" t="n">
        <f aca="false">CG74*TAN(RADIANS(CK$7))-(IF($B$4, 9.807, 32.174)*CG74^2)/(2*CJ$7^2*COS(RADIANS(CK$7))^2)+$D$7</f>
        <v>4.69095128064443</v>
      </c>
      <c r="CJ74" s="123" t="n">
        <f aca="false">MIN($V$5,CI74)</f>
        <v>4.69095128064443</v>
      </c>
      <c r="CK74" s="124"/>
      <c r="CL74" s="112" t="n">
        <f aca="false">CL73+CL$7/100</f>
        <v>1.32</v>
      </c>
      <c r="CM74" s="122" t="n">
        <f aca="false">CL74-IF($I$3="Forward", $D$9, $G$9)</f>
        <v>1.32</v>
      </c>
      <c r="CN74" s="112" t="n">
        <f aca="false">CL74*TAN(RADIANS(CP$7))-(IF($B$4, 9.807, 32.174)*CL74^2)/(2*CO$7^2*COS(RADIANS(CP$7))^2)+$D$7</f>
        <v>4.69095128064443</v>
      </c>
      <c r="CO74" s="123" t="n">
        <f aca="false">MIN($V$5,CN74)</f>
        <v>4.69095128064443</v>
      </c>
      <c r="CP74" s="112"/>
      <c r="CQ74" s="112" t="n">
        <f aca="false">CQ73+CQ$7/100</f>
        <v>1.32</v>
      </c>
      <c r="CR74" s="122" t="n">
        <f aca="false">CQ74+IF($I$3="Forward", $D$9, $G$9)</f>
        <v>1.32</v>
      </c>
      <c r="CS74" s="112" t="n">
        <f aca="false">CQ74*TAN(RADIANS(CU$7))-(IF($B$4, 9.807, 32.174)*CQ74^2)/(2*CT$7^2*COS(RADIANS(CU$7))^2)+$D$7</f>
        <v>4.69095128064443</v>
      </c>
      <c r="CT74" s="123" t="n">
        <f aca="false">MIN($V$5,CS74)</f>
        <v>4.69095128064443</v>
      </c>
      <c r="CU74" s="112"/>
      <c r="CV74" s="112" t="n">
        <f aca="false">CV73+CV$7/100</f>
        <v>1.32</v>
      </c>
      <c r="CW74" s="112" t="n">
        <f aca="false">CV74</f>
        <v>1.32</v>
      </c>
      <c r="CX74" s="112" t="n">
        <f aca="false">CV74*TAN(RADIANS(CZ$7))-(IF($B$4, 9.807, 32.174)*CV74^2)/(2*CY$7^2*COS(RADIANS(CZ$7))^2)+$D$7</f>
        <v>4.69095128064443</v>
      </c>
      <c r="CY74" s="123" t="n">
        <f aca="false">MIN($V$5,CX74)</f>
        <v>4.69095128064443</v>
      </c>
      <c r="CZ74" s="112"/>
      <c r="DA74" s="112" t="n">
        <f aca="false">DA73+DA$7/100</f>
        <v>1.32</v>
      </c>
      <c r="DB74" s="122" t="n">
        <f aca="false">DA74-IF($I$3="Forward", $D$9, $G$9)</f>
        <v>1.32</v>
      </c>
      <c r="DC74" s="112" t="n">
        <f aca="false">DA74*TAN(RADIANS(DE$7))-(IF($B$4, 9.807, 32.174)*DA74^2)/(2*DD$7^2*COS(RADIANS(DE$7))^2)+$D$7</f>
        <v>4.69095128064443</v>
      </c>
      <c r="DD74" s="123" t="n">
        <f aca="false">MIN($V$5,DC74)</f>
        <v>4.69095128064443</v>
      </c>
      <c r="DE74" s="112"/>
      <c r="DF74" s="112" t="n">
        <f aca="false">DF73+DF$7/100</f>
        <v>1.32</v>
      </c>
      <c r="DG74" s="122" t="n">
        <f aca="false">DF74+IF($I$3="Forward", $D$9, $G$9)</f>
        <v>1.32</v>
      </c>
      <c r="DH74" s="112" t="n">
        <f aca="false">DF74*TAN(RADIANS(DJ$7))-(IF($B$4, 9.807, 32.174)*DF74^2)/(2*DI$7^2*COS(RADIANS(DJ$7))^2)+$D$7</f>
        <v>4.69095128064443</v>
      </c>
      <c r="DI74" s="123" t="n">
        <f aca="false">MIN($V$5,DH74)</f>
        <v>4.69095128064443</v>
      </c>
      <c r="DJ74" s="112"/>
      <c r="DK74" s="112" t="n">
        <f aca="false">DK73+DK$7/100</f>
        <v>1.32</v>
      </c>
      <c r="DL74" s="112" t="n">
        <f aca="false">DK74</f>
        <v>1.32</v>
      </c>
      <c r="DM74" s="112" t="n">
        <f aca="false">DK74*TAN(RADIANS(DO$7))-(IF($B$4, 9.807, 32.174)*DK74^2)/(2*DN$7^2*COS(RADIANS(DO$7))^2)+$D$7</f>
        <v>4.69095128064443</v>
      </c>
      <c r="DN74" s="123" t="n">
        <f aca="false">MIN($V$5,DM74)</f>
        <v>4.69095128064443</v>
      </c>
      <c r="DO74" s="112"/>
      <c r="DP74" s="112" t="n">
        <f aca="false">DP73+DP$7/100</f>
        <v>1.32</v>
      </c>
      <c r="DQ74" s="122" t="n">
        <f aca="false">DP74-IF($I$3="Forward", $D$9, $G$9)</f>
        <v>1.32</v>
      </c>
      <c r="DR74" s="112" t="n">
        <f aca="false">DP74*TAN(RADIANS(DT$7))-(IF($B$4, 9.807, 32.174)*DP74^2)/(2*DS$7^2*COS(RADIANS(DT$7))^2)+$D$7</f>
        <v>4.69095128064443</v>
      </c>
      <c r="DS74" s="123" t="n">
        <f aca="false">MIN($V$5,DR74)</f>
        <v>4.69095128064443</v>
      </c>
      <c r="DT74" s="112"/>
      <c r="DU74" s="112" t="n">
        <f aca="false">DU73+DU$7/100</f>
        <v>1.32</v>
      </c>
      <c r="DV74" s="122" t="n">
        <f aca="false">DU74+IF($I$3="Forward", $D$9, $G$9)</f>
        <v>1.32</v>
      </c>
      <c r="DW74" s="112" t="n">
        <f aca="false">DU74*TAN(RADIANS(DY$7))-(IF($B$4, 9.807, 32.174)*DU74^2)/(2*DX$7^2*COS(RADIANS(DY$7))^2)+$D$7</f>
        <v>4.69095128064443</v>
      </c>
      <c r="DX74" s="123" t="n">
        <f aca="false">MIN($V$5,DW74)</f>
        <v>4.69095128064443</v>
      </c>
      <c r="DY74" s="112"/>
      <c r="DZ74" s="112" t="n">
        <f aca="false">DZ73+DZ$7/100</f>
        <v>1.32</v>
      </c>
      <c r="EA74" s="112" t="n">
        <f aca="false">DZ74</f>
        <v>1.32</v>
      </c>
      <c r="EB74" s="112" t="n">
        <f aca="false">DZ74*TAN(RADIANS(ED$7))-(IF($B$4, 9.807, 32.174)*DZ74^2)/(2*EC$7^2*COS(RADIANS(ED$7))^2)+$D$7</f>
        <v>4.69095128064443</v>
      </c>
      <c r="EC74" s="123" t="n">
        <f aca="false">MIN($V$5,EB74)</f>
        <v>4.69095128064443</v>
      </c>
      <c r="ED74" s="112"/>
      <c r="EE74" s="112" t="n">
        <f aca="false">EE73+EE$7/100</f>
        <v>1.32</v>
      </c>
      <c r="EF74" s="122" t="n">
        <f aca="false">EE74-IF($I$3="Forward", $D$9, $G$9)</f>
        <v>1.32</v>
      </c>
      <c r="EG74" s="112" t="n">
        <f aca="false">EE74*TAN(RADIANS(EI$7))-(IF($B$4, 9.807, 32.174)*EE74^2)/(2*EH$7^2*COS(RADIANS(EI$7))^2)+$D$7</f>
        <v>4.69095128064443</v>
      </c>
      <c r="EH74" s="123" t="n">
        <f aca="false">MIN($V$5,EG74)</f>
        <v>4.69095128064443</v>
      </c>
      <c r="EI74" s="112"/>
      <c r="EJ74" s="112" t="n">
        <f aca="false">EJ73+EJ$7/100</f>
        <v>1.32</v>
      </c>
      <c r="EK74" s="122" t="n">
        <f aca="false">EJ74+IF($I$3="Forward", $D$9, $G$9)</f>
        <v>1.32</v>
      </c>
      <c r="EL74" s="112" t="n">
        <f aca="false">EJ74*TAN(RADIANS(EN$7))-(IF($B$4, 9.807, 32.174)*EJ74^2)/(2*EM$7^2*COS(RADIANS(EN$7))^2)+$D$7</f>
        <v>4.69095128064443</v>
      </c>
      <c r="EM74" s="123" t="n">
        <f aca="false">MIN($V$5,EL74)</f>
        <v>4.69095128064443</v>
      </c>
      <c r="EN74" s="112"/>
      <c r="EO74" s="112" t="n">
        <f aca="false">EO73+EO$7/100</f>
        <v>1.32</v>
      </c>
      <c r="EP74" s="112" t="n">
        <f aca="false">EO74</f>
        <v>1.32</v>
      </c>
      <c r="EQ74" s="112" t="n">
        <f aca="false">EO74*TAN(RADIANS(ES$7))-(IF($B$4, 9.807, 32.174)*EO74^2)/(2*ER$7^2*COS(RADIANS(ES$7))^2)+$D$7</f>
        <v>4.69095128064443</v>
      </c>
      <c r="ER74" s="123" t="n">
        <f aca="false">MIN($V$5,EQ74)</f>
        <v>4.69095128064443</v>
      </c>
      <c r="ES74" s="112"/>
      <c r="ET74" s="112" t="n">
        <f aca="false">ET73+ET$7/100</f>
        <v>1.32</v>
      </c>
      <c r="EU74" s="122" t="n">
        <f aca="false">ET74-IF($I$3="Forward", $D$9, $G$9)</f>
        <v>1.32</v>
      </c>
      <c r="EV74" s="112" t="n">
        <f aca="false">ET74*TAN(RADIANS(EX$7))-(IF($B$4, 9.807, 32.174)*ET74^2)/(2*EW$7^2*COS(RADIANS(EX$7))^2)+$D$7</f>
        <v>4.69095128064443</v>
      </c>
      <c r="EW74" s="123" t="n">
        <f aca="false">MIN($V$5,EV74)</f>
        <v>4.69095128064443</v>
      </c>
      <c r="EX74" s="112"/>
    </row>
    <row r="75" s="131" customFormat="true" ht="15" hidden="false" customHeight="false" outlineLevel="0" collapsed="false">
      <c r="T75" s="112" t="n">
        <f aca="false">T74+T$7/100</f>
        <v>1.34</v>
      </c>
      <c r="U75" s="122" t="n">
        <f aca="false">T75+IF($I$3="Forward", $D$9, $G$9)</f>
        <v>1.34</v>
      </c>
      <c r="V75" s="112" t="n">
        <f aca="false">T75*TAN(RADIANS(X$7))-(IF($B$4, 9.807, 32.174)*T75^2)/(2*W$7^2*COS(RADIANS(X$7))^2)+$D$7</f>
        <v>4.66826082063495</v>
      </c>
      <c r="W75" s="123" t="n">
        <f aca="false">MIN($V$5,V75)</f>
        <v>4.66826082063495</v>
      </c>
      <c r="X75" s="112"/>
      <c r="Y75" s="112" t="n">
        <f aca="false">Y74+Y$7/100</f>
        <v>1.34</v>
      </c>
      <c r="Z75" s="112" t="n">
        <f aca="false">Y75</f>
        <v>1.34</v>
      </c>
      <c r="AA75" s="112" t="n">
        <f aca="false">Y75*TAN(RADIANS(AC$7))-(IF($B$4, 9.807, 32.174)*Y75^2)/(2*AB$7^2*COS(RADIANS(AC$7))^2)+$D$7</f>
        <v>4.66826082063495</v>
      </c>
      <c r="AB75" s="123" t="n">
        <f aca="false">MIN($V$5,AA75)</f>
        <v>4.66826082063495</v>
      </c>
      <c r="AC75" s="112"/>
      <c r="AD75" s="112" t="n">
        <f aca="false">AD74+AD$7/100</f>
        <v>1.34</v>
      </c>
      <c r="AE75" s="122" t="n">
        <f aca="false">AD75-IF($I$3="Forward", $D$9, $G$9)</f>
        <v>1.34</v>
      </c>
      <c r="AF75" s="112" t="n">
        <f aca="false">AD75*TAN(RADIANS(AH$7))-(IF($B$4, 9.807, 32.174)*AD75^2)/(2*AG$7^2*COS(RADIANS(AH$7))^2)+$D$7</f>
        <v>4.66826082063495</v>
      </c>
      <c r="AG75" s="123" t="n">
        <f aca="false">MIN($V$5,AF75)</f>
        <v>4.66826082063495</v>
      </c>
      <c r="AH75" s="112"/>
      <c r="AI75" s="112" t="n">
        <f aca="false">AI74+AI$7/100</f>
        <v>1.34</v>
      </c>
      <c r="AJ75" s="122" t="n">
        <f aca="false">AI75+IF($I$3="Forward", $D$9, $G$9)</f>
        <v>1.34</v>
      </c>
      <c r="AK75" s="112" t="n">
        <f aca="false">AI75*TAN(RADIANS(AM$7))-(IF($B$4, 9.807, 32.174)*AI75^2)/(2*AL$7^2*COS(RADIANS(AM$7))^2)+$D$7</f>
        <v>4.66826082063495</v>
      </c>
      <c r="AL75" s="123" t="n">
        <f aca="false">MIN($V$5,AK75)</f>
        <v>4.66826082063495</v>
      </c>
      <c r="AM75" s="112"/>
      <c r="AN75" s="112" t="n">
        <f aca="false">AN74+AN$7/100</f>
        <v>1.34</v>
      </c>
      <c r="AO75" s="112" t="n">
        <f aca="false">AN75</f>
        <v>1.34</v>
      </c>
      <c r="AP75" s="112" t="n">
        <f aca="false">AN75*TAN(RADIANS(AR$7))-(IF($B$4, 9.807, 32.174)*AN75^2)/(2*AQ$7^2*COS(RADIANS(AR$7))^2)+$D$7</f>
        <v>4.66826082063495</v>
      </c>
      <c r="AQ75" s="123" t="n">
        <f aca="false">MIN($V$5,AP75)</f>
        <v>4.66826082063495</v>
      </c>
      <c r="AR75" s="112"/>
      <c r="AS75" s="112" t="n">
        <f aca="false">AS74+AS$7/100</f>
        <v>1.34</v>
      </c>
      <c r="AT75" s="122" t="n">
        <f aca="false">AS75-IF($I$3="Forward", $D$9, $G$9)</f>
        <v>1.34</v>
      </c>
      <c r="AU75" s="112" t="n">
        <f aca="false">AS75*TAN(RADIANS(AW$7))-(IF($B$4, 9.807, 32.174)*AS75^2)/(2*AV$7^2*COS(RADIANS(AW$7))^2)+$D$7</f>
        <v>4.66826082063495</v>
      </c>
      <c r="AV75" s="123" t="n">
        <f aca="false">MIN($V$5,AU75)</f>
        <v>4.66826082063495</v>
      </c>
      <c r="AW75" s="112"/>
      <c r="AX75" s="112" t="n">
        <f aca="false">AX74+AX$7/100</f>
        <v>1.34</v>
      </c>
      <c r="AY75" s="122" t="n">
        <f aca="false">AX75+IF($I$3="Forward", $D$9, $G$9)</f>
        <v>1.34</v>
      </c>
      <c r="AZ75" s="112" t="n">
        <f aca="false">AX75*TAN(RADIANS(BB$7))-(IF($B$4, 9.807, 32.174)*AX75^2)/(2*BA$7^2*COS(RADIANS(BB$7))^2)+$D$7</f>
        <v>4.66826082063495</v>
      </c>
      <c r="BA75" s="123" t="n">
        <f aca="false">MIN($V$5,AZ75)</f>
        <v>4.66826082063495</v>
      </c>
      <c r="BB75" s="112"/>
      <c r="BC75" s="112" t="n">
        <f aca="false">BC74+BC$7/100</f>
        <v>1.34</v>
      </c>
      <c r="BD75" s="112" t="n">
        <f aca="false">BC75</f>
        <v>1.34</v>
      </c>
      <c r="BE75" s="112" t="n">
        <f aca="false">BC75*TAN(RADIANS(BG$7))-(IF($B$4, 9.807, 32.174)*BC75^2)/(2*BF$7^2*COS(RADIANS(BG$7))^2)+$D$7</f>
        <v>4.66826082063495</v>
      </c>
      <c r="BF75" s="123" t="n">
        <f aca="false">MIN($V$5,BE75)</f>
        <v>4.66826082063495</v>
      </c>
      <c r="BG75" s="112"/>
      <c r="BH75" s="112" t="n">
        <f aca="false">BH74+BH$7/100</f>
        <v>1.34</v>
      </c>
      <c r="BI75" s="122" t="n">
        <f aca="false">BH75-IF($I$3="Forward", $D$9, $G$9)</f>
        <v>1.34</v>
      </c>
      <c r="BJ75" s="112" t="n">
        <f aca="false">BH75*TAN(RADIANS(BL$7))-(IF($B$4, 9.807, 32.174)*BH75^2)/(2*BK$7^2*COS(RADIANS(BL$7))^2)+$D$7</f>
        <v>4.66826082063495</v>
      </c>
      <c r="BK75" s="123" t="n">
        <f aca="false">MIN($V$5,BJ75)</f>
        <v>4.66826082063495</v>
      </c>
      <c r="BL75" s="112"/>
      <c r="BM75" s="112" t="n">
        <f aca="false">BM74+BM$7/100</f>
        <v>1.34</v>
      </c>
      <c r="BN75" s="122" t="n">
        <f aca="false">BM75+IF($I$3="Forward", $D$9, $G$9)</f>
        <v>1.34</v>
      </c>
      <c r="BO75" s="112" t="n">
        <f aca="false">BM75*TAN(RADIANS(BQ$7))-(IF($B$4, 9.807, 32.174)*BM75^2)/(2*BP$7^2*COS(RADIANS(BQ$7))^2)+$D$7</f>
        <v>4.66826082063495</v>
      </c>
      <c r="BP75" s="123" t="n">
        <f aca="false">MIN($V$5,BO75)</f>
        <v>4.66826082063495</v>
      </c>
      <c r="BQ75" s="112"/>
      <c r="BR75" s="112" t="n">
        <f aca="false">BR74+BR$7/100</f>
        <v>1.34</v>
      </c>
      <c r="BS75" s="112" t="n">
        <f aca="false">BR75</f>
        <v>1.34</v>
      </c>
      <c r="BT75" s="112" t="n">
        <f aca="false">BR75*TAN(RADIANS(BV$7))-(IF($B$4, 9.807, 32.174)*BR75^2)/(2*BU$7^2*COS(RADIANS(BV$7))^2)+$D$7</f>
        <v>4.66826082063495</v>
      </c>
      <c r="BU75" s="123" t="n">
        <f aca="false">MIN($V$5,BT75)</f>
        <v>4.66826082063495</v>
      </c>
      <c r="BV75" s="112"/>
      <c r="BW75" s="112" t="n">
        <f aca="false">BW74+BW$7/100</f>
        <v>1.34</v>
      </c>
      <c r="BX75" s="122" t="n">
        <f aca="false">BW75-IF($I$3="Forward", $D$9, $G$9)</f>
        <v>1.34</v>
      </c>
      <c r="BY75" s="112" t="n">
        <f aca="false">BW75*TAN(RADIANS(CA$7))-(IF($B$4, 9.807, 32.174)*BW75^2)/(2*BZ$7^2*COS(RADIANS(CA$7))^2)+$D$7</f>
        <v>4.66826082063495</v>
      </c>
      <c r="BZ75" s="123" t="n">
        <f aca="false">MIN($V$5,BY75)</f>
        <v>4.66826082063495</v>
      </c>
      <c r="CA75" s="112"/>
      <c r="CB75" s="112" t="n">
        <f aca="false">CB74+CB$7/100</f>
        <v>1.34</v>
      </c>
      <c r="CC75" s="122" t="n">
        <f aca="false">CB75+IF($I$3="Forward", $D$9, $G$9)</f>
        <v>1.34</v>
      </c>
      <c r="CD75" s="112" t="n">
        <f aca="false">CB75*TAN(RADIANS(CF$7))-(IF($B$4, 9.807, 32.174)*CB75^2)/(2*CE$7^2*COS(RADIANS(CF$7))^2)+$D$7</f>
        <v>4.66826082063495</v>
      </c>
      <c r="CE75" s="123" t="n">
        <f aca="false">MIN($V$5,CD75)</f>
        <v>4.66826082063495</v>
      </c>
      <c r="CF75" s="112"/>
      <c r="CG75" s="124" t="n">
        <f aca="false">CG74+CG$7/100</f>
        <v>1.34</v>
      </c>
      <c r="CH75" s="124" t="n">
        <f aca="false">CG75</f>
        <v>1.34</v>
      </c>
      <c r="CI75" s="124" t="n">
        <f aca="false">CG75*TAN(RADIANS(CK$7))-(IF($B$4, 9.807, 32.174)*CG75^2)/(2*CJ$7^2*COS(RADIANS(CK$7))^2)+$D$7</f>
        <v>4.66826082063495</v>
      </c>
      <c r="CJ75" s="123" t="n">
        <f aca="false">MIN($V$5,CI75)</f>
        <v>4.66826082063495</v>
      </c>
      <c r="CK75" s="124"/>
      <c r="CL75" s="112" t="n">
        <f aca="false">CL74+CL$7/100</f>
        <v>1.34</v>
      </c>
      <c r="CM75" s="122" t="n">
        <f aca="false">CL75-IF($I$3="Forward", $D$9, $G$9)</f>
        <v>1.34</v>
      </c>
      <c r="CN75" s="112" t="n">
        <f aca="false">CL75*TAN(RADIANS(CP$7))-(IF($B$4, 9.807, 32.174)*CL75^2)/(2*CO$7^2*COS(RADIANS(CP$7))^2)+$D$7</f>
        <v>4.66826082063495</v>
      </c>
      <c r="CO75" s="123" t="n">
        <f aca="false">MIN($V$5,CN75)</f>
        <v>4.66826082063495</v>
      </c>
      <c r="CP75" s="112"/>
      <c r="CQ75" s="112" t="n">
        <f aca="false">CQ74+CQ$7/100</f>
        <v>1.34</v>
      </c>
      <c r="CR75" s="122" t="n">
        <f aca="false">CQ75+IF($I$3="Forward", $D$9, $G$9)</f>
        <v>1.34</v>
      </c>
      <c r="CS75" s="112" t="n">
        <f aca="false">CQ75*TAN(RADIANS(CU$7))-(IF($B$4, 9.807, 32.174)*CQ75^2)/(2*CT$7^2*COS(RADIANS(CU$7))^2)+$D$7</f>
        <v>4.66826082063495</v>
      </c>
      <c r="CT75" s="123" t="n">
        <f aca="false">MIN($V$5,CS75)</f>
        <v>4.66826082063495</v>
      </c>
      <c r="CU75" s="112"/>
      <c r="CV75" s="112" t="n">
        <f aca="false">CV74+CV$7/100</f>
        <v>1.34</v>
      </c>
      <c r="CW75" s="112" t="n">
        <f aca="false">CV75</f>
        <v>1.34</v>
      </c>
      <c r="CX75" s="112" t="n">
        <f aca="false">CV75*TAN(RADIANS(CZ$7))-(IF($B$4, 9.807, 32.174)*CV75^2)/(2*CY$7^2*COS(RADIANS(CZ$7))^2)+$D$7</f>
        <v>4.66826082063495</v>
      </c>
      <c r="CY75" s="123" t="n">
        <f aca="false">MIN($V$5,CX75)</f>
        <v>4.66826082063495</v>
      </c>
      <c r="CZ75" s="112"/>
      <c r="DA75" s="112" t="n">
        <f aca="false">DA74+DA$7/100</f>
        <v>1.34</v>
      </c>
      <c r="DB75" s="122" t="n">
        <f aca="false">DA75-IF($I$3="Forward", $D$9, $G$9)</f>
        <v>1.34</v>
      </c>
      <c r="DC75" s="112" t="n">
        <f aca="false">DA75*TAN(RADIANS(DE$7))-(IF($B$4, 9.807, 32.174)*DA75^2)/(2*DD$7^2*COS(RADIANS(DE$7))^2)+$D$7</f>
        <v>4.66826082063495</v>
      </c>
      <c r="DD75" s="123" t="n">
        <f aca="false">MIN($V$5,DC75)</f>
        <v>4.66826082063495</v>
      </c>
      <c r="DE75" s="112"/>
      <c r="DF75" s="112" t="n">
        <f aca="false">DF74+DF$7/100</f>
        <v>1.34</v>
      </c>
      <c r="DG75" s="122" t="n">
        <f aca="false">DF75+IF($I$3="Forward", $D$9, $G$9)</f>
        <v>1.34</v>
      </c>
      <c r="DH75" s="112" t="n">
        <f aca="false">DF75*TAN(RADIANS(DJ$7))-(IF($B$4, 9.807, 32.174)*DF75^2)/(2*DI$7^2*COS(RADIANS(DJ$7))^2)+$D$7</f>
        <v>4.66826082063495</v>
      </c>
      <c r="DI75" s="123" t="n">
        <f aca="false">MIN($V$5,DH75)</f>
        <v>4.66826082063495</v>
      </c>
      <c r="DJ75" s="112"/>
      <c r="DK75" s="112" t="n">
        <f aca="false">DK74+DK$7/100</f>
        <v>1.34</v>
      </c>
      <c r="DL75" s="112" t="n">
        <f aca="false">DK75</f>
        <v>1.34</v>
      </c>
      <c r="DM75" s="112" t="n">
        <f aca="false">DK75*TAN(RADIANS(DO$7))-(IF($B$4, 9.807, 32.174)*DK75^2)/(2*DN$7^2*COS(RADIANS(DO$7))^2)+$D$7</f>
        <v>4.66826082063495</v>
      </c>
      <c r="DN75" s="123" t="n">
        <f aca="false">MIN($V$5,DM75)</f>
        <v>4.66826082063495</v>
      </c>
      <c r="DO75" s="112"/>
      <c r="DP75" s="112" t="n">
        <f aca="false">DP74+DP$7/100</f>
        <v>1.34</v>
      </c>
      <c r="DQ75" s="122" t="n">
        <f aca="false">DP75-IF($I$3="Forward", $D$9, $G$9)</f>
        <v>1.34</v>
      </c>
      <c r="DR75" s="112" t="n">
        <f aca="false">DP75*TAN(RADIANS(DT$7))-(IF($B$4, 9.807, 32.174)*DP75^2)/(2*DS$7^2*COS(RADIANS(DT$7))^2)+$D$7</f>
        <v>4.66826082063495</v>
      </c>
      <c r="DS75" s="123" t="n">
        <f aca="false">MIN($V$5,DR75)</f>
        <v>4.66826082063495</v>
      </c>
      <c r="DT75" s="112"/>
      <c r="DU75" s="112" t="n">
        <f aca="false">DU74+DU$7/100</f>
        <v>1.34</v>
      </c>
      <c r="DV75" s="122" t="n">
        <f aca="false">DU75+IF($I$3="Forward", $D$9, $G$9)</f>
        <v>1.34</v>
      </c>
      <c r="DW75" s="112" t="n">
        <f aca="false">DU75*TAN(RADIANS(DY$7))-(IF($B$4, 9.807, 32.174)*DU75^2)/(2*DX$7^2*COS(RADIANS(DY$7))^2)+$D$7</f>
        <v>4.66826082063495</v>
      </c>
      <c r="DX75" s="123" t="n">
        <f aca="false">MIN($V$5,DW75)</f>
        <v>4.66826082063495</v>
      </c>
      <c r="DY75" s="112"/>
      <c r="DZ75" s="112" t="n">
        <f aca="false">DZ74+DZ$7/100</f>
        <v>1.34</v>
      </c>
      <c r="EA75" s="112" t="n">
        <f aca="false">DZ75</f>
        <v>1.34</v>
      </c>
      <c r="EB75" s="112" t="n">
        <f aca="false">DZ75*TAN(RADIANS(ED$7))-(IF($B$4, 9.807, 32.174)*DZ75^2)/(2*EC$7^2*COS(RADIANS(ED$7))^2)+$D$7</f>
        <v>4.66826082063495</v>
      </c>
      <c r="EC75" s="123" t="n">
        <f aca="false">MIN($V$5,EB75)</f>
        <v>4.66826082063495</v>
      </c>
      <c r="ED75" s="112"/>
      <c r="EE75" s="112" t="n">
        <f aca="false">EE74+EE$7/100</f>
        <v>1.34</v>
      </c>
      <c r="EF75" s="122" t="n">
        <f aca="false">EE75-IF($I$3="Forward", $D$9, $G$9)</f>
        <v>1.34</v>
      </c>
      <c r="EG75" s="112" t="n">
        <f aca="false">EE75*TAN(RADIANS(EI$7))-(IF($B$4, 9.807, 32.174)*EE75^2)/(2*EH$7^2*COS(RADIANS(EI$7))^2)+$D$7</f>
        <v>4.66826082063495</v>
      </c>
      <c r="EH75" s="123" t="n">
        <f aca="false">MIN($V$5,EG75)</f>
        <v>4.66826082063495</v>
      </c>
      <c r="EI75" s="112"/>
      <c r="EJ75" s="112" t="n">
        <f aca="false">EJ74+EJ$7/100</f>
        <v>1.34</v>
      </c>
      <c r="EK75" s="122" t="n">
        <f aca="false">EJ75+IF($I$3="Forward", $D$9, $G$9)</f>
        <v>1.34</v>
      </c>
      <c r="EL75" s="112" t="n">
        <f aca="false">EJ75*TAN(RADIANS(EN$7))-(IF($B$4, 9.807, 32.174)*EJ75^2)/(2*EM$7^2*COS(RADIANS(EN$7))^2)+$D$7</f>
        <v>4.66826082063495</v>
      </c>
      <c r="EM75" s="123" t="n">
        <f aca="false">MIN($V$5,EL75)</f>
        <v>4.66826082063495</v>
      </c>
      <c r="EN75" s="112"/>
      <c r="EO75" s="112" t="n">
        <f aca="false">EO74+EO$7/100</f>
        <v>1.34</v>
      </c>
      <c r="EP75" s="112" t="n">
        <f aca="false">EO75</f>
        <v>1.34</v>
      </c>
      <c r="EQ75" s="112" t="n">
        <f aca="false">EO75*TAN(RADIANS(ES$7))-(IF($B$4, 9.807, 32.174)*EO75^2)/(2*ER$7^2*COS(RADIANS(ES$7))^2)+$D$7</f>
        <v>4.66826082063495</v>
      </c>
      <c r="ER75" s="123" t="n">
        <f aca="false">MIN($V$5,EQ75)</f>
        <v>4.66826082063495</v>
      </c>
      <c r="ES75" s="112"/>
      <c r="ET75" s="112" t="n">
        <f aca="false">ET74+ET$7/100</f>
        <v>1.34</v>
      </c>
      <c r="EU75" s="122" t="n">
        <f aca="false">ET75-IF($I$3="Forward", $D$9, $G$9)</f>
        <v>1.34</v>
      </c>
      <c r="EV75" s="112" t="n">
        <f aca="false">ET75*TAN(RADIANS(EX$7))-(IF($B$4, 9.807, 32.174)*ET75^2)/(2*EW$7^2*COS(RADIANS(EX$7))^2)+$D$7</f>
        <v>4.66826082063495</v>
      </c>
      <c r="EW75" s="123" t="n">
        <f aca="false">MIN($V$5,EV75)</f>
        <v>4.66826082063495</v>
      </c>
      <c r="EX75" s="112"/>
    </row>
    <row r="76" s="131" customFormat="true" ht="15" hidden="false" customHeight="false" outlineLevel="0" collapsed="false">
      <c r="T76" s="112" t="n">
        <f aca="false">T75+T$7/100</f>
        <v>1.36</v>
      </c>
      <c r="U76" s="122" t="n">
        <f aca="false">T76+IF($I$3="Forward", $D$9, $G$9)</f>
        <v>1.36</v>
      </c>
      <c r="V76" s="112" t="n">
        <f aca="false">T76*TAN(RADIANS(X$7))-(IF($B$4, 9.807, 32.174)*T76^2)/(2*W$7^2*COS(RADIANS(X$7))^2)+$D$7</f>
        <v>4.64286184789763</v>
      </c>
      <c r="W76" s="123" t="n">
        <f aca="false">MIN($V$5,V76)</f>
        <v>4.64286184789763</v>
      </c>
      <c r="X76" s="112"/>
      <c r="Y76" s="112" t="n">
        <f aca="false">Y75+Y$7/100</f>
        <v>1.36</v>
      </c>
      <c r="Z76" s="112" t="n">
        <f aca="false">Y76</f>
        <v>1.36</v>
      </c>
      <c r="AA76" s="112" t="n">
        <f aca="false">Y76*TAN(RADIANS(AC$7))-(IF($B$4, 9.807, 32.174)*Y76^2)/(2*AB$7^2*COS(RADIANS(AC$7))^2)+$D$7</f>
        <v>4.64286184789763</v>
      </c>
      <c r="AB76" s="123" t="n">
        <f aca="false">MIN($V$5,AA76)</f>
        <v>4.64286184789763</v>
      </c>
      <c r="AC76" s="112"/>
      <c r="AD76" s="112" t="n">
        <f aca="false">AD75+AD$7/100</f>
        <v>1.36</v>
      </c>
      <c r="AE76" s="122" t="n">
        <f aca="false">AD76-IF($I$3="Forward", $D$9, $G$9)</f>
        <v>1.36</v>
      </c>
      <c r="AF76" s="112" t="n">
        <f aca="false">AD76*TAN(RADIANS(AH$7))-(IF($B$4, 9.807, 32.174)*AD76^2)/(2*AG$7^2*COS(RADIANS(AH$7))^2)+$D$7</f>
        <v>4.64286184789763</v>
      </c>
      <c r="AG76" s="123" t="n">
        <f aca="false">MIN($V$5,AF76)</f>
        <v>4.64286184789763</v>
      </c>
      <c r="AH76" s="112"/>
      <c r="AI76" s="112" t="n">
        <f aca="false">AI75+AI$7/100</f>
        <v>1.36</v>
      </c>
      <c r="AJ76" s="122" t="n">
        <f aca="false">AI76+IF($I$3="Forward", $D$9, $G$9)</f>
        <v>1.36</v>
      </c>
      <c r="AK76" s="112" t="n">
        <f aca="false">AI76*TAN(RADIANS(AM$7))-(IF($B$4, 9.807, 32.174)*AI76^2)/(2*AL$7^2*COS(RADIANS(AM$7))^2)+$D$7</f>
        <v>4.64286184789763</v>
      </c>
      <c r="AL76" s="123" t="n">
        <f aca="false">MIN($V$5,AK76)</f>
        <v>4.64286184789763</v>
      </c>
      <c r="AM76" s="112"/>
      <c r="AN76" s="112" t="n">
        <f aca="false">AN75+AN$7/100</f>
        <v>1.36</v>
      </c>
      <c r="AO76" s="112" t="n">
        <f aca="false">AN76</f>
        <v>1.36</v>
      </c>
      <c r="AP76" s="112" t="n">
        <f aca="false">AN76*TAN(RADIANS(AR$7))-(IF($B$4, 9.807, 32.174)*AN76^2)/(2*AQ$7^2*COS(RADIANS(AR$7))^2)+$D$7</f>
        <v>4.64286184789763</v>
      </c>
      <c r="AQ76" s="123" t="n">
        <f aca="false">MIN($V$5,AP76)</f>
        <v>4.64286184789763</v>
      </c>
      <c r="AR76" s="112"/>
      <c r="AS76" s="112" t="n">
        <f aca="false">AS75+AS$7/100</f>
        <v>1.36</v>
      </c>
      <c r="AT76" s="122" t="n">
        <f aca="false">AS76-IF($I$3="Forward", $D$9, $G$9)</f>
        <v>1.36</v>
      </c>
      <c r="AU76" s="112" t="n">
        <f aca="false">AS76*TAN(RADIANS(AW$7))-(IF($B$4, 9.807, 32.174)*AS76^2)/(2*AV$7^2*COS(RADIANS(AW$7))^2)+$D$7</f>
        <v>4.64286184789763</v>
      </c>
      <c r="AV76" s="123" t="n">
        <f aca="false">MIN($V$5,AU76)</f>
        <v>4.64286184789763</v>
      </c>
      <c r="AW76" s="112"/>
      <c r="AX76" s="112" t="n">
        <f aca="false">AX75+AX$7/100</f>
        <v>1.36</v>
      </c>
      <c r="AY76" s="122" t="n">
        <f aca="false">AX76+IF($I$3="Forward", $D$9, $G$9)</f>
        <v>1.36</v>
      </c>
      <c r="AZ76" s="112" t="n">
        <f aca="false">AX76*TAN(RADIANS(BB$7))-(IF($B$4, 9.807, 32.174)*AX76^2)/(2*BA$7^2*COS(RADIANS(BB$7))^2)+$D$7</f>
        <v>4.64286184789763</v>
      </c>
      <c r="BA76" s="123" t="n">
        <f aca="false">MIN($V$5,AZ76)</f>
        <v>4.64286184789763</v>
      </c>
      <c r="BB76" s="112"/>
      <c r="BC76" s="112" t="n">
        <f aca="false">BC75+BC$7/100</f>
        <v>1.36</v>
      </c>
      <c r="BD76" s="112" t="n">
        <f aca="false">BC76</f>
        <v>1.36</v>
      </c>
      <c r="BE76" s="112" t="n">
        <f aca="false">BC76*TAN(RADIANS(BG$7))-(IF($B$4, 9.807, 32.174)*BC76^2)/(2*BF$7^2*COS(RADIANS(BG$7))^2)+$D$7</f>
        <v>4.64286184789763</v>
      </c>
      <c r="BF76" s="123" t="n">
        <f aca="false">MIN($V$5,BE76)</f>
        <v>4.64286184789763</v>
      </c>
      <c r="BG76" s="112"/>
      <c r="BH76" s="112" t="n">
        <f aca="false">BH75+BH$7/100</f>
        <v>1.36</v>
      </c>
      <c r="BI76" s="122" t="n">
        <f aca="false">BH76-IF($I$3="Forward", $D$9, $G$9)</f>
        <v>1.36</v>
      </c>
      <c r="BJ76" s="112" t="n">
        <f aca="false">BH76*TAN(RADIANS(BL$7))-(IF($B$4, 9.807, 32.174)*BH76^2)/(2*BK$7^2*COS(RADIANS(BL$7))^2)+$D$7</f>
        <v>4.64286184789763</v>
      </c>
      <c r="BK76" s="123" t="n">
        <f aca="false">MIN($V$5,BJ76)</f>
        <v>4.64286184789763</v>
      </c>
      <c r="BL76" s="112"/>
      <c r="BM76" s="112" t="n">
        <f aca="false">BM75+BM$7/100</f>
        <v>1.36</v>
      </c>
      <c r="BN76" s="122" t="n">
        <f aca="false">BM76+IF($I$3="Forward", $D$9, $G$9)</f>
        <v>1.36</v>
      </c>
      <c r="BO76" s="112" t="n">
        <f aca="false">BM76*TAN(RADIANS(BQ$7))-(IF($B$4, 9.807, 32.174)*BM76^2)/(2*BP$7^2*COS(RADIANS(BQ$7))^2)+$D$7</f>
        <v>4.64286184789763</v>
      </c>
      <c r="BP76" s="123" t="n">
        <f aca="false">MIN($V$5,BO76)</f>
        <v>4.64286184789763</v>
      </c>
      <c r="BQ76" s="112"/>
      <c r="BR76" s="112" t="n">
        <f aca="false">BR75+BR$7/100</f>
        <v>1.36</v>
      </c>
      <c r="BS76" s="112" t="n">
        <f aca="false">BR76</f>
        <v>1.36</v>
      </c>
      <c r="BT76" s="112" t="n">
        <f aca="false">BR76*TAN(RADIANS(BV$7))-(IF($B$4, 9.807, 32.174)*BR76^2)/(2*BU$7^2*COS(RADIANS(BV$7))^2)+$D$7</f>
        <v>4.64286184789763</v>
      </c>
      <c r="BU76" s="123" t="n">
        <f aca="false">MIN($V$5,BT76)</f>
        <v>4.64286184789763</v>
      </c>
      <c r="BV76" s="112"/>
      <c r="BW76" s="112" t="n">
        <f aca="false">BW75+BW$7/100</f>
        <v>1.36</v>
      </c>
      <c r="BX76" s="122" t="n">
        <f aca="false">BW76-IF($I$3="Forward", $D$9, $G$9)</f>
        <v>1.36</v>
      </c>
      <c r="BY76" s="112" t="n">
        <f aca="false">BW76*TAN(RADIANS(CA$7))-(IF($B$4, 9.807, 32.174)*BW76^2)/(2*BZ$7^2*COS(RADIANS(CA$7))^2)+$D$7</f>
        <v>4.64286184789763</v>
      </c>
      <c r="BZ76" s="123" t="n">
        <f aca="false">MIN($V$5,BY76)</f>
        <v>4.64286184789763</v>
      </c>
      <c r="CA76" s="112"/>
      <c r="CB76" s="112" t="n">
        <f aca="false">CB75+CB$7/100</f>
        <v>1.36</v>
      </c>
      <c r="CC76" s="122" t="n">
        <f aca="false">CB76+IF($I$3="Forward", $D$9, $G$9)</f>
        <v>1.36</v>
      </c>
      <c r="CD76" s="112" t="n">
        <f aca="false">CB76*TAN(RADIANS(CF$7))-(IF($B$4, 9.807, 32.174)*CB76^2)/(2*CE$7^2*COS(RADIANS(CF$7))^2)+$D$7</f>
        <v>4.64286184789763</v>
      </c>
      <c r="CE76" s="123" t="n">
        <f aca="false">MIN($V$5,CD76)</f>
        <v>4.64286184789763</v>
      </c>
      <c r="CF76" s="112"/>
      <c r="CG76" s="124" t="n">
        <f aca="false">CG75+CG$7/100</f>
        <v>1.36</v>
      </c>
      <c r="CH76" s="124" t="n">
        <f aca="false">CG76</f>
        <v>1.36</v>
      </c>
      <c r="CI76" s="124" t="n">
        <f aca="false">CG76*TAN(RADIANS(CK$7))-(IF($B$4, 9.807, 32.174)*CG76^2)/(2*CJ$7^2*COS(RADIANS(CK$7))^2)+$D$7</f>
        <v>4.64286184789763</v>
      </c>
      <c r="CJ76" s="123" t="n">
        <f aca="false">MIN($V$5,CI76)</f>
        <v>4.64286184789763</v>
      </c>
      <c r="CK76" s="124"/>
      <c r="CL76" s="112" t="n">
        <f aca="false">CL75+CL$7/100</f>
        <v>1.36</v>
      </c>
      <c r="CM76" s="122" t="n">
        <f aca="false">CL76-IF($I$3="Forward", $D$9, $G$9)</f>
        <v>1.36</v>
      </c>
      <c r="CN76" s="112" t="n">
        <f aca="false">CL76*TAN(RADIANS(CP$7))-(IF($B$4, 9.807, 32.174)*CL76^2)/(2*CO$7^2*COS(RADIANS(CP$7))^2)+$D$7</f>
        <v>4.64286184789763</v>
      </c>
      <c r="CO76" s="123" t="n">
        <f aca="false">MIN($V$5,CN76)</f>
        <v>4.64286184789763</v>
      </c>
      <c r="CP76" s="112"/>
      <c r="CQ76" s="112" t="n">
        <f aca="false">CQ75+CQ$7/100</f>
        <v>1.36</v>
      </c>
      <c r="CR76" s="122" t="n">
        <f aca="false">CQ76+IF($I$3="Forward", $D$9, $G$9)</f>
        <v>1.36</v>
      </c>
      <c r="CS76" s="112" t="n">
        <f aca="false">CQ76*TAN(RADIANS(CU$7))-(IF($B$4, 9.807, 32.174)*CQ76^2)/(2*CT$7^2*COS(RADIANS(CU$7))^2)+$D$7</f>
        <v>4.64286184789763</v>
      </c>
      <c r="CT76" s="123" t="n">
        <f aca="false">MIN($V$5,CS76)</f>
        <v>4.64286184789763</v>
      </c>
      <c r="CU76" s="112"/>
      <c r="CV76" s="112" t="n">
        <f aca="false">CV75+CV$7/100</f>
        <v>1.36</v>
      </c>
      <c r="CW76" s="112" t="n">
        <f aca="false">CV76</f>
        <v>1.36</v>
      </c>
      <c r="CX76" s="112" t="n">
        <f aca="false">CV76*TAN(RADIANS(CZ$7))-(IF($B$4, 9.807, 32.174)*CV76^2)/(2*CY$7^2*COS(RADIANS(CZ$7))^2)+$D$7</f>
        <v>4.64286184789763</v>
      </c>
      <c r="CY76" s="123" t="n">
        <f aca="false">MIN($V$5,CX76)</f>
        <v>4.64286184789763</v>
      </c>
      <c r="CZ76" s="112"/>
      <c r="DA76" s="112" t="n">
        <f aca="false">DA75+DA$7/100</f>
        <v>1.36</v>
      </c>
      <c r="DB76" s="122" t="n">
        <f aca="false">DA76-IF($I$3="Forward", $D$9, $G$9)</f>
        <v>1.36</v>
      </c>
      <c r="DC76" s="112" t="n">
        <f aca="false">DA76*TAN(RADIANS(DE$7))-(IF($B$4, 9.807, 32.174)*DA76^2)/(2*DD$7^2*COS(RADIANS(DE$7))^2)+$D$7</f>
        <v>4.64286184789763</v>
      </c>
      <c r="DD76" s="123" t="n">
        <f aca="false">MIN($V$5,DC76)</f>
        <v>4.64286184789763</v>
      </c>
      <c r="DE76" s="112"/>
      <c r="DF76" s="112" t="n">
        <f aca="false">DF75+DF$7/100</f>
        <v>1.36</v>
      </c>
      <c r="DG76" s="122" t="n">
        <f aca="false">DF76+IF($I$3="Forward", $D$9, $G$9)</f>
        <v>1.36</v>
      </c>
      <c r="DH76" s="112" t="n">
        <f aca="false">DF76*TAN(RADIANS(DJ$7))-(IF($B$4, 9.807, 32.174)*DF76^2)/(2*DI$7^2*COS(RADIANS(DJ$7))^2)+$D$7</f>
        <v>4.64286184789763</v>
      </c>
      <c r="DI76" s="123" t="n">
        <f aca="false">MIN($V$5,DH76)</f>
        <v>4.64286184789763</v>
      </c>
      <c r="DJ76" s="112"/>
      <c r="DK76" s="112" t="n">
        <f aca="false">DK75+DK$7/100</f>
        <v>1.36</v>
      </c>
      <c r="DL76" s="112" t="n">
        <f aca="false">DK76</f>
        <v>1.36</v>
      </c>
      <c r="DM76" s="112" t="n">
        <f aca="false">DK76*TAN(RADIANS(DO$7))-(IF($B$4, 9.807, 32.174)*DK76^2)/(2*DN$7^2*COS(RADIANS(DO$7))^2)+$D$7</f>
        <v>4.64286184789763</v>
      </c>
      <c r="DN76" s="123" t="n">
        <f aca="false">MIN($V$5,DM76)</f>
        <v>4.64286184789763</v>
      </c>
      <c r="DO76" s="112"/>
      <c r="DP76" s="112" t="n">
        <f aca="false">DP75+DP$7/100</f>
        <v>1.36</v>
      </c>
      <c r="DQ76" s="122" t="n">
        <f aca="false">DP76-IF($I$3="Forward", $D$9, $G$9)</f>
        <v>1.36</v>
      </c>
      <c r="DR76" s="112" t="n">
        <f aca="false">DP76*TAN(RADIANS(DT$7))-(IF($B$4, 9.807, 32.174)*DP76^2)/(2*DS$7^2*COS(RADIANS(DT$7))^2)+$D$7</f>
        <v>4.64286184789763</v>
      </c>
      <c r="DS76" s="123" t="n">
        <f aca="false">MIN($V$5,DR76)</f>
        <v>4.64286184789763</v>
      </c>
      <c r="DT76" s="112"/>
      <c r="DU76" s="112" t="n">
        <f aca="false">DU75+DU$7/100</f>
        <v>1.36</v>
      </c>
      <c r="DV76" s="122" t="n">
        <f aca="false">DU76+IF($I$3="Forward", $D$9, $G$9)</f>
        <v>1.36</v>
      </c>
      <c r="DW76" s="112" t="n">
        <f aca="false">DU76*TAN(RADIANS(DY$7))-(IF($B$4, 9.807, 32.174)*DU76^2)/(2*DX$7^2*COS(RADIANS(DY$7))^2)+$D$7</f>
        <v>4.64286184789763</v>
      </c>
      <c r="DX76" s="123" t="n">
        <f aca="false">MIN($V$5,DW76)</f>
        <v>4.64286184789763</v>
      </c>
      <c r="DY76" s="112"/>
      <c r="DZ76" s="112" t="n">
        <f aca="false">DZ75+DZ$7/100</f>
        <v>1.36</v>
      </c>
      <c r="EA76" s="112" t="n">
        <f aca="false">DZ76</f>
        <v>1.36</v>
      </c>
      <c r="EB76" s="112" t="n">
        <f aca="false">DZ76*TAN(RADIANS(ED$7))-(IF($B$4, 9.807, 32.174)*DZ76^2)/(2*EC$7^2*COS(RADIANS(ED$7))^2)+$D$7</f>
        <v>4.64286184789763</v>
      </c>
      <c r="EC76" s="123" t="n">
        <f aca="false">MIN($V$5,EB76)</f>
        <v>4.64286184789763</v>
      </c>
      <c r="ED76" s="112"/>
      <c r="EE76" s="112" t="n">
        <f aca="false">EE75+EE$7/100</f>
        <v>1.36</v>
      </c>
      <c r="EF76" s="122" t="n">
        <f aca="false">EE76-IF($I$3="Forward", $D$9, $G$9)</f>
        <v>1.36</v>
      </c>
      <c r="EG76" s="112" t="n">
        <f aca="false">EE76*TAN(RADIANS(EI$7))-(IF($B$4, 9.807, 32.174)*EE76^2)/(2*EH$7^2*COS(RADIANS(EI$7))^2)+$D$7</f>
        <v>4.64286184789763</v>
      </c>
      <c r="EH76" s="123" t="n">
        <f aca="false">MIN($V$5,EG76)</f>
        <v>4.64286184789763</v>
      </c>
      <c r="EI76" s="112"/>
      <c r="EJ76" s="112" t="n">
        <f aca="false">EJ75+EJ$7/100</f>
        <v>1.36</v>
      </c>
      <c r="EK76" s="122" t="n">
        <f aca="false">EJ76+IF($I$3="Forward", $D$9, $G$9)</f>
        <v>1.36</v>
      </c>
      <c r="EL76" s="112" t="n">
        <f aca="false">EJ76*TAN(RADIANS(EN$7))-(IF($B$4, 9.807, 32.174)*EJ76^2)/(2*EM$7^2*COS(RADIANS(EN$7))^2)+$D$7</f>
        <v>4.64286184789763</v>
      </c>
      <c r="EM76" s="123" t="n">
        <f aca="false">MIN($V$5,EL76)</f>
        <v>4.64286184789763</v>
      </c>
      <c r="EN76" s="112"/>
      <c r="EO76" s="112" t="n">
        <f aca="false">EO75+EO$7/100</f>
        <v>1.36</v>
      </c>
      <c r="EP76" s="112" t="n">
        <f aca="false">EO76</f>
        <v>1.36</v>
      </c>
      <c r="EQ76" s="112" t="n">
        <f aca="false">EO76*TAN(RADIANS(ES$7))-(IF($B$4, 9.807, 32.174)*EO76^2)/(2*ER$7^2*COS(RADIANS(ES$7))^2)+$D$7</f>
        <v>4.64286184789763</v>
      </c>
      <c r="ER76" s="123" t="n">
        <f aca="false">MIN($V$5,EQ76)</f>
        <v>4.64286184789763</v>
      </c>
      <c r="ES76" s="112"/>
      <c r="ET76" s="112" t="n">
        <f aca="false">ET75+ET$7/100</f>
        <v>1.36</v>
      </c>
      <c r="EU76" s="122" t="n">
        <f aca="false">ET76-IF($I$3="Forward", $D$9, $G$9)</f>
        <v>1.36</v>
      </c>
      <c r="EV76" s="112" t="n">
        <f aca="false">ET76*TAN(RADIANS(EX$7))-(IF($B$4, 9.807, 32.174)*ET76^2)/(2*EW$7^2*COS(RADIANS(EX$7))^2)+$D$7</f>
        <v>4.64286184789763</v>
      </c>
      <c r="EW76" s="123" t="n">
        <f aca="false">MIN($V$5,EV76)</f>
        <v>4.64286184789763</v>
      </c>
      <c r="EX76" s="112"/>
    </row>
    <row r="77" s="131" customFormat="true" ht="15" hidden="false" customHeight="false" outlineLevel="0" collapsed="false">
      <c r="T77" s="112" t="n">
        <f aca="false">T76+T$7/100</f>
        <v>1.38</v>
      </c>
      <c r="U77" s="122" t="n">
        <f aca="false">T77+IF($I$3="Forward", $D$9, $G$9)</f>
        <v>1.38</v>
      </c>
      <c r="V77" s="112" t="n">
        <f aca="false">T77*TAN(RADIANS(X$7))-(IF($B$4, 9.807, 32.174)*T77^2)/(2*W$7^2*COS(RADIANS(X$7))^2)+$D$7</f>
        <v>4.61475436243246</v>
      </c>
      <c r="W77" s="123" t="n">
        <f aca="false">MIN($V$5,V77)</f>
        <v>4.61475436243246</v>
      </c>
      <c r="X77" s="112"/>
      <c r="Y77" s="112" t="n">
        <f aca="false">Y76+Y$7/100</f>
        <v>1.38</v>
      </c>
      <c r="Z77" s="112" t="n">
        <f aca="false">Y77</f>
        <v>1.38</v>
      </c>
      <c r="AA77" s="112" t="n">
        <f aca="false">Y77*TAN(RADIANS(AC$7))-(IF($B$4, 9.807, 32.174)*Y77^2)/(2*AB$7^2*COS(RADIANS(AC$7))^2)+$D$7</f>
        <v>4.61475436243246</v>
      </c>
      <c r="AB77" s="123" t="n">
        <f aca="false">MIN($V$5,AA77)</f>
        <v>4.61475436243246</v>
      </c>
      <c r="AC77" s="112"/>
      <c r="AD77" s="112" t="n">
        <f aca="false">AD76+AD$7/100</f>
        <v>1.38</v>
      </c>
      <c r="AE77" s="122" t="n">
        <f aca="false">AD77-IF($I$3="Forward", $D$9, $G$9)</f>
        <v>1.38</v>
      </c>
      <c r="AF77" s="112" t="n">
        <f aca="false">AD77*TAN(RADIANS(AH$7))-(IF($B$4, 9.807, 32.174)*AD77^2)/(2*AG$7^2*COS(RADIANS(AH$7))^2)+$D$7</f>
        <v>4.61475436243246</v>
      </c>
      <c r="AG77" s="123" t="n">
        <f aca="false">MIN($V$5,AF77)</f>
        <v>4.61475436243246</v>
      </c>
      <c r="AH77" s="112"/>
      <c r="AI77" s="112" t="n">
        <f aca="false">AI76+AI$7/100</f>
        <v>1.38</v>
      </c>
      <c r="AJ77" s="122" t="n">
        <f aca="false">AI77+IF($I$3="Forward", $D$9, $G$9)</f>
        <v>1.38</v>
      </c>
      <c r="AK77" s="112" t="n">
        <f aca="false">AI77*TAN(RADIANS(AM$7))-(IF($B$4, 9.807, 32.174)*AI77^2)/(2*AL$7^2*COS(RADIANS(AM$7))^2)+$D$7</f>
        <v>4.61475436243246</v>
      </c>
      <c r="AL77" s="123" t="n">
        <f aca="false">MIN($V$5,AK77)</f>
        <v>4.61475436243246</v>
      </c>
      <c r="AM77" s="112"/>
      <c r="AN77" s="112" t="n">
        <f aca="false">AN76+AN$7/100</f>
        <v>1.38</v>
      </c>
      <c r="AO77" s="112" t="n">
        <f aca="false">AN77</f>
        <v>1.38</v>
      </c>
      <c r="AP77" s="112" t="n">
        <f aca="false">AN77*TAN(RADIANS(AR$7))-(IF($B$4, 9.807, 32.174)*AN77^2)/(2*AQ$7^2*COS(RADIANS(AR$7))^2)+$D$7</f>
        <v>4.61475436243246</v>
      </c>
      <c r="AQ77" s="123" t="n">
        <f aca="false">MIN($V$5,AP77)</f>
        <v>4.61475436243246</v>
      </c>
      <c r="AR77" s="112"/>
      <c r="AS77" s="112" t="n">
        <f aca="false">AS76+AS$7/100</f>
        <v>1.38</v>
      </c>
      <c r="AT77" s="122" t="n">
        <f aca="false">AS77-IF($I$3="Forward", $D$9, $G$9)</f>
        <v>1.38</v>
      </c>
      <c r="AU77" s="112" t="n">
        <f aca="false">AS77*TAN(RADIANS(AW$7))-(IF($B$4, 9.807, 32.174)*AS77^2)/(2*AV$7^2*COS(RADIANS(AW$7))^2)+$D$7</f>
        <v>4.61475436243246</v>
      </c>
      <c r="AV77" s="123" t="n">
        <f aca="false">MIN($V$5,AU77)</f>
        <v>4.61475436243246</v>
      </c>
      <c r="AW77" s="112"/>
      <c r="AX77" s="112" t="n">
        <f aca="false">AX76+AX$7/100</f>
        <v>1.38</v>
      </c>
      <c r="AY77" s="122" t="n">
        <f aca="false">AX77+IF($I$3="Forward", $D$9, $G$9)</f>
        <v>1.38</v>
      </c>
      <c r="AZ77" s="112" t="n">
        <f aca="false">AX77*TAN(RADIANS(BB$7))-(IF($B$4, 9.807, 32.174)*AX77^2)/(2*BA$7^2*COS(RADIANS(BB$7))^2)+$D$7</f>
        <v>4.61475436243246</v>
      </c>
      <c r="BA77" s="123" t="n">
        <f aca="false">MIN($V$5,AZ77)</f>
        <v>4.61475436243246</v>
      </c>
      <c r="BB77" s="112"/>
      <c r="BC77" s="112" t="n">
        <f aca="false">BC76+BC$7/100</f>
        <v>1.38</v>
      </c>
      <c r="BD77" s="112" t="n">
        <f aca="false">BC77</f>
        <v>1.38</v>
      </c>
      <c r="BE77" s="112" t="n">
        <f aca="false">BC77*TAN(RADIANS(BG$7))-(IF($B$4, 9.807, 32.174)*BC77^2)/(2*BF$7^2*COS(RADIANS(BG$7))^2)+$D$7</f>
        <v>4.61475436243246</v>
      </c>
      <c r="BF77" s="123" t="n">
        <f aca="false">MIN($V$5,BE77)</f>
        <v>4.61475436243246</v>
      </c>
      <c r="BG77" s="112"/>
      <c r="BH77" s="112" t="n">
        <f aca="false">BH76+BH$7/100</f>
        <v>1.38</v>
      </c>
      <c r="BI77" s="122" t="n">
        <f aca="false">BH77-IF($I$3="Forward", $D$9, $G$9)</f>
        <v>1.38</v>
      </c>
      <c r="BJ77" s="112" t="n">
        <f aca="false">BH77*TAN(RADIANS(BL$7))-(IF($B$4, 9.807, 32.174)*BH77^2)/(2*BK$7^2*COS(RADIANS(BL$7))^2)+$D$7</f>
        <v>4.61475436243246</v>
      </c>
      <c r="BK77" s="123" t="n">
        <f aca="false">MIN($V$5,BJ77)</f>
        <v>4.61475436243246</v>
      </c>
      <c r="BL77" s="112"/>
      <c r="BM77" s="112" t="n">
        <f aca="false">BM76+BM$7/100</f>
        <v>1.38</v>
      </c>
      <c r="BN77" s="122" t="n">
        <f aca="false">BM77+IF($I$3="Forward", $D$9, $G$9)</f>
        <v>1.38</v>
      </c>
      <c r="BO77" s="112" t="n">
        <f aca="false">BM77*TAN(RADIANS(BQ$7))-(IF($B$4, 9.807, 32.174)*BM77^2)/(2*BP$7^2*COS(RADIANS(BQ$7))^2)+$D$7</f>
        <v>4.61475436243246</v>
      </c>
      <c r="BP77" s="123" t="n">
        <f aca="false">MIN($V$5,BO77)</f>
        <v>4.61475436243246</v>
      </c>
      <c r="BQ77" s="112"/>
      <c r="BR77" s="112" t="n">
        <f aca="false">BR76+BR$7/100</f>
        <v>1.38</v>
      </c>
      <c r="BS77" s="112" t="n">
        <f aca="false">BR77</f>
        <v>1.38</v>
      </c>
      <c r="BT77" s="112" t="n">
        <f aca="false">BR77*TAN(RADIANS(BV$7))-(IF($B$4, 9.807, 32.174)*BR77^2)/(2*BU$7^2*COS(RADIANS(BV$7))^2)+$D$7</f>
        <v>4.61475436243246</v>
      </c>
      <c r="BU77" s="123" t="n">
        <f aca="false">MIN($V$5,BT77)</f>
        <v>4.61475436243246</v>
      </c>
      <c r="BV77" s="112"/>
      <c r="BW77" s="112" t="n">
        <f aca="false">BW76+BW$7/100</f>
        <v>1.38</v>
      </c>
      <c r="BX77" s="122" t="n">
        <f aca="false">BW77-IF($I$3="Forward", $D$9, $G$9)</f>
        <v>1.38</v>
      </c>
      <c r="BY77" s="112" t="n">
        <f aca="false">BW77*TAN(RADIANS(CA$7))-(IF($B$4, 9.807, 32.174)*BW77^2)/(2*BZ$7^2*COS(RADIANS(CA$7))^2)+$D$7</f>
        <v>4.61475436243246</v>
      </c>
      <c r="BZ77" s="123" t="n">
        <f aca="false">MIN($V$5,BY77)</f>
        <v>4.61475436243246</v>
      </c>
      <c r="CA77" s="112"/>
      <c r="CB77" s="112" t="n">
        <f aca="false">CB76+CB$7/100</f>
        <v>1.38</v>
      </c>
      <c r="CC77" s="122" t="n">
        <f aca="false">CB77+IF($I$3="Forward", $D$9, $G$9)</f>
        <v>1.38</v>
      </c>
      <c r="CD77" s="112" t="n">
        <f aca="false">CB77*TAN(RADIANS(CF$7))-(IF($B$4, 9.807, 32.174)*CB77^2)/(2*CE$7^2*COS(RADIANS(CF$7))^2)+$D$7</f>
        <v>4.61475436243246</v>
      </c>
      <c r="CE77" s="123" t="n">
        <f aca="false">MIN($V$5,CD77)</f>
        <v>4.61475436243246</v>
      </c>
      <c r="CF77" s="112"/>
      <c r="CG77" s="124" t="n">
        <f aca="false">CG76+CG$7/100</f>
        <v>1.38</v>
      </c>
      <c r="CH77" s="124" t="n">
        <f aca="false">CG77</f>
        <v>1.38</v>
      </c>
      <c r="CI77" s="124" t="n">
        <f aca="false">CG77*TAN(RADIANS(CK$7))-(IF($B$4, 9.807, 32.174)*CG77^2)/(2*CJ$7^2*COS(RADIANS(CK$7))^2)+$D$7</f>
        <v>4.61475436243246</v>
      </c>
      <c r="CJ77" s="123" t="n">
        <f aca="false">MIN($V$5,CI77)</f>
        <v>4.61475436243246</v>
      </c>
      <c r="CK77" s="124"/>
      <c r="CL77" s="112" t="n">
        <f aca="false">CL76+CL$7/100</f>
        <v>1.38</v>
      </c>
      <c r="CM77" s="122" t="n">
        <f aca="false">CL77-IF($I$3="Forward", $D$9, $G$9)</f>
        <v>1.38</v>
      </c>
      <c r="CN77" s="112" t="n">
        <f aca="false">CL77*TAN(RADIANS(CP$7))-(IF($B$4, 9.807, 32.174)*CL77^2)/(2*CO$7^2*COS(RADIANS(CP$7))^2)+$D$7</f>
        <v>4.61475436243246</v>
      </c>
      <c r="CO77" s="123" t="n">
        <f aca="false">MIN($V$5,CN77)</f>
        <v>4.61475436243246</v>
      </c>
      <c r="CP77" s="112"/>
      <c r="CQ77" s="112" t="n">
        <f aca="false">CQ76+CQ$7/100</f>
        <v>1.38</v>
      </c>
      <c r="CR77" s="122" t="n">
        <f aca="false">CQ77+IF($I$3="Forward", $D$9, $G$9)</f>
        <v>1.38</v>
      </c>
      <c r="CS77" s="112" t="n">
        <f aca="false">CQ77*TAN(RADIANS(CU$7))-(IF($B$4, 9.807, 32.174)*CQ77^2)/(2*CT$7^2*COS(RADIANS(CU$7))^2)+$D$7</f>
        <v>4.61475436243246</v>
      </c>
      <c r="CT77" s="123" t="n">
        <f aca="false">MIN($V$5,CS77)</f>
        <v>4.61475436243246</v>
      </c>
      <c r="CU77" s="112"/>
      <c r="CV77" s="112" t="n">
        <f aca="false">CV76+CV$7/100</f>
        <v>1.38</v>
      </c>
      <c r="CW77" s="112" t="n">
        <f aca="false">CV77</f>
        <v>1.38</v>
      </c>
      <c r="CX77" s="112" t="n">
        <f aca="false">CV77*TAN(RADIANS(CZ$7))-(IF($B$4, 9.807, 32.174)*CV77^2)/(2*CY$7^2*COS(RADIANS(CZ$7))^2)+$D$7</f>
        <v>4.61475436243246</v>
      </c>
      <c r="CY77" s="123" t="n">
        <f aca="false">MIN($V$5,CX77)</f>
        <v>4.61475436243246</v>
      </c>
      <c r="CZ77" s="112"/>
      <c r="DA77" s="112" t="n">
        <f aca="false">DA76+DA$7/100</f>
        <v>1.38</v>
      </c>
      <c r="DB77" s="122" t="n">
        <f aca="false">DA77-IF($I$3="Forward", $D$9, $G$9)</f>
        <v>1.38</v>
      </c>
      <c r="DC77" s="112" t="n">
        <f aca="false">DA77*TAN(RADIANS(DE$7))-(IF($B$4, 9.807, 32.174)*DA77^2)/(2*DD$7^2*COS(RADIANS(DE$7))^2)+$D$7</f>
        <v>4.61475436243246</v>
      </c>
      <c r="DD77" s="123" t="n">
        <f aca="false">MIN($V$5,DC77)</f>
        <v>4.61475436243246</v>
      </c>
      <c r="DE77" s="112"/>
      <c r="DF77" s="112" t="n">
        <f aca="false">DF76+DF$7/100</f>
        <v>1.38</v>
      </c>
      <c r="DG77" s="122" t="n">
        <f aca="false">DF77+IF($I$3="Forward", $D$9, $G$9)</f>
        <v>1.38</v>
      </c>
      <c r="DH77" s="112" t="n">
        <f aca="false">DF77*TAN(RADIANS(DJ$7))-(IF($B$4, 9.807, 32.174)*DF77^2)/(2*DI$7^2*COS(RADIANS(DJ$7))^2)+$D$7</f>
        <v>4.61475436243246</v>
      </c>
      <c r="DI77" s="123" t="n">
        <f aca="false">MIN($V$5,DH77)</f>
        <v>4.61475436243246</v>
      </c>
      <c r="DJ77" s="112"/>
      <c r="DK77" s="112" t="n">
        <f aca="false">DK76+DK$7/100</f>
        <v>1.38</v>
      </c>
      <c r="DL77" s="112" t="n">
        <f aca="false">DK77</f>
        <v>1.38</v>
      </c>
      <c r="DM77" s="112" t="n">
        <f aca="false">DK77*TAN(RADIANS(DO$7))-(IF($B$4, 9.807, 32.174)*DK77^2)/(2*DN$7^2*COS(RADIANS(DO$7))^2)+$D$7</f>
        <v>4.61475436243246</v>
      </c>
      <c r="DN77" s="123" t="n">
        <f aca="false">MIN($V$5,DM77)</f>
        <v>4.61475436243246</v>
      </c>
      <c r="DO77" s="112"/>
      <c r="DP77" s="112" t="n">
        <f aca="false">DP76+DP$7/100</f>
        <v>1.38</v>
      </c>
      <c r="DQ77" s="122" t="n">
        <f aca="false">DP77-IF($I$3="Forward", $D$9, $G$9)</f>
        <v>1.38</v>
      </c>
      <c r="DR77" s="112" t="n">
        <f aca="false">DP77*TAN(RADIANS(DT$7))-(IF($B$4, 9.807, 32.174)*DP77^2)/(2*DS$7^2*COS(RADIANS(DT$7))^2)+$D$7</f>
        <v>4.61475436243246</v>
      </c>
      <c r="DS77" s="123" t="n">
        <f aca="false">MIN($V$5,DR77)</f>
        <v>4.61475436243246</v>
      </c>
      <c r="DT77" s="112"/>
      <c r="DU77" s="112" t="n">
        <f aca="false">DU76+DU$7/100</f>
        <v>1.38</v>
      </c>
      <c r="DV77" s="122" t="n">
        <f aca="false">DU77+IF($I$3="Forward", $D$9, $G$9)</f>
        <v>1.38</v>
      </c>
      <c r="DW77" s="112" t="n">
        <f aca="false">DU77*TAN(RADIANS(DY$7))-(IF($B$4, 9.807, 32.174)*DU77^2)/(2*DX$7^2*COS(RADIANS(DY$7))^2)+$D$7</f>
        <v>4.61475436243246</v>
      </c>
      <c r="DX77" s="123" t="n">
        <f aca="false">MIN($V$5,DW77)</f>
        <v>4.61475436243246</v>
      </c>
      <c r="DY77" s="112"/>
      <c r="DZ77" s="112" t="n">
        <f aca="false">DZ76+DZ$7/100</f>
        <v>1.38</v>
      </c>
      <c r="EA77" s="112" t="n">
        <f aca="false">DZ77</f>
        <v>1.38</v>
      </c>
      <c r="EB77" s="112" t="n">
        <f aca="false">DZ77*TAN(RADIANS(ED$7))-(IF($B$4, 9.807, 32.174)*DZ77^2)/(2*EC$7^2*COS(RADIANS(ED$7))^2)+$D$7</f>
        <v>4.61475436243246</v>
      </c>
      <c r="EC77" s="123" t="n">
        <f aca="false">MIN($V$5,EB77)</f>
        <v>4.61475436243246</v>
      </c>
      <c r="ED77" s="112"/>
      <c r="EE77" s="112" t="n">
        <f aca="false">EE76+EE$7/100</f>
        <v>1.38</v>
      </c>
      <c r="EF77" s="122" t="n">
        <f aca="false">EE77-IF($I$3="Forward", $D$9, $G$9)</f>
        <v>1.38</v>
      </c>
      <c r="EG77" s="112" t="n">
        <f aca="false">EE77*TAN(RADIANS(EI$7))-(IF($B$4, 9.807, 32.174)*EE77^2)/(2*EH$7^2*COS(RADIANS(EI$7))^2)+$D$7</f>
        <v>4.61475436243246</v>
      </c>
      <c r="EH77" s="123" t="n">
        <f aca="false">MIN($V$5,EG77)</f>
        <v>4.61475436243246</v>
      </c>
      <c r="EI77" s="112"/>
      <c r="EJ77" s="112" t="n">
        <f aca="false">EJ76+EJ$7/100</f>
        <v>1.38</v>
      </c>
      <c r="EK77" s="122" t="n">
        <f aca="false">EJ77+IF($I$3="Forward", $D$9, $G$9)</f>
        <v>1.38</v>
      </c>
      <c r="EL77" s="112" t="n">
        <f aca="false">EJ77*TAN(RADIANS(EN$7))-(IF($B$4, 9.807, 32.174)*EJ77^2)/(2*EM$7^2*COS(RADIANS(EN$7))^2)+$D$7</f>
        <v>4.61475436243246</v>
      </c>
      <c r="EM77" s="123" t="n">
        <f aca="false">MIN($V$5,EL77)</f>
        <v>4.61475436243246</v>
      </c>
      <c r="EN77" s="112"/>
      <c r="EO77" s="112" t="n">
        <f aca="false">EO76+EO$7/100</f>
        <v>1.38</v>
      </c>
      <c r="EP77" s="112" t="n">
        <f aca="false">EO77</f>
        <v>1.38</v>
      </c>
      <c r="EQ77" s="112" t="n">
        <f aca="false">EO77*TAN(RADIANS(ES$7))-(IF($B$4, 9.807, 32.174)*EO77^2)/(2*ER$7^2*COS(RADIANS(ES$7))^2)+$D$7</f>
        <v>4.61475436243246</v>
      </c>
      <c r="ER77" s="123" t="n">
        <f aca="false">MIN($V$5,EQ77)</f>
        <v>4.61475436243246</v>
      </c>
      <c r="ES77" s="112"/>
      <c r="ET77" s="112" t="n">
        <f aca="false">ET76+ET$7/100</f>
        <v>1.38</v>
      </c>
      <c r="EU77" s="122" t="n">
        <f aca="false">ET77-IF($I$3="Forward", $D$9, $G$9)</f>
        <v>1.38</v>
      </c>
      <c r="EV77" s="112" t="n">
        <f aca="false">ET77*TAN(RADIANS(EX$7))-(IF($B$4, 9.807, 32.174)*ET77^2)/(2*EW$7^2*COS(RADIANS(EX$7))^2)+$D$7</f>
        <v>4.61475436243246</v>
      </c>
      <c r="EW77" s="123" t="n">
        <f aca="false">MIN($V$5,EV77)</f>
        <v>4.61475436243246</v>
      </c>
      <c r="EX77" s="112"/>
    </row>
    <row r="78" s="131" customFormat="true" ht="15" hidden="false" customHeight="false" outlineLevel="0" collapsed="false">
      <c r="T78" s="112" t="n">
        <f aca="false">T77+T$7/100</f>
        <v>1.4</v>
      </c>
      <c r="U78" s="122" t="n">
        <f aca="false">T78+IF($I$3="Forward", $D$9, $G$9)</f>
        <v>1.4</v>
      </c>
      <c r="V78" s="112" t="n">
        <f aca="false">T78*TAN(RADIANS(X$7))-(IF($B$4, 9.807, 32.174)*T78^2)/(2*W$7^2*COS(RADIANS(X$7))^2)+$D$7</f>
        <v>4.58393836423944</v>
      </c>
      <c r="W78" s="123" t="n">
        <f aca="false">MIN($V$5,V78)</f>
        <v>4.58393836423944</v>
      </c>
      <c r="X78" s="112"/>
      <c r="Y78" s="112" t="n">
        <f aca="false">Y77+Y$7/100</f>
        <v>1.4</v>
      </c>
      <c r="Z78" s="112" t="n">
        <f aca="false">Y78</f>
        <v>1.4</v>
      </c>
      <c r="AA78" s="112" t="n">
        <f aca="false">Y78*TAN(RADIANS(AC$7))-(IF($B$4, 9.807, 32.174)*Y78^2)/(2*AB$7^2*COS(RADIANS(AC$7))^2)+$D$7</f>
        <v>4.58393836423944</v>
      </c>
      <c r="AB78" s="123" t="n">
        <f aca="false">MIN($V$5,AA78)</f>
        <v>4.58393836423944</v>
      </c>
      <c r="AC78" s="112"/>
      <c r="AD78" s="112" t="n">
        <f aca="false">AD77+AD$7/100</f>
        <v>1.4</v>
      </c>
      <c r="AE78" s="122" t="n">
        <f aca="false">AD78-IF($I$3="Forward", $D$9, $G$9)</f>
        <v>1.4</v>
      </c>
      <c r="AF78" s="112" t="n">
        <f aca="false">AD78*TAN(RADIANS(AH$7))-(IF($B$4, 9.807, 32.174)*AD78^2)/(2*AG$7^2*COS(RADIANS(AH$7))^2)+$D$7</f>
        <v>4.58393836423944</v>
      </c>
      <c r="AG78" s="123" t="n">
        <f aca="false">MIN($V$5,AF78)</f>
        <v>4.58393836423944</v>
      </c>
      <c r="AH78" s="112"/>
      <c r="AI78" s="112" t="n">
        <f aca="false">AI77+AI$7/100</f>
        <v>1.4</v>
      </c>
      <c r="AJ78" s="122" t="n">
        <f aca="false">AI78+IF($I$3="Forward", $D$9, $G$9)</f>
        <v>1.4</v>
      </c>
      <c r="AK78" s="112" t="n">
        <f aca="false">AI78*TAN(RADIANS(AM$7))-(IF($B$4, 9.807, 32.174)*AI78^2)/(2*AL$7^2*COS(RADIANS(AM$7))^2)+$D$7</f>
        <v>4.58393836423944</v>
      </c>
      <c r="AL78" s="123" t="n">
        <f aca="false">MIN($V$5,AK78)</f>
        <v>4.58393836423944</v>
      </c>
      <c r="AM78" s="112"/>
      <c r="AN78" s="112" t="n">
        <f aca="false">AN77+AN$7/100</f>
        <v>1.4</v>
      </c>
      <c r="AO78" s="112" t="n">
        <f aca="false">AN78</f>
        <v>1.4</v>
      </c>
      <c r="AP78" s="112" t="n">
        <f aca="false">AN78*TAN(RADIANS(AR$7))-(IF($B$4, 9.807, 32.174)*AN78^2)/(2*AQ$7^2*COS(RADIANS(AR$7))^2)+$D$7</f>
        <v>4.58393836423944</v>
      </c>
      <c r="AQ78" s="123" t="n">
        <f aca="false">MIN($V$5,AP78)</f>
        <v>4.58393836423944</v>
      </c>
      <c r="AR78" s="112"/>
      <c r="AS78" s="112" t="n">
        <f aca="false">AS77+AS$7/100</f>
        <v>1.4</v>
      </c>
      <c r="AT78" s="122" t="n">
        <f aca="false">AS78-IF($I$3="Forward", $D$9, $G$9)</f>
        <v>1.4</v>
      </c>
      <c r="AU78" s="112" t="n">
        <f aca="false">AS78*TAN(RADIANS(AW$7))-(IF($B$4, 9.807, 32.174)*AS78^2)/(2*AV$7^2*COS(RADIANS(AW$7))^2)+$D$7</f>
        <v>4.58393836423944</v>
      </c>
      <c r="AV78" s="123" t="n">
        <f aca="false">MIN($V$5,AU78)</f>
        <v>4.58393836423944</v>
      </c>
      <c r="AW78" s="112"/>
      <c r="AX78" s="112" t="n">
        <f aca="false">AX77+AX$7/100</f>
        <v>1.4</v>
      </c>
      <c r="AY78" s="122" t="n">
        <f aca="false">AX78+IF($I$3="Forward", $D$9, $G$9)</f>
        <v>1.4</v>
      </c>
      <c r="AZ78" s="112" t="n">
        <f aca="false">AX78*TAN(RADIANS(BB$7))-(IF($B$4, 9.807, 32.174)*AX78^2)/(2*BA$7^2*COS(RADIANS(BB$7))^2)+$D$7</f>
        <v>4.58393836423944</v>
      </c>
      <c r="BA78" s="123" t="n">
        <f aca="false">MIN($V$5,AZ78)</f>
        <v>4.58393836423944</v>
      </c>
      <c r="BB78" s="112"/>
      <c r="BC78" s="112" t="n">
        <f aca="false">BC77+BC$7/100</f>
        <v>1.4</v>
      </c>
      <c r="BD78" s="112" t="n">
        <f aca="false">BC78</f>
        <v>1.4</v>
      </c>
      <c r="BE78" s="112" t="n">
        <f aca="false">BC78*TAN(RADIANS(BG$7))-(IF($B$4, 9.807, 32.174)*BC78^2)/(2*BF$7^2*COS(RADIANS(BG$7))^2)+$D$7</f>
        <v>4.58393836423944</v>
      </c>
      <c r="BF78" s="123" t="n">
        <f aca="false">MIN($V$5,BE78)</f>
        <v>4.58393836423944</v>
      </c>
      <c r="BG78" s="112"/>
      <c r="BH78" s="112" t="n">
        <f aca="false">BH77+BH$7/100</f>
        <v>1.4</v>
      </c>
      <c r="BI78" s="122" t="n">
        <f aca="false">BH78-IF($I$3="Forward", $D$9, $G$9)</f>
        <v>1.4</v>
      </c>
      <c r="BJ78" s="112" t="n">
        <f aca="false">BH78*TAN(RADIANS(BL$7))-(IF($B$4, 9.807, 32.174)*BH78^2)/(2*BK$7^2*COS(RADIANS(BL$7))^2)+$D$7</f>
        <v>4.58393836423944</v>
      </c>
      <c r="BK78" s="123" t="n">
        <f aca="false">MIN($V$5,BJ78)</f>
        <v>4.58393836423944</v>
      </c>
      <c r="BL78" s="112"/>
      <c r="BM78" s="112" t="n">
        <f aca="false">BM77+BM$7/100</f>
        <v>1.4</v>
      </c>
      <c r="BN78" s="122" t="n">
        <f aca="false">BM78+IF($I$3="Forward", $D$9, $G$9)</f>
        <v>1.4</v>
      </c>
      <c r="BO78" s="112" t="n">
        <f aca="false">BM78*TAN(RADIANS(BQ$7))-(IF($B$4, 9.807, 32.174)*BM78^2)/(2*BP$7^2*COS(RADIANS(BQ$7))^2)+$D$7</f>
        <v>4.58393836423944</v>
      </c>
      <c r="BP78" s="123" t="n">
        <f aca="false">MIN($V$5,BO78)</f>
        <v>4.58393836423944</v>
      </c>
      <c r="BQ78" s="112"/>
      <c r="BR78" s="112" t="n">
        <f aca="false">BR77+BR$7/100</f>
        <v>1.4</v>
      </c>
      <c r="BS78" s="112" t="n">
        <f aca="false">BR78</f>
        <v>1.4</v>
      </c>
      <c r="BT78" s="112" t="n">
        <f aca="false">BR78*TAN(RADIANS(BV$7))-(IF($B$4, 9.807, 32.174)*BR78^2)/(2*BU$7^2*COS(RADIANS(BV$7))^2)+$D$7</f>
        <v>4.58393836423944</v>
      </c>
      <c r="BU78" s="123" t="n">
        <f aca="false">MIN($V$5,BT78)</f>
        <v>4.58393836423944</v>
      </c>
      <c r="BV78" s="112"/>
      <c r="BW78" s="112" t="n">
        <f aca="false">BW77+BW$7/100</f>
        <v>1.4</v>
      </c>
      <c r="BX78" s="122" t="n">
        <f aca="false">BW78-IF($I$3="Forward", $D$9, $G$9)</f>
        <v>1.4</v>
      </c>
      <c r="BY78" s="112" t="n">
        <f aca="false">BW78*TAN(RADIANS(CA$7))-(IF($B$4, 9.807, 32.174)*BW78^2)/(2*BZ$7^2*COS(RADIANS(CA$7))^2)+$D$7</f>
        <v>4.58393836423944</v>
      </c>
      <c r="BZ78" s="123" t="n">
        <f aca="false">MIN($V$5,BY78)</f>
        <v>4.58393836423944</v>
      </c>
      <c r="CA78" s="112"/>
      <c r="CB78" s="112" t="n">
        <f aca="false">CB77+CB$7/100</f>
        <v>1.4</v>
      </c>
      <c r="CC78" s="122" t="n">
        <f aca="false">CB78+IF($I$3="Forward", $D$9, $G$9)</f>
        <v>1.4</v>
      </c>
      <c r="CD78" s="112" t="n">
        <f aca="false">CB78*TAN(RADIANS(CF$7))-(IF($B$4, 9.807, 32.174)*CB78^2)/(2*CE$7^2*COS(RADIANS(CF$7))^2)+$D$7</f>
        <v>4.58393836423944</v>
      </c>
      <c r="CE78" s="123" t="n">
        <f aca="false">MIN($V$5,CD78)</f>
        <v>4.58393836423944</v>
      </c>
      <c r="CF78" s="112"/>
      <c r="CG78" s="124" t="n">
        <f aca="false">CG77+CG$7/100</f>
        <v>1.4</v>
      </c>
      <c r="CH78" s="124" t="n">
        <f aca="false">CG78</f>
        <v>1.4</v>
      </c>
      <c r="CI78" s="124" t="n">
        <f aca="false">CG78*TAN(RADIANS(CK$7))-(IF($B$4, 9.807, 32.174)*CG78^2)/(2*CJ$7^2*COS(RADIANS(CK$7))^2)+$D$7</f>
        <v>4.58393836423944</v>
      </c>
      <c r="CJ78" s="123" t="n">
        <f aca="false">MIN($V$5,CI78)</f>
        <v>4.58393836423944</v>
      </c>
      <c r="CK78" s="124"/>
      <c r="CL78" s="112" t="n">
        <f aca="false">CL77+CL$7/100</f>
        <v>1.4</v>
      </c>
      <c r="CM78" s="122" t="n">
        <f aca="false">CL78-IF($I$3="Forward", $D$9, $G$9)</f>
        <v>1.4</v>
      </c>
      <c r="CN78" s="112" t="n">
        <f aca="false">CL78*TAN(RADIANS(CP$7))-(IF($B$4, 9.807, 32.174)*CL78^2)/(2*CO$7^2*COS(RADIANS(CP$7))^2)+$D$7</f>
        <v>4.58393836423944</v>
      </c>
      <c r="CO78" s="123" t="n">
        <f aca="false">MIN($V$5,CN78)</f>
        <v>4.58393836423944</v>
      </c>
      <c r="CP78" s="112"/>
      <c r="CQ78" s="112" t="n">
        <f aca="false">CQ77+CQ$7/100</f>
        <v>1.4</v>
      </c>
      <c r="CR78" s="122" t="n">
        <f aca="false">CQ78+IF($I$3="Forward", $D$9, $G$9)</f>
        <v>1.4</v>
      </c>
      <c r="CS78" s="112" t="n">
        <f aca="false">CQ78*TAN(RADIANS(CU$7))-(IF($B$4, 9.807, 32.174)*CQ78^2)/(2*CT$7^2*COS(RADIANS(CU$7))^2)+$D$7</f>
        <v>4.58393836423944</v>
      </c>
      <c r="CT78" s="123" t="n">
        <f aca="false">MIN($V$5,CS78)</f>
        <v>4.58393836423944</v>
      </c>
      <c r="CU78" s="112"/>
      <c r="CV78" s="112" t="n">
        <f aca="false">CV77+CV$7/100</f>
        <v>1.4</v>
      </c>
      <c r="CW78" s="112" t="n">
        <f aca="false">CV78</f>
        <v>1.4</v>
      </c>
      <c r="CX78" s="112" t="n">
        <f aca="false">CV78*TAN(RADIANS(CZ$7))-(IF($B$4, 9.807, 32.174)*CV78^2)/(2*CY$7^2*COS(RADIANS(CZ$7))^2)+$D$7</f>
        <v>4.58393836423944</v>
      </c>
      <c r="CY78" s="123" t="n">
        <f aca="false">MIN($V$5,CX78)</f>
        <v>4.58393836423944</v>
      </c>
      <c r="CZ78" s="112"/>
      <c r="DA78" s="112" t="n">
        <f aca="false">DA77+DA$7/100</f>
        <v>1.4</v>
      </c>
      <c r="DB78" s="122" t="n">
        <f aca="false">DA78-IF($I$3="Forward", $D$9, $G$9)</f>
        <v>1.4</v>
      </c>
      <c r="DC78" s="112" t="n">
        <f aca="false">DA78*TAN(RADIANS(DE$7))-(IF($B$4, 9.807, 32.174)*DA78^2)/(2*DD$7^2*COS(RADIANS(DE$7))^2)+$D$7</f>
        <v>4.58393836423944</v>
      </c>
      <c r="DD78" s="123" t="n">
        <f aca="false">MIN($V$5,DC78)</f>
        <v>4.58393836423944</v>
      </c>
      <c r="DE78" s="112"/>
      <c r="DF78" s="112" t="n">
        <f aca="false">DF77+DF$7/100</f>
        <v>1.4</v>
      </c>
      <c r="DG78" s="122" t="n">
        <f aca="false">DF78+IF($I$3="Forward", $D$9, $G$9)</f>
        <v>1.4</v>
      </c>
      <c r="DH78" s="112" t="n">
        <f aca="false">DF78*TAN(RADIANS(DJ$7))-(IF($B$4, 9.807, 32.174)*DF78^2)/(2*DI$7^2*COS(RADIANS(DJ$7))^2)+$D$7</f>
        <v>4.58393836423944</v>
      </c>
      <c r="DI78" s="123" t="n">
        <f aca="false">MIN($V$5,DH78)</f>
        <v>4.58393836423944</v>
      </c>
      <c r="DJ78" s="112"/>
      <c r="DK78" s="112" t="n">
        <f aca="false">DK77+DK$7/100</f>
        <v>1.4</v>
      </c>
      <c r="DL78" s="112" t="n">
        <f aca="false">DK78</f>
        <v>1.4</v>
      </c>
      <c r="DM78" s="112" t="n">
        <f aca="false">DK78*TAN(RADIANS(DO$7))-(IF($B$4, 9.807, 32.174)*DK78^2)/(2*DN$7^2*COS(RADIANS(DO$7))^2)+$D$7</f>
        <v>4.58393836423944</v>
      </c>
      <c r="DN78" s="123" t="n">
        <f aca="false">MIN($V$5,DM78)</f>
        <v>4.58393836423944</v>
      </c>
      <c r="DO78" s="112"/>
      <c r="DP78" s="112" t="n">
        <f aca="false">DP77+DP$7/100</f>
        <v>1.4</v>
      </c>
      <c r="DQ78" s="122" t="n">
        <f aca="false">DP78-IF($I$3="Forward", $D$9, $G$9)</f>
        <v>1.4</v>
      </c>
      <c r="DR78" s="112" t="n">
        <f aca="false">DP78*TAN(RADIANS(DT$7))-(IF($B$4, 9.807, 32.174)*DP78^2)/(2*DS$7^2*COS(RADIANS(DT$7))^2)+$D$7</f>
        <v>4.58393836423944</v>
      </c>
      <c r="DS78" s="123" t="n">
        <f aca="false">MIN($V$5,DR78)</f>
        <v>4.58393836423944</v>
      </c>
      <c r="DT78" s="112"/>
      <c r="DU78" s="112" t="n">
        <f aca="false">DU77+DU$7/100</f>
        <v>1.4</v>
      </c>
      <c r="DV78" s="122" t="n">
        <f aca="false">DU78+IF($I$3="Forward", $D$9, $G$9)</f>
        <v>1.4</v>
      </c>
      <c r="DW78" s="112" t="n">
        <f aca="false">DU78*TAN(RADIANS(DY$7))-(IF($B$4, 9.807, 32.174)*DU78^2)/(2*DX$7^2*COS(RADIANS(DY$7))^2)+$D$7</f>
        <v>4.58393836423944</v>
      </c>
      <c r="DX78" s="123" t="n">
        <f aca="false">MIN($V$5,DW78)</f>
        <v>4.58393836423944</v>
      </c>
      <c r="DY78" s="112"/>
      <c r="DZ78" s="112" t="n">
        <f aca="false">DZ77+DZ$7/100</f>
        <v>1.4</v>
      </c>
      <c r="EA78" s="112" t="n">
        <f aca="false">DZ78</f>
        <v>1.4</v>
      </c>
      <c r="EB78" s="112" t="n">
        <f aca="false">DZ78*TAN(RADIANS(ED$7))-(IF($B$4, 9.807, 32.174)*DZ78^2)/(2*EC$7^2*COS(RADIANS(ED$7))^2)+$D$7</f>
        <v>4.58393836423944</v>
      </c>
      <c r="EC78" s="123" t="n">
        <f aca="false">MIN($V$5,EB78)</f>
        <v>4.58393836423944</v>
      </c>
      <c r="ED78" s="112"/>
      <c r="EE78" s="112" t="n">
        <f aca="false">EE77+EE$7/100</f>
        <v>1.4</v>
      </c>
      <c r="EF78" s="122" t="n">
        <f aca="false">EE78-IF($I$3="Forward", $D$9, $G$9)</f>
        <v>1.4</v>
      </c>
      <c r="EG78" s="112" t="n">
        <f aca="false">EE78*TAN(RADIANS(EI$7))-(IF($B$4, 9.807, 32.174)*EE78^2)/(2*EH$7^2*COS(RADIANS(EI$7))^2)+$D$7</f>
        <v>4.58393836423944</v>
      </c>
      <c r="EH78" s="123" t="n">
        <f aca="false">MIN($V$5,EG78)</f>
        <v>4.58393836423944</v>
      </c>
      <c r="EI78" s="112"/>
      <c r="EJ78" s="112" t="n">
        <f aca="false">EJ77+EJ$7/100</f>
        <v>1.4</v>
      </c>
      <c r="EK78" s="122" t="n">
        <f aca="false">EJ78+IF($I$3="Forward", $D$9, $G$9)</f>
        <v>1.4</v>
      </c>
      <c r="EL78" s="112" t="n">
        <f aca="false">EJ78*TAN(RADIANS(EN$7))-(IF($B$4, 9.807, 32.174)*EJ78^2)/(2*EM$7^2*COS(RADIANS(EN$7))^2)+$D$7</f>
        <v>4.58393836423944</v>
      </c>
      <c r="EM78" s="123" t="n">
        <f aca="false">MIN($V$5,EL78)</f>
        <v>4.58393836423944</v>
      </c>
      <c r="EN78" s="112"/>
      <c r="EO78" s="112" t="n">
        <f aca="false">EO77+EO$7/100</f>
        <v>1.4</v>
      </c>
      <c r="EP78" s="112" t="n">
        <f aca="false">EO78</f>
        <v>1.4</v>
      </c>
      <c r="EQ78" s="112" t="n">
        <f aca="false">EO78*TAN(RADIANS(ES$7))-(IF($B$4, 9.807, 32.174)*EO78^2)/(2*ER$7^2*COS(RADIANS(ES$7))^2)+$D$7</f>
        <v>4.58393836423944</v>
      </c>
      <c r="ER78" s="123" t="n">
        <f aca="false">MIN($V$5,EQ78)</f>
        <v>4.58393836423944</v>
      </c>
      <c r="ES78" s="112"/>
      <c r="ET78" s="112" t="n">
        <f aca="false">ET77+ET$7/100</f>
        <v>1.4</v>
      </c>
      <c r="EU78" s="122" t="n">
        <f aca="false">ET78-IF($I$3="Forward", $D$9, $G$9)</f>
        <v>1.4</v>
      </c>
      <c r="EV78" s="112" t="n">
        <f aca="false">ET78*TAN(RADIANS(EX$7))-(IF($B$4, 9.807, 32.174)*ET78^2)/(2*EW$7^2*COS(RADIANS(EX$7))^2)+$D$7</f>
        <v>4.58393836423944</v>
      </c>
      <c r="EW78" s="123" t="n">
        <f aca="false">MIN($V$5,EV78)</f>
        <v>4.58393836423944</v>
      </c>
      <c r="EX78" s="112"/>
    </row>
    <row r="79" s="131" customFormat="true" ht="15" hidden="false" customHeight="false" outlineLevel="0" collapsed="false">
      <c r="T79" s="112" t="n">
        <f aca="false">T78+T$7/100</f>
        <v>1.42</v>
      </c>
      <c r="U79" s="122" t="n">
        <f aca="false">T79+IF($I$3="Forward", $D$9, $G$9)</f>
        <v>1.42</v>
      </c>
      <c r="V79" s="112" t="n">
        <f aca="false">T79*TAN(RADIANS(X$7))-(IF($B$4, 9.807, 32.174)*T79^2)/(2*W$7^2*COS(RADIANS(X$7))^2)+$D$7</f>
        <v>4.55041385331857</v>
      </c>
      <c r="W79" s="123" t="n">
        <f aca="false">MIN($V$5,V79)</f>
        <v>4.55041385331857</v>
      </c>
      <c r="X79" s="112"/>
      <c r="Y79" s="112" t="n">
        <f aca="false">Y78+Y$7/100</f>
        <v>1.42</v>
      </c>
      <c r="Z79" s="112" t="n">
        <f aca="false">Y79</f>
        <v>1.42</v>
      </c>
      <c r="AA79" s="112" t="n">
        <f aca="false">Y79*TAN(RADIANS(AC$7))-(IF($B$4, 9.807, 32.174)*Y79^2)/(2*AB$7^2*COS(RADIANS(AC$7))^2)+$D$7</f>
        <v>4.55041385331857</v>
      </c>
      <c r="AB79" s="123" t="n">
        <f aca="false">MIN($V$5,AA79)</f>
        <v>4.55041385331857</v>
      </c>
      <c r="AC79" s="112"/>
      <c r="AD79" s="112" t="n">
        <f aca="false">AD78+AD$7/100</f>
        <v>1.42</v>
      </c>
      <c r="AE79" s="122" t="n">
        <f aca="false">AD79-IF($I$3="Forward", $D$9, $G$9)</f>
        <v>1.42</v>
      </c>
      <c r="AF79" s="112" t="n">
        <f aca="false">AD79*TAN(RADIANS(AH$7))-(IF($B$4, 9.807, 32.174)*AD79^2)/(2*AG$7^2*COS(RADIANS(AH$7))^2)+$D$7</f>
        <v>4.55041385331857</v>
      </c>
      <c r="AG79" s="123" t="n">
        <f aca="false">MIN($V$5,AF79)</f>
        <v>4.55041385331857</v>
      </c>
      <c r="AH79" s="112"/>
      <c r="AI79" s="112" t="n">
        <f aca="false">AI78+AI$7/100</f>
        <v>1.42</v>
      </c>
      <c r="AJ79" s="122" t="n">
        <f aca="false">AI79+IF($I$3="Forward", $D$9, $G$9)</f>
        <v>1.42</v>
      </c>
      <c r="AK79" s="112" t="n">
        <f aca="false">AI79*TAN(RADIANS(AM$7))-(IF($B$4, 9.807, 32.174)*AI79^2)/(2*AL$7^2*COS(RADIANS(AM$7))^2)+$D$7</f>
        <v>4.55041385331857</v>
      </c>
      <c r="AL79" s="123" t="n">
        <f aca="false">MIN($V$5,AK79)</f>
        <v>4.55041385331857</v>
      </c>
      <c r="AM79" s="112"/>
      <c r="AN79" s="112" t="n">
        <f aca="false">AN78+AN$7/100</f>
        <v>1.42</v>
      </c>
      <c r="AO79" s="112" t="n">
        <f aca="false">AN79</f>
        <v>1.42</v>
      </c>
      <c r="AP79" s="112" t="n">
        <f aca="false">AN79*TAN(RADIANS(AR$7))-(IF($B$4, 9.807, 32.174)*AN79^2)/(2*AQ$7^2*COS(RADIANS(AR$7))^2)+$D$7</f>
        <v>4.55041385331857</v>
      </c>
      <c r="AQ79" s="123" t="n">
        <f aca="false">MIN($V$5,AP79)</f>
        <v>4.55041385331857</v>
      </c>
      <c r="AR79" s="112"/>
      <c r="AS79" s="112" t="n">
        <f aca="false">AS78+AS$7/100</f>
        <v>1.42</v>
      </c>
      <c r="AT79" s="122" t="n">
        <f aca="false">AS79-IF($I$3="Forward", $D$9, $G$9)</f>
        <v>1.42</v>
      </c>
      <c r="AU79" s="112" t="n">
        <f aca="false">AS79*TAN(RADIANS(AW$7))-(IF($B$4, 9.807, 32.174)*AS79^2)/(2*AV$7^2*COS(RADIANS(AW$7))^2)+$D$7</f>
        <v>4.55041385331857</v>
      </c>
      <c r="AV79" s="123" t="n">
        <f aca="false">MIN($V$5,AU79)</f>
        <v>4.55041385331857</v>
      </c>
      <c r="AW79" s="112"/>
      <c r="AX79" s="112" t="n">
        <f aca="false">AX78+AX$7/100</f>
        <v>1.42</v>
      </c>
      <c r="AY79" s="122" t="n">
        <f aca="false">AX79+IF($I$3="Forward", $D$9, $G$9)</f>
        <v>1.42</v>
      </c>
      <c r="AZ79" s="112" t="n">
        <f aca="false">AX79*TAN(RADIANS(BB$7))-(IF($B$4, 9.807, 32.174)*AX79^2)/(2*BA$7^2*COS(RADIANS(BB$7))^2)+$D$7</f>
        <v>4.55041385331857</v>
      </c>
      <c r="BA79" s="123" t="n">
        <f aca="false">MIN($V$5,AZ79)</f>
        <v>4.55041385331857</v>
      </c>
      <c r="BB79" s="112"/>
      <c r="BC79" s="112" t="n">
        <f aca="false">BC78+BC$7/100</f>
        <v>1.42</v>
      </c>
      <c r="BD79" s="112" t="n">
        <f aca="false">BC79</f>
        <v>1.42</v>
      </c>
      <c r="BE79" s="112" t="n">
        <f aca="false">BC79*TAN(RADIANS(BG$7))-(IF($B$4, 9.807, 32.174)*BC79^2)/(2*BF$7^2*COS(RADIANS(BG$7))^2)+$D$7</f>
        <v>4.55041385331857</v>
      </c>
      <c r="BF79" s="123" t="n">
        <f aca="false">MIN($V$5,BE79)</f>
        <v>4.55041385331857</v>
      </c>
      <c r="BG79" s="112"/>
      <c r="BH79" s="112" t="n">
        <f aca="false">BH78+BH$7/100</f>
        <v>1.42</v>
      </c>
      <c r="BI79" s="122" t="n">
        <f aca="false">BH79-IF($I$3="Forward", $D$9, $G$9)</f>
        <v>1.42</v>
      </c>
      <c r="BJ79" s="112" t="n">
        <f aca="false">BH79*TAN(RADIANS(BL$7))-(IF($B$4, 9.807, 32.174)*BH79^2)/(2*BK$7^2*COS(RADIANS(BL$7))^2)+$D$7</f>
        <v>4.55041385331857</v>
      </c>
      <c r="BK79" s="123" t="n">
        <f aca="false">MIN($V$5,BJ79)</f>
        <v>4.55041385331857</v>
      </c>
      <c r="BL79" s="112"/>
      <c r="BM79" s="112" t="n">
        <f aca="false">BM78+BM$7/100</f>
        <v>1.42</v>
      </c>
      <c r="BN79" s="122" t="n">
        <f aca="false">BM79+IF($I$3="Forward", $D$9, $G$9)</f>
        <v>1.42</v>
      </c>
      <c r="BO79" s="112" t="n">
        <f aca="false">BM79*TAN(RADIANS(BQ$7))-(IF($B$4, 9.807, 32.174)*BM79^2)/(2*BP$7^2*COS(RADIANS(BQ$7))^2)+$D$7</f>
        <v>4.55041385331857</v>
      </c>
      <c r="BP79" s="123" t="n">
        <f aca="false">MIN($V$5,BO79)</f>
        <v>4.55041385331857</v>
      </c>
      <c r="BQ79" s="112"/>
      <c r="BR79" s="112" t="n">
        <f aca="false">BR78+BR$7/100</f>
        <v>1.42</v>
      </c>
      <c r="BS79" s="112" t="n">
        <f aca="false">BR79</f>
        <v>1.42</v>
      </c>
      <c r="BT79" s="112" t="n">
        <f aca="false">BR79*TAN(RADIANS(BV$7))-(IF($B$4, 9.807, 32.174)*BR79^2)/(2*BU$7^2*COS(RADIANS(BV$7))^2)+$D$7</f>
        <v>4.55041385331857</v>
      </c>
      <c r="BU79" s="123" t="n">
        <f aca="false">MIN($V$5,BT79)</f>
        <v>4.55041385331857</v>
      </c>
      <c r="BV79" s="112"/>
      <c r="BW79" s="112" t="n">
        <f aca="false">BW78+BW$7/100</f>
        <v>1.42</v>
      </c>
      <c r="BX79" s="122" t="n">
        <f aca="false">BW79-IF($I$3="Forward", $D$9, $G$9)</f>
        <v>1.42</v>
      </c>
      <c r="BY79" s="112" t="n">
        <f aca="false">BW79*TAN(RADIANS(CA$7))-(IF($B$4, 9.807, 32.174)*BW79^2)/(2*BZ$7^2*COS(RADIANS(CA$7))^2)+$D$7</f>
        <v>4.55041385331857</v>
      </c>
      <c r="BZ79" s="123" t="n">
        <f aca="false">MIN($V$5,BY79)</f>
        <v>4.55041385331857</v>
      </c>
      <c r="CA79" s="112"/>
      <c r="CB79" s="112" t="n">
        <f aca="false">CB78+CB$7/100</f>
        <v>1.42</v>
      </c>
      <c r="CC79" s="122" t="n">
        <f aca="false">CB79+IF($I$3="Forward", $D$9, $G$9)</f>
        <v>1.42</v>
      </c>
      <c r="CD79" s="112" t="n">
        <f aca="false">CB79*TAN(RADIANS(CF$7))-(IF($B$4, 9.807, 32.174)*CB79^2)/(2*CE$7^2*COS(RADIANS(CF$7))^2)+$D$7</f>
        <v>4.55041385331857</v>
      </c>
      <c r="CE79" s="123" t="n">
        <f aca="false">MIN($V$5,CD79)</f>
        <v>4.55041385331857</v>
      </c>
      <c r="CF79" s="112"/>
      <c r="CG79" s="124" t="n">
        <f aca="false">CG78+CG$7/100</f>
        <v>1.42</v>
      </c>
      <c r="CH79" s="124" t="n">
        <f aca="false">CG79</f>
        <v>1.42</v>
      </c>
      <c r="CI79" s="124" t="n">
        <f aca="false">CG79*TAN(RADIANS(CK$7))-(IF($B$4, 9.807, 32.174)*CG79^2)/(2*CJ$7^2*COS(RADIANS(CK$7))^2)+$D$7</f>
        <v>4.55041385331857</v>
      </c>
      <c r="CJ79" s="123" t="n">
        <f aca="false">MIN($V$5,CI79)</f>
        <v>4.55041385331857</v>
      </c>
      <c r="CK79" s="124"/>
      <c r="CL79" s="112" t="n">
        <f aca="false">CL78+CL$7/100</f>
        <v>1.42</v>
      </c>
      <c r="CM79" s="122" t="n">
        <f aca="false">CL79-IF($I$3="Forward", $D$9, $G$9)</f>
        <v>1.42</v>
      </c>
      <c r="CN79" s="112" t="n">
        <f aca="false">CL79*TAN(RADIANS(CP$7))-(IF($B$4, 9.807, 32.174)*CL79^2)/(2*CO$7^2*COS(RADIANS(CP$7))^2)+$D$7</f>
        <v>4.55041385331857</v>
      </c>
      <c r="CO79" s="123" t="n">
        <f aca="false">MIN($V$5,CN79)</f>
        <v>4.55041385331857</v>
      </c>
      <c r="CP79" s="112"/>
      <c r="CQ79" s="112" t="n">
        <f aca="false">CQ78+CQ$7/100</f>
        <v>1.42</v>
      </c>
      <c r="CR79" s="122" t="n">
        <f aca="false">CQ79+IF($I$3="Forward", $D$9, $G$9)</f>
        <v>1.42</v>
      </c>
      <c r="CS79" s="112" t="n">
        <f aca="false">CQ79*TAN(RADIANS(CU$7))-(IF($B$4, 9.807, 32.174)*CQ79^2)/(2*CT$7^2*COS(RADIANS(CU$7))^2)+$D$7</f>
        <v>4.55041385331857</v>
      </c>
      <c r="CT79" s="123" t="n">
        <f aca="false">MIN($V$5,CS79)</f>
        <v>4.55041385331857</v>
      </c>
      <c r="CU79" s="112"/>
      <c r="CV79" s="112" t="n">
        <f aca="false">CV78+CV$7/100</f>
        <v>1.42</v>
      </c>
      <c r="CW79" s="112" t="n">
        <f aca="false">CV79</f>
        <v>1.42</v>
      </c>
      <c r="CX79" s="112" t="n">
        <f aca="false">CV79*TAN(RADIANS(CZ$7))-(IF($B$4, 9.807, 32.174)*CV79^2)/(2*CY$7^2*COS(RADIANS(CZ$7))^2)+$D$7</f>
        <v>4.55041385331857</v>
      </c>
      <c r="CY79" s="123" t="n">
        <f aca="false">MIN($V$5,CX79)</f>
        <v>4.55041385331857</v>
      </c>
      <c r="CZ79" s="112"/>
      <c r="DA79" s="112" t="n">
        <f aca="false">DA78+DA$7/100</f>
        <v>1.42</v>
      </c>
      <c r="DB79" s="122" t="n">
        <f aca="false">DA79-IF($I$3="Forward", $D$9, $G$9)</f>
        <v>1.42</v>
      </c>
      <c r="DC79" s="112" t="n">
        <f aca="false">DA79*TAN(RADIANS(DE$7))-(IF($B$4, 9.807, 32.174)*DA79^2)/(2*DD$7^2*COS(RADIANS(DE$7))^2)+$D$7</f>
        <v>4.55041385331857</v>
      </c>
      <c r="DD79" s="123" t="n">
        <f aca="false">MIN($V$5,DC79)</f>
        <v>4.55041385331857</v>
      </c>
      <c r="DE79" s="112"/>
      <c r="DF79" s="112" t="n">
        <f aca="false">DF78+DF$7/100</f>
        <v>1.42</v>
      </c>
      <c r="DG79" s="122" t="n">
        <f aca="false">DF79+IF($I$3="Forward", $D$9, $G$9)</f>
        <v>1.42</v>
      </c>
      <c r="DH79" s="112" t="n">
        <f aca="false">DF79*TAN(RADIANS(DJ$7))-(IF($B$4, 9.807, 32.174)*DF79^2)/(2*DI$7^2*COS(RADIANS(DJ$7))^2)+$D$7</f>
        <v>4.55041385331857</v>
      </c>
      <c r="DI79" s="123" t="n">
        <f aca="false">MIN($V$5,DH79)</f>
        <v>4.55041385331857</v>
      </c>
      <c r="DJ79" s="112"/>
      <c r="DK79" s="112" t="n">
        <f aca="false">DK78+DK$7/100</f>
        <v>1.42</v>
      </c>
      <c r="DL79" s="112" t="n">
        <f aca="false">DK79</f>
        <v>1.42</v>
      </c>
      <c r="DM79" s="112" t="n">
        <f aca="false">DK79*TAN(RADIANS(DO$7))-(IF($B$4, 9.807, 32.174)*DK79^2)/(2*DN$7^2*COS(RADIANS(DO$7))^2)+$D$7</f>
        <v>4.55041385331857</v>
      </c>
      <c r="DN79" s="123" t="n">
        <f aca="false">MIN($V$5,DM79)</f>
        <v>4.55041385331857</v>
      </c>
      <c r="DO79" s="112"/>
      <c r="DP79" s="112" t="n">
        <f aca="false">DP78+DP$7/100</f>
        <v>1.42</v>
      </c>
      <c r="DQ79" s="122" t="n">
        <f aca="false">DP79-IF($I$3="Forward", $D$9, $G$9)</f>
        <v>1.42</v>
      </c>
      <c r="DR79" s="112" t="n">
        <f aca="false">DP79*TAN(RADIANS(DT$7))-(IF($B$4, 9.807, 32.174)*DP79^2)/(2*DS$7^2*COS(RADIANS(DT$7))^2)+$D$7</f>
        <v>4.55041385331857</v>
      </c>
      <c r="DS79" s="123" t="n">
        <f aca="false">MIN($V$5,DR79)</f>
        <v>4.55041385331857</v>
      </c>
      <c r="DT79" s="112"/>
      <c r="DU79" s="112" t="n">
        <f aca="false">DU78+DU$7/100</f>
        <v>1.42</v>
      </c>
      <c r="DV79" s="122" t="n">
        <f aca="false">DU79+IF($I$3="Forward", $D$9, $G$9)</f>
        <v>1.42</v>
      </c>
      <c r="DW79" s="112" t="n">
        <f aca="false">DU79*TAN(RADIANS(DY$7))-(IF($B$4, 9.807, 32.174)*DU79^2)/(2*DX$7^2*COS(RADIANS(DY$7))^2)+$D$7</f>
        <v>4.55041385331857</v>
      </c>
      <c r="DX79" s="123" t="n">
        <f aca="false">MIN($V$5,DW79)</f>
        <v>4.55041385331857</v>
      </c>
      <c r="DY79" s="112"/>
      <c r="DZ79" s="112" t="n">
        <f aca="false">DZ78+DZ$7/100</f>
        <v>1.42</v>
      </c>
      <c r="EA79" s="112" t="n">
        <f aca="false">DZ79</f>
        <v>1.42</v>
      </c>
      <c r="EB79" s="112" t="n">
        <f aca="false">DZ79*TAN(RADIANS(ED$7))-(IF($B$4, 9.807, 32.174)*DZ79^2)/(2*EC$7^2*COS(RADIANS(ED$7))^2)+$D$7</f>
        <v>4.55041385331857</v>
      </c>
      <c r="EC79" s="123" t="n">
        <f aca="false">MIN($V$5,EB79)</f>
        <v>4.55041385331857</v>
      </c>
      <c r="ED79" s="112"/>
      <c r="EE79" s="112" t="n">
        <f aca="false">EE78+EE$7/100</f>
        <v>1.42</v>
      </c>
      <c r="EF79" s="122" t="n">
        <f aca="false">EE79-IF($I$3="Forward", $D$9, $G$9)</f>
        <v>1.42</v>
      </c>
      <c r="EG79" s="112" t="n">
        <f aca="false">EE79*TAN(RADIANS(EI$7))-(IF($B$4, 9.807, 32.174)*EE79^2)/(2*EH$7^2*COS(RADIANS(EI$7))^2)+$D$7</f>
        <v>4.55041385331857</v>
      </c>
      <c r="EH79" s="123" t="n">
        <f aca="false">MIN($V$5,EG79)</f>
        <v>4.55041385331857</v>
      </c>
      <c r="EI79" s="112"/>
      <c r="EJ79" s="112" t="n">
        <f aca="false">EJ78+EJ$7/100</f>
        <v>1.42</v>
      </c>
      <c r="EK79" s="122" t="n">
        <f aca="false">EJ79+IF($I$3="Forward", $D$9, $G$9)</f>
        <v>1.42</v>
      </c>
      <c r="EL79" s="112" t="n">
        <f aca="false">EJ79*TAN(RADIANS(EN$7))-(IF($B$4, 9.807, 32.174)*EJ79^2)/(2*EM$7^2*COS(RADIANS(EN$7))^2)+$D$7</f>
        <v>4.55041385331857</v>
      </c>
      <c r="EM79" s="123" t="n">
        <f aca="false">MIN($V$5,EL79)</f>
        <v>4.55041385331857</v>
      </c>
      <c r="EN79" s="112"/>
      <c r="EO79" s="112" t="n">
        <f aca="false">EO78+EO$7/100</f>
        <v>1.42</v>
      </c>
      <c r="EP79" s="112" t="n">
        <f aca="false">EO79</f>
        <v>1.42</v>
      </c>
      <c r="EQ79" s="112" t="n">
        <f aca="false">EO79*TAN(RADIANS(ES$7))-(IF($B$4, 9.807, 32.174)*EO79^2)/(2*ER$7^2*COS(RADIANS(ES$7))^2)+$D$7</f>
        <v>4.55041385331857</v>
      </c>
      <c r="ER79" s="123" t="n">
        <f aca="false">MIN($V$5,EQ79)</f>
        <v>4.55041385331857</v>
      </c>
      <c r="ES79" s="112"/>
      <c r="ET79" s="112" t="n">
        <f aca="false">ET78+ET$7/100</f>
        <v>1.42</v>
      </c>
      <c r="EU79" s="122" t="n">
        <f aca="false">ET79-IF($I$3="Forward", $D$9, $G$9)</f>
        <v>1.42</v>
      </c>
      <c r="EV79" s="112" t="n">
        <f aca="false">ET79*TAN(RADIANS(EX$7))-(IF($B$4, 9.807, 32.174)*ET79^2)/(2*EW$7^2*COS(RADIANS(EX$7))^2)+$D$7</f>
        <v>4.55041385331857</v>
      </c>
      <c r="EW79" s="123" t="n">
        <f aca="false">MIN($V$5,EV79)</f>
        <v>4.55041385331857</v>
      </c>
      <c r="EX79" s="112"/>
    </row>
    <row r="80" s="131" customFormat="true" ht="15" hidden="false" customHeight="false" outlineLevel="0" collapsed="false">
      <c r="T80" s="112" t="n">
        <f aca="false">T79+T$7/100</f>
        <v>1.44</v>
      </c>
      <c r="U80" s="122" t="n">
        <f aca="false">T80+IF($I$3="Forward", $D$9, $G$9)</f>
        <v>1.44</v>
      </c>
      <c r="V80" s="112" t="n">
        <f aca="false">T80*TAN(RADIANS(X$7))-(IF($B$4, 9.807, 32.174)*T80^2)/(2*W$7^2*COS(RADIANS(X$7))^2)+$D$7</f>
        <v>4.51418082966986</v>
      </c>
      <c r="W80" s="123" t="n">
        <f aca="false">MIN($V$5,V80)</f>
        <v>4.51418082966986</v>
      </c>
      <c r="X80" s="112"/>
      <c r="Y80" s="112" t="n">
        <f aca="false">Y79+Y$7/100</f>
        <v>1.44</v>
      </c>
      <c r="Z80" s="112" t="n">
        <f aca="false">Y80</f>
        <v>1.44</v>
      </c>
      <c r="AA80" s="112" t="n">
        <f aca="false">Y80*TAN(RADIANS(AC$7))-(IF($B$4, 9.807, 32.174)*Y80^2)/(2*AB$7^2*COS(RADIANS(AC$7))^2)+$D$7</f>
        <v>4.51418082966986</v>
      </c>
      <c r="AB80" s="123" t="n">
        <f aca="false">MIN($V$5,AA80)</f>
        <v>4.51418082966986</v>
      </c>
      <c r="AC80" s="112"/>
      <c r="AD80" s="112" t="n">
        <f aca="false">AD79+AD$7/100</f>
        <v>1.44</v>
      </c>
      <c r="AE80" s="122" t="n">
        <f aca="false">AD80-IF($I$3="Forward", $D$9, $G$9)</f>
        <v>1.44</v>
      </c>
      <c r="AF80" s="112" t="n">
        <f aca="false">AD80*TAN(RADIANS(AH$7))-(IF($B$4, 9.807, 32.174)*AD80^2)/(2*AG$7^2*COS(RADIANS(AH$7))^2)+$D$7</f>
        <v>4.51418082966986</v>
      </c>
      <c r="AG80" s="123" t="n">
        <f aca="false">MIN($V$5,AF80)</f>
        <v>4.51418082966986</v>
      </c>
      <c r="AH80" s="112"/>
      <c r="AI80" s="112" t="n">
        <f aca="false">AI79+AI$7/100</f>
        <v>1.44</v>
      </c>
      <c r="AJ80" s="122" t="n">
        <f aca="false">AI80+IF($I$3="Forward", $D$9, $G$9)</f>
        <v>1.44</v>
      </c>
      <c r="AK80" s="112" t="n">
        <f aca="false">AI80*TAN(RADIANS(AM$7))-(IF($B$4, 9.807, 32.174)*AI80^2)/(2*AL$7^2*COS(RADIANS(AM$7))^2)+$D$7</f>
        <v>4.51418082966986</v>
      </c>
      <c r="AL80" s="123" t="n">
        <f aca="false">MIN($V$5,AK80)</f>
        <v>4.51418082966986</v>
      </c>
      <c r="AM80" s="112"/>
      <c r="AN80" s="112" t="n">
        <f aca="false">AN79+AN$7/100</f>
        <v>1.44</v>
      </c>
      <c r="AO80" s="112" t="n">
        <f aca="false">AN80</f>
        <v>1.44</v>
      </c>
      <c r="AP80" s="112" t="n">
        <f aca="false">AN80*TAN(RADIANS(AR$7))-(IF($B$4, 9.807, 32.174)*AN80^2)/(2*AQ$7^2*COS(RADIANS(AR$7))^2)+$D$7</f>
        <v>4.51418082966986</v>
      </c>
      <c r="AQ80" s="123" t="n">
        <f aca="false">MIN($V$5,AP80)</f>
        <v>4.51418082966986</v>
      </c>
      <c r="AR80" s="112"/>
      <c r="AS80" s="112" t="n">
        <f aca="false">AS79+AS$7/100</f>
        <v>1.44</v>
      </c>
      <c r="AT80" s="122" t="n">
        <f aca="false">AS80-IF($I$3="Forward", $D$9, $G$9)</f>
        <v>1.44</v>
      </c>
      <c r="AU80" s="112" t="n">
        <f aca="false">AS80*TAN(RADIANS(AW$7))-(IF($B$4, 9.807, 32.174)*AS80^2)/(2*AV$7^2*COS(RADIANS(AW$7))^2)+$D$7</f>
        <v>4.51418082966986</v>
      </c>
      <c r="AV80" s="123" t="n">
        <f aca="false">MIN($V$5,AU80)</f>
        <v>4.51418082966986</v>
      </c>
      <c r="AW80" s="112"/>
      <c r="AX80" s="112" t="n">
        <f aca="false">AX79+AX$7/100</f>
        <v>1.44</v>
      </c>
      <c r="AY80" s="122" t="n">
        <f aca="false">AX80+IF($I$3="Forward", $D$9, $G$9)</f>
        <v>1.44</v>
      </c>
      <c r="AZ80" s="112" t="n">
        <f aca="false">AX80*TAN(RADIANS(BB$7))-(IF($B$4, 9.807, 32.174)*AX80^2)/(2*BA$7^2*COS(RADIANS(BB$7))^2)+$D$7</f>
        <v>4.51418082966986</v>
      </c>
      <c r="BA80" s="123" t="n">
        <f aca="false">MIN($V$5,AZ80)</f>
        <v>4.51418082966986</v>
      </c>
      <c r="BB80" s="112"/>
      <c r="BC80" s="112" t="n">
        <f aca="false">BC79+BC$7/100</f>
        <v>1.44</v>
      </c>
      <c r="BD80" s="112" t="n">
        <f aca="false">BC80</f>
        <v>1.44</v>
      </c>
      <c r="BE80" s="112" t="n">
        <f aca="false">BC80*TAN(RADIANS(BG$7))-(IF($B$4, 9.807, 32.174)*BC80^2)/(2*BF$7^2*COS(RADIANS(BG$7))^2)+$D$7</f>
        <v>4.51418082966986</v>
      </c>
      <c r="BF80" s="123" t="n">
        <f aca="false">MIN($V$5,BE80)</f>
        <v>4.51418082966986</v>
      </c>
      <c r="BG80" s="112"/>
      <c r="BH80" s="112" t="n">
        <f aca="false">BH79+BH$7/100</f>
        <v>1.44</v>
      </c>
      <c r="BI80" s="122" t="n">
        <f aca="false">BH80-IF($I$3="Forward", $D$9, $G$9)</f>
        <v>1.44</v>
      </c>
      <c r="BJ80" s="112" t="n">
        <f aca="false">BH80*TAN(RADIANS(BL$7))-(IF($B$4, 9.807, 32.174)*BH80^2)/(2*BK$7^2*COS(RADIANS(BL$7))^2)+$D$7</f>
        <v>4.51418082966986</v>
      </c>
      <c r="BK80" s="123" t="n">
        <f aca="false">MIN($V$5,BJ80)</f>
        <v>4.51418082966986</v>
      </c>
      <c r="BL80" s="112"/>
      <c r="BM80" s="112" t="n">
        <f aca="false">BM79+BM$7/100</f>
        <v>1.44</v>
      </c>
      <c r="BN80" s="122" t="n">
        <f aca="false">BM80+IF($I$3="Forward", $D$9, $G$9)</f>
        <v>1.44</v>
      </c>
      <c r="BO80" s="112" t="n">
        <f aca="false">BM80*TAN(RADIANS(BQ$7))-(IF($B$4, 9.807, 32.174)*BM80^2)/(2*BP$7^2*COS(RADIANS(BQ$7))^2)+$D$7</f>
        <v>4.51418082966986</v>
      </c>
      <c r="BP80" s="123" t="n">
        <f aca="false">MIN($V$5,BO80)</f>
        <v>4.51418082966986</v>
      </c>
      <c r="BQ80" s="112"/>
      <c r="BR80" s="112" t="n">
        <f aca="false">BR79+BR$7/100</f>
        <v>1.44</v>
      </c>
      <c r="BS80" s="112" t="n">
        <f aca="false">BR80</f>
        <v>1.44</v>
      </c>
      <c r="BT80" s="112" t="n">
        <f aca="false">BR80*TAN(RADIANS(BV$7))-(IF($B$4, 9.807, 32.174)*BR80^2)/(2*BU$7^2*COS(RADIANS(BV$7))^2)+$D$7</f>
        <v>4.51418082966986</v>
      </c>
      <c r="BU80" s="123" t="n">
        <f aca="false">MIN($V$5,BT80)</f>
        <v>4.51418082966986</v>
      </c>
      <c r="BV80" s="112"/>
      <c r="BW80" s="112" t="n">
        <f aca="false">BW79+BW$7/100</f>
        <v>1.44</v>
      </c>
      <c r="BX80" s="122" t="n">
        <f aca="false">BW80-IF($I$3="Forward", $D$9, $G$9)</f>
        <v>1.44</v>
      </c>
      <c r="BY80" s="112" t="n">
        <f aca="false">BW80*TAN(RADIANS(CA$7))-(IF($B$4, 9.807, 32.174)*BW80^2)/(2*BZ$7^2*COS(RADIANS(CA$7))^2)+$D$7</f>
        <v>4.51418082966986</v>
      </c>
      <c r="BZ80" s="123" t="n">
        <f aca="false">MIN($V$5,BY80)</f>
        <v>4.51418082966986</v>
      </c>
      <c r="CA80" s="112"/>
      <c r="CB80" s="112" t="n">
        <f aca="false">CB79+CB$7/100</f>
        <v>1.44</v>
      </c>
      <c r="CC80" s="122" t="n">
        <f aca="false">CB80+IF($I$3="Forward", $D$9, $G$9)</f>
        <v>1.44</v>
      </c>
      <c r="CD80" s="112" t="n">
        <f aca="false">CB80*TAN(RADIANS(CF$7))-(IF($B$4, 9.807, 32.174)*CB80^2)/(2*CE$7^2*COS(RADIANS(CF$7))^2)+$D$7</f>
        <v>4.51418082966986</v>
      </c>
      <c r="CE80" s="123" t="n">
        <f aca="false">MIN($V$5,CD80)</f>
        <v>4.51418082966986</v>
      </c>
      <c r="CF80" s="112"/>
      <c r="CG80" s="124" t="n">
        <f aca="false">CG79+CG$7/100</f>
        <v>1.44</v>
      </c>
      <c r="CH80" s="124" t="n">
        <f aca="false">CG80</f>
        <v>1.44</v>
      </c>
      <c r="CI80" s="124" t="n">
        <f aca="false">CG80*TAN(RADIANS(CK$7))-(IF($B$4, 9.807, 32.174)*CG80^2)/(2*CJ$7^2*COS(RADIANS(CK$7))^2)+$D$7</f>
        <v>4.51418082966986</v>
      </c>
      <c r="CJ80" s="123" t="n">
        <f aca="false">MIN($V$5,CI80)</f>
        <v>4.51418082966986</v>
      </c>
      <c r="CK80" s="124"/>
      <c r="CL80" s="112" t="n">
        <f aca="false">CL79+CL$7/100</f>
        <v>1.44</v>
      </c>
      <c r="CM80" s="122" t="n">
        <f aca="false">CL80-IF($I$3="Forward", $D$9, $G$9)</f>
        <v>1.44</v>
      </c>
      <c r="CN80" s="112" t="n">
        <f aca="false">CL80*TAN(RADIANS(CP$7))-(IF($B$4, 9.807, 32.174)*CL80^2)/(2*CO$7^2*COS(RADIANS(CP$7))^2)+$D$7</f>
        <v>4.51418082966986</v>
      </c>
      <c r="CO80" s="123" t="n">
        <f aca="false">MIN($V$5,CN80)</f>
        <v>4.51418082966986</v>
      </c>
      <c r="CP80" s="112"/>
      <c r="CQ80" s="112" t="n">
        <f aca="false">CQ79+CQ$7/100</f>
        <v>1.44</v>
      </c>
      <c r="CR80" s="122" t="n">
        <f aca="false">CQ80+IF($I$3="Forward", $D$9, $G$9)</f>
        <v>1.44</v>
      </c>
      <c r="CS80" s="112" t="n">
        <f aca="false">CQ80*TAN(RADIANS(CU$7))-(IF($B$4, 9.807, 32.174)*CQ80^2)/(2*CT$7^2*COS(RADIANS(CU$7))^2)+$D$7</f>
        <v>4.51418082966986</v>
      </c>
      <c r="CT80" s="123" t="n">
        <f aca="false">MIN($V$5,CS80)</f>
        <v>4.51418082966986</v>
      </c>
      <c r="CU80" s="112"/>
      <c r="CV80" s="112" t="n">
        <f aca="false">CV79+CV$7/100</f>
        <v>1.44</v>
      </c>
      <c r="CW80" s="112" t="n">
        <f aca="false">CV80</f>
        <v>1.44</v>
      </c>
      <c r="CX80" s="112" t="n">
        <f aca="false">CV80*TAN(RADIANS(CZ$7))-(IF($B$4, 9.807, 32.174)*CV80^2)/(2*CY$7^2*COS(RADIANS(CZ$7))^2)+$D$7</f>
        <v>4.51418082966986</v>
      </c>
      <c r="CY80" s="123" t="n">
        <f aca="false">MIN($V$5,CX80)</f>
        <v>4.51418082966986</v>
      </c>
      <c r="CZ80" s="112"/>
      <c r="DA80" s="112" t="n">
        <f aca="false">DA79+DA$7/100</f>
        <v>1.44</v>
      </c>
      <c r="DB80" s="122" t="n">
        <f aca="false">DA80-IF($I$3="Forward", $D$9, $G$9)</f>
        <v>1.44</v>
      </c>
      <c r="DC80" s="112" t="n">
        <f aca="false">DA80*TAN(RADIANS(DE$7))-(IF($B$4, 9.807, 32.174)*DA80^2)/(2*DD$7^2*COS(RADIANS(DE$7))^2)+$D$7</f>
        <v>4.51418082966986</v>
      </c>
      <c r="DD80" s="123" t="n">
        <f aca="false">MIN($V$5,DC80)</f>
        <v>4.51418082966986</v>
      </c>
      <c r="DE80" s="112"/>
      <c r="DF80" s="112" t="n">
        <f aca="false">DF79+DF$7/100</f>
        <v>1.44</v>
      </c>
      <c r="DG80" s="122" t="n">
        <f aca="false">DF80+IF($I$3="Forward", $D$9, $G$9)</f>
        <v>1.44</v>
      </c>
      <c r="DH80" s="112" t="n">
        <f aca="false">DF80*TAN(RADIANS(DJ$7))-(IF($B$4, 9.807, 32.174)*DF80^2)/(2*DI$7^2*COS(RADIANS(DJ$7))^2)+$D$7</f>
        <v>4.51418082966986</v>
      </c>
      <c r="DI80" s="123" t="n">
        <f aca="false">MIN($V$5,DH80)</f>
        <v>4.51418082966986</v>
      </c>
      <c r="DJ80" s="112"/>
      <c r="DK80" s="112" t="n">
        <f aca="false">DK79+DK$7/100</f>
        <v>1.44</v>
      </c>
      <c r="DL80" s="112" t="n">
        <f aca="false">DK80</f>
        <v>1.44</v>
      </c>
      <c r="DM80" s="112" t="n">
        <f aca="false">DK80*TAN(RADIANS(DO$7))-(IF($B$4, 9.807, 32.174)*DK80^2)/(2*DN$7^2*COS(RADIANS(DO$7))^2)+$D$7</f>
        <v>4.51418082966986</v>
      </c>
      <c r="DN80" s="123" t="n">
        <f aca="false">MIN($V$5,DM80)</f>
        <v>4.51418082966986</v>
      </c>
      <c r="DO80" s="112"/>
      <c r="DP80" s="112" t="n">
        <f aca="false">DP79+DP$7/100</f>
        <v>1.44</v>
      </c>
      <c r="DQ80" s="122" t="n">
        <f aca="false">DP80-IF($I$3="Forward", $D$9, $G$9)</f>
        <v>1.44</v>
      </c>
      <c r="DR80" s="112" t="n">
        <f aca="false">DP80*TAN(RADIANS(DT$7))-(IF($B$4, 9.807, 32.174)*DP80^2)/(2*DS$7^2*COS(RADIANS(DT$7))^2)+$D$7</f>
        <v>4.51418082966986</v>
      </c>
      <c r="DS80" s="123" t="n">
        <f aca="false">MIN($V$5,DR80)</f>
        <v>4.51418082966986</v>
      </c>
      <c r="DT80" s="112"/>
      <c r="DU80" s="112" t="n">
        <f aca="false">DU79+DU$7/100</f>
        <v>1.44</v>
      </c>
      <c r="DV80" s="122" t="n">
        <f aca="false">DU80+IF($I$3="Forward", $D$9, $G$9)</f>
        <v>1.44</v>
      </c>
      <c r="DW80" s="112" t="n">
        <f aca="false">DU80*TAN(RADIANS(DY$7))-(IF($B$4, 9.807, 32.174)*DU80^2)/(2*DX$7^2*COS(RADIANS(DY$7))^2)+$D$7</f>
        <v>4.51418082966986</v>
      </c>
      <c r="DX80" s="123" t="n">
        <f aca="false">MIN($V$5,DW80)</f>
        <v>4.51418082966986</v>
      </c>
      <c r="DY80" s="112"/>
      <c r="DZ80" s="112" t="n">
        <f aca="false">DZ79+DZ$7/100</f>
        <v>1.44</v>
      </c>
      <c r="EA80" s="112" t="n">
        <f aca="false">DZ80</f>
        <v>1.44</v>
      </c>
      <c r="EB80" s="112" t="n">
        <f aca="false">DZ80*TAN(RADIANS(ED$7))-(IF($B$4, 9.807, 32.174)*DZ80^2)/(2*EC$7^2*COS(RADIANS(ED$7))^2)+$D$7</f>
        <v>4.51418082966986</v>
      </c>
      <c r="EC80" s="123" t="n">
        <f aca="false">MIN($V$5,EB80)</f>
        <v>4.51418082966986</v>
      </c>
      <c r="ED80" s="112"/>
      <c r="EE80" s="112" t="n">
        <f aca="false">EE79+EE$7/100</f>
        <v>1.44</v>
      </c>
      <c r="EF80" s="122" t="n">
        <f aca="false">EE80-IF($I$3="Forward", $D$9, $G$9)</f>
        <v>1.44</v>
      </c>
      <c r="EG80" s="112" t="n">
        <f aca="false">EE80*TAN(RADIANS(EI$7))-(IF($B$4, 9.807, 32.174)*EE80^2)/(2*EH$7^2*COS(RADIANS(EI$7))^2)+$D$7</f>
        <v>4.51418082966986</v>
      </c>
      <c r="EH80" s="123" t="n">
        <f aca="false">MIN($V$5,EG80)</f>
        <v>4.51418082966986</v>
      </c>
      <c r="EI80" s="112"/>
      <c r="EJ80" s="112" t="n">
        <f aca="false">EJ79+EJ$7/100</f>
        <v>1.44</v>
      </c>
      <c r="EK80" s="122" t="n">
        <f aca="false">EJ80+IF($I$3="Forward", $D$9, $G$9)</f>
        <v>1.44</v>
      </c>
      <c r="EL80" s="112" t="n">
        <f aca="false">EJ80*TAN(RADIANS(EN$7))-(IF($B$4, 9.807, 32.174)*EJ80^2)/(2*EM$7^2*COS(RADIANS(EN$7))^2)+$D$7</f>
        <v>4.51418082966986</v>
      </c>
      <c r="EM80" s="123" t="n">
        <f aca="false">MIN($V$5,EL80)</f>
        <v>4.51418082966986</v>
      </c>
      <c r="EN80" s="112"/>
      <c r="EO80" s="112" t="n">
        <f aca="false">EO79+EO$7/100</f>
        <v>1.44</v>
      </c>
      <c r="EP80" s="112" t="n">
        <f aca="false">EO80</f>
        <v>1.44</v>
      </c>
      <c r="EQ80" s="112" t="n">
        <f aca="false">EO80*TAN(RADIANS(ES$7))-(IF($B$4, 9.807, 32.174)*EO80^2)/(2*ER$7^2*COS(RADIANS(ES$7))^2)+$D$7</f>
        <v>4.51418082966986</v>
      </c>
      <c r="ER80" s="123" t="n">
        <f aca="false">MIN($V$5,EQ80)</f>
        <v>4.51418082966986</v>
      </c>
      <c r="ES80" s="112"/>
      <c r="ET80" s="112" t="n">
        <f aca="false">ET79+ET$7/100</f>
        <v>1.44</v>
      </c>
      <c r="EU80" s="122" t="n">
        <f aca="false">ET80-IF($I$3="Forward", $D$9, $G$9)</f>
        <v>1.44</v>
      </c>
      <c r="EV80" s="112" t="n">
        <f aca="false">ET80*TAN(RADIANS(EX$7))-(IF($B$4, 9.807, 32.174)*ET80^2)/(2*EW$7^2*COS(RADIANS(EX$7))^2)+$D$7</f>
        <v>4.51418082966986</v>
      </c>
      <c r="EW80" s="123" t="n">
        <f aca="false">MIN($V$5,EV80)</f>
        <v>4.51418082966986</v>
      </c>
      <c r="EX80" s="112"/>
    </row>
    <row r="81" s="131" customFormat="true" ht="15" hidden="false" customHeight="false" outlineLevel="0" collapsed="false">
      <c r="T81" s="112" t="n">
        <f aca="false">T80+T$7/100</f>
        <v>1.46</v>
      </c>
      <c r="U81" s="122" t="n">
        <f aca="false">T81+IF($I$3="Forward", $D$9, $G$9)</f>
        <v>1.46</v>
      </c>
      <c r="V81" s="112" t="n">
        <f aca="false">T81*TAN(RADIANS(X$7))-(IF($B$4, 9.807, 32.174)*T81^2)/(2*W$7^2*COS(RADIANS(X$7))^2)+$D$7</f>
        <v>4.4752392932933</v>
      </c>
      <c r="W81" s="123" t="n">
        <f aca="false">MIN($V$5,V81)</f>
        <v>4.4752392932933</v>
      </c>
      <c r="X81" s="112"/>
      <c r="Y81" s="112" t="n">
        <f aca="false">Y80+Y$7/100</f>
        <v>1.46</v>
      </c>
      <c r="Z81" s="112" t="n">
        <f aca="false">Y81</f>
        <v>1.46</v>
      </c>
      <c r="AA81" s="112" t="n">
        <f aca="false">Y81*TAN(RADIANS(AC$7))-(IF($B$4, 9.807, 32.174)*Y81^2)/(2*AB$7^2*COS(RADIANS(AC$7))^2)+$D$7</f>
        <v>4.4752392932933</v>
      </c>
      <c r="AB81" s="123" t="n">
        <f aca="false">MIN($V$5,AA81)</f>
        <v>4.4752392932933</v>
      </c>
      <c r="AC81" s="112"/>
      <c r="AD81" s="112" t="n">
        <f aca="false">AD80+AD$7/100</f>
        <v>1.46</v>
      </c>
      <c r="AE81" s="122" t="n">
        <f aca="false">AD81-IF($I$3="Forward", $D$9, $G$9)</f>
        <v>1.46</v>
      </c>
      <c r="AF81" s="112" t="n">
        <f aca="false">AD81*TAN(RADIANS(AH$7))-(IF($B$4, 9.807, 32.174)*AD81^2)/(2*AG$7^2*COS(RADIANS(AH$7))^2)+$D$7</f>
        <v>4.4752392932933</v>
      </c>
      <c r="AG81" s="123" t="n">
        <f aca="false">MIN($V$5,AF81)</f>
        <v>4.4752392932933</v>
      </c>
      <c r="AH81" s="112"/>
      <c r="AI81" s="112" t="n">
        <f aca="false">AI80+AI$7/100</f>
        <v>1.46</v>
      </c>
      <c r="AJ81" s="122" t="n">
        <f aca="false">AI81+IF($I$3="Forward", $D$9, $G$9)</f>
        <v>1.46</v>
      </c>
      <c r="AK81" s="112" t="n">
        <f aca="false">AI81*TAN(RADIANS(AM$7))-(IF($B$4, 9.807, 32.174)*AI81^2)/(2*AL$7^2*COS(RADIANS(AM$7))^2)+$D$7</f>
        <v>4.4752392932933</v>
      </c>
      <c r="AL81" s="123" t="n">
        <f aca="false">MIN($V$5,AK81)</f>
        <v>4.4752392932933</v>
      </c>
      <c r="AM81" s="112"/>
      <c r="AN81" s="112" t="n">
        <f aca="false">AN80+AN$7/100</f>
        <v>1.46</v>
      </c>
      <c r="AO81" s="112" t="n">
        <f aca="false">AN81</f>
        <v>1.46</v>
      </c>
      <c r="AP81" s="112" t="n">
        <f aca="false">AN81*TAN(RADIANS(AR$7))-(IF($B$4, 9.807, 32.174)*AN81^2)/(2*AQ$7^2*COS(RADIANS(AR$7))^2)+$D$7</f>
        <v>4.4752392932933</v>
      </c>
      <c r="AQ81" s="123" t="n">
        <f aca="false">MIN($V$5,AP81)</f>
        <v>4.4752392932933</v>
      </c>
      <c r="AR81" s="112"/>
      <c r="AS81" s="112" t="n">
        <f aca="false">AS80+AS$7/100</f>
        <v>1.46</v>
      </c>
      <c r="AT81" s="122" t="n">
        <f aca="false">AS81-IF($I$3="Forward", $D$9, $G$9)</f>
        <v>1.46</v>
      </c>
      <c r="AU81" s="112" t="n">
        <f aca="false">AS81*TAN(RADIANS(AW$7))-(IF($B$4, 9.807, 32.174)*AS81^2)/(2*AV$7^2*COS(RADIANS(AW$7))^2)+$D$7</f>
        <v>4.4752392932933</v>
      </c>
      <c r="AV81" s="123" t="n">
        <f aca="false">MIN($V$5,AU81)</f>
        <v>4.4752392932933</v>
      </c>
      <c r="AW81" s="112"/>
      <c r="AX81" s="112" t="n">
        <f aca="false">AX80+AX$7/100</f>
        <v>1.46</v>
      </c>
      <c r="AY81" s="122" t="n">
        <f aca="false">AX81+IF($I$3="Forward", $D$9, $G$9)</f>
        <v>1.46</v>
      </c>
      <c r="AZ81" s="112" t="n">
        <f aca="false">AX81*TAN(RADIANS(BB$7))-(IF($B$4, 9.807, 32.174)*AX81^2)/(2*BA$7^2*COS(RADIANS(BB$7))^2)+$D$7</f>
        <v>4.4752392932933</v>
      </c>
      <c r="BA81" s="123" t="n">
        <f aca="false">MIN($V$5,AZ81)</f>
        <v>4.4752392932933</v>
      </c>
      <c r="BB81" s="112"/>
      <c r="BC81" s="112" t="n">
        <f aca="false">BC80+BC$7/100</f>
        <v>1.46</v>
      </c>
      <c r="BD81" s="112" t="n">
        <f aca="false">BC81</f>
        <v>1.46</v>
      </c>
      <c r="BE81" s="112" t="n">
        <f aca="false">BC81*TAN(RADIANS(BG$7))-(IF($B$4, 9.807, 32.174)*BC81^2)/(2*BF$7^2*COS(RADIANS(BG$7))^2)+$D$7</f>
        <v>4.4752392932933</v>
      </c>
      <c r="BF81" s="123" t="n">
        <f aca="false">MIN($V$5,BE81)</f>
        <v>4.4752392932933</v>
      </c>
      <c r="BG81" s="112"/>
      <c r="BH81" s="112" t="n">
        <f aca="false">BH80+BH$7/100</f>
        <v>1.46</v>
      </c>
      <c r="BI81" s="122" t="n">
        <f aca="false">BH81-IF($I$3="Forward", $D$9, $G$9)</f>
        <v>1.46</v>
      </c>
      <c r="BJ81" s="112" t="n">
        <f aca="false">BH81*TAN(RADIANS(BL$7))-(IF($B$4, 9.807, 32.174)*BH81^2)/(2*BK$7^2*COS(RADIANS(BL$7))^2)+$D$7</f>
        <v>4.4752392932933</v>
      </c>
      <c r="BK81" s="123" t="n">
        <f aca="false">MIN($V$5,BJ81)</f>
        <v>4.4752392932933</v>
      </c>
      <c r="BL81" s="112"/>
      <c r="BM81" s="112" t="n">
        <f aca="false">BM80+BM$7/100</f>
        <v>1.46</v>
      </c>
      <c r="BN81" s="122" t="n">
        <f aca="false">BM81+IF($I$3="Forward", $D$9, $G$9)</f>
        <v>1.46</v>
      </c>
      <c r="BO81" s="112" t="n">
        <f aca="false">BM81*TAN(RADIANS(BQ$7))-(IF($B$4, 9.807, 32.174)*BM81^2)/(2*BP$7^2*COS(RADIANS(BQ$7))^2)+$D$7</f>
        <v>4.4752392932933</v>
      </c>
      <c r="BP81" s="123" t="n">
        <f aca="false">MIN($V$5,BO81)</f>
        <v>4.4752392932933</v>
      </c>
      <c r="BQ81" s="112"/>
      <c r="BR81" s="112" t="n">
        <f aca="false">BR80+BR$7/100</f>
        <v>1.46</v>
      </c>
      <c r="BS81" s="112" t="n">
        <f aca="false">BR81</f>
        <v>1.46</v>
      </c>
      <c r="BT81" s="112" t="n">
        <f aca="false">BR81*TAN(RADIANS(BV$7))-(IF($B$4, 9.807, 32.174)*BR81^2)/(2*BU$7^2*COS(RADIANS(BV$7))^2)+$D$7</f>
        <v>4.4752392932933</v>
      </c>
      <c r="BU81" s="123" t="n">
        <f aca="false">MIN($V$5,BT81)</f>
        <v>4.4752392932933</v>
      </c>
      <c r="BV81" s="112"/>
      <c r="BW81" s="112" t="n">
        <f aca="false">BW80+BW$7/100</f>
        <v>1.46</v>
      </c>
      <c r="BX81" s="122" t="n">
        <f aca="false">BW81-IF($I$3="Forward", $D$9, $G$9)</f>
        <v>1.46</v>
      </c>
      <c r="BY81" s="112" t="n">
        <f aca="false">BW81*TAN(RADIANS(CA$7))-(IF($B$4, 9.807, 32.174)*BW81^2)/(2*BZ$7^2*COS(RADIANS(CA$7))^2)+$D$7</f>
        <v>4.4752392932933</v>
      </c>
      <c r="BZ81" s="123" t="n">
        <f aca="false">MIN($V$5,BY81)</f>
        <v>4.4752392932933</v>
      </c>
      <c r="CA81" s="112"/>
      <c r="CB81" s="112" t="n">
        <f aca="false">CB80+CB$7/100</f>
        <v>1.46</v>
      </c>
      <c r="CC81" s="122" t="n">
        <f aca="false">CB81+IF($I$3="Forward", $D$9, $G$9)</f>
        <v>1.46</v>
      </c>
      <c r="CD81" s="112" t="n">
        <f aca="false">CB81*TAN(RADIANS(CF$7))-(IF($B$4, 9.807, 32.174)*CB81^2)/(2*CE$7^2*COS(RADIANS(CF$7))^2)+$D$7</f>
        <v>4.4752392932933</v>
      </c>
      <c r="CE81" s="123" t="n">
        <f aca="false">MIN($V$5,CD81)</f>
        <v>4.4752392932933</v>
      </c>
      <c r="CF81" s="112"/>
      <c r="CG81" s="124" t="n">
        <f aca="false">CG80+CG$7/100</f>
        <v>1.46</v>
      </c>
      <c r="CH81" s="124" t="n">
        <f aca="false">CG81</f>
        <v>1.46</v>
      </c>
      <c r="CI81" s="124" t="n">
        <f aca="false">CG81*TAN(RADIANS(CK$7))-(IF($B$4, 9.807, 32.174)*CG81^2)/(2*CJ$7^2*COS(RADIANS(CK$7))^2)+$D$7</f>
        <v>4.4752392932933</v>
      </c>
      <c r="CJ81" s="123" t="n">
        <f aca="false">MIN($V$5,CI81)</f>
        <v>4.4752392932933</v>
      </c>
      <c r="CK81" s="124"/>
      <c r="CL81" s="112" t="n">
        <f aca="false">CL80+CL$7/100</f>
        <v>1.46</v>
      </c>
      <c r="CM81" s="122" t="n">
        <f aca="false">CL81-IF($I$3="Forward", $D$9, $G$9)</f>
        <v>1.46</v>
      </c>
      <c r="CN81" s="112" t="n">
        <f aca="false">CL81*TAN(RADIANS(CP$7))-(IF($B$4, 9.807, 32.174)*CL81^2)/(2*CO$7^2*COS(RADIANS(CP$7))^2)+$D$7</f>
        <v>4.4752392932933</v>
      </c>
      <c r="CO81" s="123" t="n">
        <f aca="false">MIN($V$5,CN81)</f>
        <v>4.4752392932933</v>
      </c>
      <c r="CP81" s="112"/>
      <c r="CQ81" s="112" t="n">
        <f aca="false">CQ80+CQ$7/100</f>
        <v>1.46</v>
      </c>
      <c r="CR81" s="122" t="n">
        <f aca="false">CQ81+IF($I$3="Forward", $D$9, $G$9)</f>
        <v>1.46</v>
      </c>
      <c r="CS81" s="112" t="n">
        <f aca="false">CQ81*TAN(RADIANS(CU$7))-(IF($B$4, 9.807, 32.174)*CQ81^2)/(2*CT$7^2*COS(RADIANS(CU$7))^2)+$D$7</f>
        <v>4.4752392932933</v>
      </c>
      <c r="CT81" s="123" t="n">
        <f aca="false">MIN($V$5,CS81)</f>
        <v>4.4752392932933</v>
      </c>
      <c r="CU81" s="112"/>
      <c r="CV81" s="112" t="n">
        <f aca="false">CV80+CV$7/100</f>
        <v>1.46</v>
      </c>
      <c r="CW81" s="112" t="n">
        <f aca="false">CV81</f>
        <v>1.46</v>
      </c>
      <c r="CX81" s="112" t="n">
        <f aca="false">CV81*TAN(RADIANS(CZ$7))-(IF($B$4, 9.807, 32.174)*CV81^2)/(2*CY$7^2*COS(RADIANS(CZ$7))^2)+$D$7</f>
        <v>4.4752392932933</v>
      </c>
      <c r="CY81" s="123" t="n">
        <f aca="false">MIN($V$5,CX81)</f>
        <v>4.4752392932933</v>
      </c>
      <c r="CZ81" s="112"/>
      <c r="DA81" s="112" t="n">
        <f aca="false">DA80+DA$7/100</f>
        <v>1.46</v>
      </c>
      <c r="DB81" s="122" t="n">
        <f aca="false">DA81-IF($I$3="Forward", $D$9, $G$9)</f>
        <v>1.46</v>
      </c>
      <c r="DC81" s="112" t="n">
        <f aca="false">DA81*TAN(RADIANS(DE$7))-(IF($B$4, 9.807, 32.174)*DA81^2)/(2*DD$7^2*COS(RADIANS(DE$7))^2)+$D$7</f>
        <v>4.4752392932933</v>
      </c>
      <c r="DD81" s="123" t="n">
        <f aca="false">MIN($V$5,DC81)</f>
        <v>4.4752392932933</v>
      </c>
      <c r="DE81" s="112"/>
      <c r="DF81" s="112" t="n">
        <f aca="false">DF80+DF$7/100</f>
        <v>1.46</v>
      </c>
      <c r="DG81" s="122" t="n">
        <f aca="false">DF81+IF($I$3="Forward", $D$9, $G$9)</f>
        <v>1.46</v>
      </c>
      <c r="DH81" s="112" t="n">
        <f aca="false">DF81*TAN(RADIANS(DJ$7))-(IF($B$4, 9.807, 32.174)*DF81^2)/(2*DI$7^2*COS(RADIANS(DJ$7))^2)+$D$7</f>
        <v>4.4752392932933</v>
      </c>
      <c r="DI81" s="123" t="n">
        <f aca="false">MIN($V$5,DH81)</f>
        <v>4.4752392932933</v>
      </c>
      <c r="DJ81" s="112"/>
      <c r="DK81" s="112" t="n">
        <f aca="false">DK80+DK$7/100</f>
        <v>1.46</v>
      </c>
      <c r="DL81" s="112" t="n">
        <f aca="false">DK81</f>
        <v>1.46</v>
      </c>
      <c r="DM81" s="112" t="n">
        <f aca="false">DK81*TAN(RADIANS(DO$7))-(IF($B$4, 9.807, 32.174)*DK81^2)/(2*DN$7^2*COS(RADIANS(DO$7))^2)+$D$7</f>
        <v>4.4752392932933</v>
      </c>
      <c r="DN81" s="123" t="n">
        <f aca="false">MIN($V$5,DM81)</f>
        <v>4.4752392932933</v>
      </c>
      <c r="DO81" s="112"/>
      <c r="DP81" s="112" t="n">
        <f aca="false">DP80+DP$7/100</f>
        <v>1.46</v>
      </c>
      <c r="DQ81" s="122" t="n">
        <f aca="false">DP81-IF($I$3="Forward", $D$9, $G$9)</f>
        <v>1.46</v>
      </c>
      <c r="DR81" s="112" t="n">
        <f aca="false">DP81*TAN(RADIANS(DT$7))-(IF($B$4, 9.807, 32.174)*DP81^2)/(2*DS$7^2*COS(RADIANS(DT$7))^2)+$D$7</f>
        <v>4.4752392932933</v>
      </c>
      <c r="DS81" s="123" t="n">
        <f aca="false">MIN($V$5,DR81)</f>
        <v>4.4752392932933</v>
      </c>
      <c r="DT81" s="112"/>
      <c r="DU81" s="112" t="n">
        <f aca="false">DU80+DU$7/100</f>
        <v>1.46</v>
      </c>
      <c r="DV81" s="122" t="n">
        <f aca="false">DU81+IF($I$3="Forward", $D$9, $G$9)</f>
        <v>1.46</v>
      </c>
      <c r="DW81" s="112" t="n">
        <f aca="false">DU81*TAN(RADIANS(DY$7))-(IF($B$4, 9.807, 32.174)*DU81^2)/(2*DX$7^2*COS(RADIANS(DY$7))^2)+$D$7</f>
        <v>4.4752392932933</v>
      </c>
      <c r="DX81" s="123" t="n">
        <f aca="false">MIN($V$5,DW81)</f>
        <v>4.4752392932933</v>
      </c>
      <c r="DY81" s="112"/>
      <c r="DZ81" s="112" t="n">
        <f aca="false">DZ80+DZ$7/100</f>
        <v>1.46</v>
      </c>
      <c r="EA81" s="112" t="n">
        <f aca="false">DZ81</f>
        <v>1.46</v>
      </c>
      <c r="EB81" s="112" t="n">
        <f aca="false">DZ81*TAN(RADIANS(ED$7))-(IF($B$4, 9.807, 32.174)*DZ81^2)/(2*EC$7^2*COS(RADIANS(ED$7))^2)+$D$7</f>
        <v>4.4752392932933</v>
      </c>
      <c r="EC81" s="123" t="n">
        <f aca="false">MIN($V$5,EB81)</f>
        <v>4.4752392932933</v>
      </c>
      <c r="ED81" s="112"/>
      <c r="EE81" s="112" t="n">
        <f aca="false">EE80+EE$7/100</f>
        <v>1.46</v>
      </c>
      <c r="EF81" s="122" t="n">
        <f aca="false">EE81-IF($I$3="Forward", $D$9, $G$9)</f>
        <v>1.46</v>
      </c>
      <c r="EG81" s="112" t="n">
        <f aca="false">EE81*TAN(RADIANS(EI$7))-(IF($B$4, 9.807, 32.174)*EE81^2)/(2*EH$7^2*COS(RADIANS(EI$7))^2)+$D$7</f>
        <v>4.4752392932933</v>
      </c>
      <c r="EH81" s="123" t="n">
        <f aca="false">MIN($V$5,EG81)</f>
        <v>4.4752392932933</v>
      </c>
      <c r="EI81" s="112"/>
      <c r="EJ81" s="112" t="n">
        <f aca="false">EJ80+EJ$7/100</f>
        <v>1.46</v>
      </c>
      <c r="EK81" s="122" t="n">
        <f aca="false">EJ81+IF($I$3="Forward", $D$9, $G$9)</f>
        <v>1.46</v>
      </c>
      <c r="EL81" s="112" t="n">
        <f aca="false">EJ81*TAN(RADIANS(EN$7))-(IF($B$4, 9.807, 32.174)*EJ81^2)/(2*EM$7^2*COS(RADIANS(EN$7))^2)+$D$7</f>
        <v>4.4752392932933</v>
      </c>
      <c r="EM81" s="123" t="n">
        <f aca="false">MIN($V$5,EL81)</f>
        <v>4.4752392932933</v>
      </c>
      <c r="EN81" s="112"/>
      <c r="EO81" s="112" t="n">
        <f aca="false">EO80+EO$7/100</f>
        <v>1.46</v>
      </c>
      <c r="EP81" s="112" t="n">
        <f aca="false">EO81</f>
        <v>1.46</v>
      </c>
      <c r="EQ81" s="112" t="n">
        <f aca="false">EO81*TAN(RADIANS(ES$7))-(IF($B$4, 9.807, 32.174)*EO81^2)/(2*ER$7^2*COS(RADIANS(ES$7))^2)+$D$7</f>
        <v>4.4752392932933</v>
      </c>
      <c r="ER81" s="123" t="n">
        <f aca="false">MIN($V$5,EQ81)</f>
        <v>4.4752392932933</v>
      </c>
      <c r="ES81" s="112"/>
      <c r="ET81" s="112" t="n">
        <f aca="false">ET80+ET$7/100</f>
        <v>1.46</v>
      </c>
      <c r="EU81" s="122" t="n">
        <f aca="false">ET81-IF($I$3="Forward", $D$9, $G$9)</f>
        <v>1.46</v>
      </c>
      <c r="EV81" s="112" t="n">
        <f aca="false">ET81*TAN(RADIANS(EX$7))-(IF($B$4, 9.807, 32.174)*ET81^2)/(2*EW$7^2*COS(RADIANS(EX$7))^2)+$D$7</f>
        <v>4.4752392932933</v>
      </c>
      <c r="EW81" s="123" t="n">
        <f aca="false">MIN($V$5,EV81)</f>
        <v>4.4752392932933</v>
      </c>
      <c r="EX81" s="112"/>
    </row>
    <row r="82" s="131" customFormat="true" ht="15" hidden="false" customHeight="false" outlineLevel="0" collapsed="false">
      <c r="T82" s="112" t="n">
        <f aca="false">T81+T$7/100</f>
        <v>1.48</v>
      </c>
      <c r="U82" s="122" t="n">
        <f aca="false">T82+IF($I$3="Forward", $D$9, $G$9)</f>
        <v>1.48</v>
      </c>
      <c r="V82" s="112" t="n">
        <f aca="false">T82*TAN(RADIANS(X$7))-(IF($B$4, 9.807, 32.174)*T82^2)/(2*W$7^2*COS(RADIANS(X$7))^2)+$D$7</f>
        <v>4.43358924418889</v>
      </c>
      <c r="W82" s="123" t="n">
        <f aca="false">MIN($V$5,V82)</f>
        <v>4.43358924418889</v>
      </c>
      <c r="X82" s="112"/>
      <c r="Y82" s="112" t="n">
        <f aca="false">Y81+Y$7/100</f>
        <v>1.48</v>
      </c>
      <c r="Z82" s="112" t="n">
        <f aca="false">Y82</f>
        <v>1.48</v>
      </c>
      <c r="AA82" s="112" t="n">
        <f aca="false">Y82*TAN(RADIANS(AC$7))-(IF($B$4, 9.807, 32.174)*Y82^2)/(2*AB$7^2*COS(RADIANS(AC$7))^2)+$D$7</f>
        <v>4.43358924418889</v>
      </c>
      <c r="AB82" s="123" t="n">
        <f aca="false">MIN($V$5,AA82)</f>
        <v>4.43358924418889</v>
      </c>
      <c r="AC82" s="112"/>
      <c r="AD82" s="112" t="n">
        <f aca="false">AD81+AD$7/100</f>
        <v>1.48</v>
      </c>
      <c r="AE82" s="122" t="n">
        <f aca="false">AD82-IF($I$3="Forward", $D$9, $G$9)</f>
        <v>1.48</v>
      </c>
      <c r="AF82" s="112" t="n">
        <f aca="false">AD82*TAN(RADIANS(AH$7))-(IF($B$4, 9.807, 32.174)*AD82^2)/(2*AG$7^2*COS(RADIANS(AH$7))^2)+$D$7</f>
        <v>4.43358924418889</v>
      </c>
      <c r="AG82" s="123" t="n">
        <f aca="false">MIN($V$5,AF82)</f>
        <v>4.43358924418889</v>
      </c>
      <c r="AH82" s="112"/>
      <c r="AI82" s="112" t="n">
        <f aca="false">AI81+AI$7/100</f>
        <v>1.48</v>
      </c>
      <c r="AJ82" s="122" t="n">
        <f aca="false">AI82+IF($I$3="Forward", $D$9, $G$9)</f>
        <v>1.48</v>
      </c>
      <c r="AK82" s="112" t="n">
        <f aca="false">AI82*TAN(RADIANS(AM$7))-(IF($B$4, 9.807, 32.174)*AI82^2)/(2*AL$7^2*COS(RADIANS(AM$7))^2)+$D$7</f>
        <v>4.43358924418889</v>
      </c>
      <c r="AL82" s="123" t="n">
        <f aca="false">MIN($V$5,AK82)</f>
        <v>4.43358924418889</v>
      </c>
      <c r="AM82" s="112"/>
      <c r="AN82" s="112" t="n">
        <f aca="false">AN81+AN$7/100</f>
        <v>1.48</v>
      </c>
      <c r="AO82" s="112" t="n">
        <f aca="false">AN82</f>
        <v>1.48</v>
      </c>
      <c r="AP82" s="112" t="n">
        <f aca="false">AN82*TAN(RADIANS(AR$7))-(IF($B$4, 9.807, 32.174)*AN82^2)/(2*AQ$7^2*COS(RADIANS(AR$7))^2)+$D$7</f>
        <v>4.43358924418889</v>
      </c>
      <c r="AQ82" s="123" t="n">
        <f aca="false">MIN($V$5,AP82)</f>
        <v>4.43358924418889</v>
      </c>
      <c r="AR82" s="112"/>
      <c r="AS82" s="112" t="n">
        <f aca="false">AS81+AS$7/100</f>
        <v>1.48</v>
      </c>
      <c r="AT82" s="122" t="n">
        <f aca="false">AS82-IF($I$3="Forward", $D$9, $G$9)</f>
        <v>1.48</v>
      </c>
      <c r="AU82" s="112" t="n">
        <f aca="false">AS82*TAN(RADIANS(AW$7))-(IF($B$4, 9.807, 32.174)*AS82^2)/(2*AV$7^2*COS(RADIANS(AW$7))^2)+$D$7</f>
        <v>4.43358924418889</v>
      </c>
      <c r="AV82" s="123" t="n">
        <f aca="false">MIN($V$5,AU82)</f>
        <v>4.43358924418889</v>
      </c>
      <c r="AW82" s="112"/>
      <c r="AX82" s="112" t="n">
        <f aca="false">AX81+AX$7/100</f>
        <v>1.48</v>
      </c>
      <c r="AY82" s="122" t="n">
        <f aca="false">AX82+IF($I$3="Forward", $D$9, $G$9)</f>
        <v>1.48</v>
      </c>
      <c r="AZ82" s="112" t="n">
        <f aca="false">AX82*TAN(RADIANS(BB$7))-(IF($B$4, 9.807, 32.174)*AX82^2)/(2*BA$7^2*COS(RADIANS(BB$7))^2)+$D$7</f>
        <v>4.43358924418889</v>
      </c>
      <c r="BA82" s="123" t="n">
        <f aca="false">MIN($V$5,AZ82)</f>
        <v>4.43358924418889</v>
      </c>
      <c r="BB82" s="112"/>
      <c r="BC82" s="112" t="n">
        <f aca="false">BC81+BC$7/100</f>
        <v>1.48</v>
      </c>
      <c r="BD82" s="112" t="n">
        <f aca="false">BC82</f>
        <v>1.48</v>
      </c>
      <c r="BE82" s="112" t="n">
        <f aca="false">BC82*TAN(RADIANS(BG$7))-(IF($B$4, 9.807, 32.174)*BC82^2)/(2*BF$7^2*COS(RADIANS(BG$7))^2)+$D$7</f>
        <v>4.43358924418889</v>
      </c>
      <c r="BF82" s="123" t="n">
        <f aca="false">MIN($V$5,BE82)</f>
        <v>4.43358924418889</v>
      </c>
      <c r="BG82" s="112"/>
      <c r="BH82" s="112" t="n">
        <f aca="false">BH81+BH$7/100</f>
        <v>1.48</v>
      </c>
      <c r="BI82" s="122" t="n">
        <f aca="false">BH82-IF($I$3="Forward", $D$9, $G$9)</f>
        <v>1.48</v>
      </c>
      <c r="BJ82" s="112" t="n">
        <f aca="false">BH82*TAN(RADIANS(BL$7))-(IF($B$4, 9.807, 32.174)*BH82^2)/(2*BK$7^2*COS(RADIANS(BL$7))^2)+$D$7</f>
        <v>4.43358924418889</v>
      </c>
      <c r="BK82" s="123" t="n">
        <f aca="false">MIN($V$5,BJ82)</f>
        <v>4.43358924418889</v>
      </c>
      <c r="BL82" s="112"/>
      <c r="BM82" s="112" t="n">
        <f aca="false">BM81+BM$7/100</f>
        <v>1.48</v>
      </c>
      <c r="BN82" s="122" t="n">
        <f aca="false">BM82+IF($I$3="Forward", $D$9, $G$9)</f>
        <v>1.48</v>
      </c>
      <c r="BO82" s="112" t="n">
        <f aca="false">BM82*TAN(RADIANS(BQ$7))-(IF($B$4, 9.807, 32.174)*BM82^2)/(2*BP$7^2*COS(RADIANS(BQ$7))^2)+$D$7</f>
        <v>4.43358924418889</v>
      </c>
      <c r="BP82" s="123" t="n">
        <f aca="false">MIN($V$5,BO82)</f>
        <v>4.43358924418889</v>
      </c>
      <c r="BQ82" s="112"/>
      <c r="BR82" s="112" t="n">
        <f aca="false">BR81+BR$7/100</f>
        <v>1.48</v>
      </c>
      <c r="BS82" s="112" t="n">
        <f aca="false">BR82</f>
        <v>1.48</v>
      </c>
      <c r="BT82" s="112" t="n">
        <f aca="false">BR82*TAN(RADIANS(BV$7))-(IF($B$4, 9.807, 32.174)*BR82^2)/(2*BU$7^2*COS(RADIANS(BV$7))^2)+$D$7</f>
        <v>4.43358924418889</v>
      </c>
      <c r="BU82" s="123" t="n">
        <f aca="false">MIN($V$5,BT82)</f>
        <v>4.43358924418889</v>
      </c>
      <c r="BV82" s="112"/>
      <c r="BW82" s="112" t="n">
        <f aca="false">BW81+BW$7/100</f>
        <v>1.48</v>
      </c>
      <c r="BX82" s="122" t="n">
        <f aca="false">BW82-IF($I$3="Forward", $D$9, $G$9)</f>
        <v>1.48</v>
      </c>
      <c r="BY82" s="112" t="n">
        <f aca="false">BW82*TAN(RADIANS(CA$7))-(IF($B$4, 9.807, 32.174)*BW82^2)/(2*BZ$7^2*COS(RADIANS(CA$7))^2)+$D$7</f>
        <v>4.43358924418889</v>
      </c>
      <c r="BZ82" s="123" t="n">
        <f aca="false">MIN($V$5,BY82)</f>
        <v>4.43358924418889</v>
      </c>
      <c r="CA82" s="112"/>
      <c r="CB82" s="112" t="n">
        <f aca="false">CB81+CB$7/100</f>
        <v>1.48</v>
      </c>
      <c r="CC82" s="122" t="n">
        <f aca="false">CB82+IF($I$3="Forward", $D$9, $G$9)</f>
        <v>1.48</v>
      </c>
      <c r="CD82" s="112" t="n">
        <f aca="false">CB82*TAN(RADIANS(CF$7))-(IF($B$4, 9.807, 32.174)*CB82^2)/(2*CE$7^2*COS(RADIANS(CF$7))^2)+$D$7</f>
        <v>4.43358924418889</v>
      </c>
      <c r="CE82" s="123" t="n">
        <f aca="false">MIN($V$5,CD82)</f>
        <v>4.43358924418889</v>
      </c>
      <c r="CF82" s="112"/>
      <c r="CG82" s="124" t="n">
        <f aca="false">CG81+CG$7/100</f>
        <v>1.48</v>
      </c>
      <c r="CH82" s="124" t="n">
        <f aca="false">CG82</f>
        <v>1.48</v>
      </c>
      <c r="CI82" s="124" t="n">
        <f aca="false">CG82*TAN(RADIANS(CK$7))-(IF($B$4, 9.807, 32.174)*CG82^2)/(2*CJ$7^2*COS(RADIANS(CK$7))^2)+$D$7</f>
        <v>4.43358924418889</v>
      </c>
      <c r="CJ82" s="123" t="n">
        <f aca="false">MIN($V$5,CI82)</f>
        <v>4.43358924418889</v>
      </c>
      <c r="CK82" s="124"/>
      <c r="CL82" s="112" t="n">
        <f aca="false">CL81+CL$7/100</f>
        <v>1.48</v>
      </c>
      <c r="CM82" s="122" t="n">
        <f aca="false">CL82-IF($I$3="Forward", $D$9, $G$9)</f>
        <v>1.48</v>
      </c>
      <c r="CN82" s="112" t="n">
        <f aca="false">CL82*TAN(RADIANS(CP$7))-(IF($B$4, 9.807, 32.174)*CL82^2)/(2*CO$7^2*COS(RADIANS(CP$7))^2)+$D$7</f>
        <v>4.43358924418889</v>
      </c>
      <c r="CO82" s="123" t="n">
        <f aca="false">MIN($V$5,CN82)</f>
        <v>4.43358924418889</v>
      </c>
      <c r="CP82" s="112"/>
      <c r="CQ82" s="112" t="n">
        <f aca="false">CQ81+CQ$7/100</f>
        <v>1.48</v>
      </c>
      <c r="CR82" s="122" t="n">
        <f aca="false">CQ82+IF($I$3="Forward", $D$9, $G$9)</f>
        <v>1.48</v>
      </c>
      <c r="CS82" s="112" t="n">
        <f aca="false">CQ82*TAN(RADIANS(CU$7))-(IF($B$4, 9.807, 32.174)*CQ82^2)/(2*CT$7^2*COS(RADIANS(CU$7))^2)+$D$7</f>
        <v>4.43358924418889</v>
      </c>
      <c r="CT82" s="123" t="n">
        <f aca="false">MIN($V$5,CS82)</f>
        <v>4.43358924418889</v>
      </c>
      <c r="CU82" s="112"/>
      <c r="CV82" s="112" t="n">
        <f aca="false">CV81+CV$7/100</f>
        <v>1.48</v>
      </c>
      <c r="CW82" s="112" t="n">
        <f aca="false">CV82</f>
        <v>1.48</v>
      </c>
      <c r="CX82" s="112" t="n">
        <f aca="false">CV82*TAN(RADIANS(CZ$7))-(IF($B$4, 9.807, 32.174)*CV82^2)/(2*CY$7^2*COS(RADIANS(CZ$7))^2)+$D$7</f>
        <v>4.43358924418889</v>
      </c>
      <c r="CY82" s="123" t="n">
        <f aca="false">MIN($V$5,CX82)</f>
        <v>4.43358924418889</v>
      </c>
      <c r="CZ82" s="112"/>
      <c r="DA82" s="112" t="n">
        <f aca="false">DA81+DA$7/100</f>
        <v>1.48</v>
      </c>
      <c r="DB82" s="122" t="n">
        <f aca="false">DA82-IF($I$3="Forward", $D$9, $G$9)</f>
        <v>1.48</v>
      </c>
      <c r="DC82" s="112" t="n">
        <f aca="false">DA82*TAN(RADIANS(DE$7))-(IF($B$4, 9.807, 32.174)*DA82^2)/(2*DD$7^2*COS(RADIANS(DE$7))^2)+$D$7</f>
        <v>4.43358924418889</v>
      </c>
      <c r="DD82" s="123" t="n">
        <f aca="false">MIN($V$5,DC82)</f>
        <v>4.43358924418889</v>
      </c>
      <c r="DE82" s="112"/>
      <c r="DF82" s="112" t="n">
        <f aca="false">DF81+DF$7/100</f>
        <v>1.48</v>
      </c>
      <c r="DG82" s="122" t="n">
        <f aca="false">DF82+IF($I$3="Forward", $D$9, $G$9)</f>
        <v>1.48</v>
      </c>
      <c r="DH82" s="112" t="n">
        <f aca="false">DF82*TAN(RADIANS(DJ$7))-(IF($B$4, 9.807, 32.174)*DF82^2)/(2*DI$7^2*COS(RADIANS(DJ$7))^2)+$D$7</f>
        <v>4.43358924418889</v>
      </c>
      <c r="DI82" s="123" t="n">
        <f aca="false">MIN($V$5,DH82)</f>
        <v>4.43358924418889</v>
      </c>
      <c r="DJ82" s="112"/>
      <c r="DK82" s="112" t="n">
        <f aca="false">DK81+DK$7/100</f>
        <v>1.48</v>
      </c>
      <c r="DL82" s="112" t="n">
        <f aca="false">DK82</f>
        <v>1.48</v>
      </c>
      <c r="DM82" s="112" t="n">
        <f aca="false">DK82*TAN(RADIANS(DO$7))-(IF($B$4, 9.807, 32.174)*DK82^2)/(2*DN$7^2*COS(RADIANS(DO$7))^2)+$D$7</f>
        <v>4.43358924418889</v>
      </c>
      <c r="DN82" s="123" t="n">
        <f aca="false">MIN($V$5,DM82)</f>
        <v>4.43358924418889</v>
      </c>
      <c r="DO82" s="112"/>
      <c r="DP82" s="112" t="n">
        <f aca="false">DP81+DP$7/100</f>
        <v>1.48</v>
      </c>
      <c r="DQ82" s="122" t="n">
        <f aca="false">DP82-IF($I$3="Forward", $D$9, $G$9)</f>
        <v>1.48</v>
      </c>
      <c r="DR82" s="112" t="n">
        <f aca="false">DP82*TAN(RADIANS(DT$7))-(IF($B$4, 9.807, 32.174)*DP82^2)/(2*DS$7^2*COS(RADIANS(DT$7))^2)+$D$7</f>
        <v>4.43358924418889</v>
      </c>
      <c r="DS82" s="123" t="n">
        <f aca="false">MIN($V$5,DR82)</f>
        <v>4.43358924418889</v>
      </c>
      <c r="DT82" s="112"/>
      <c r="DU82" s="112" t="n">
        <f aca="false">DU81+DU$7/100</f>
        <v>1.48</v>
      </c>
      <c r="DV82" s="122" t="n">
        <f aca="false">DU82+IF($I$3="Forward", $D$9, $G$9)</f>
        <v>1.48</v>
      </c>
      <c r="DW82" s="112" t="n">
        <f aca="false">DU82*TAN(RADIANS(DY$7))-(IF($B$4, 9.807, 32.174)*DU82^2)/(2*DX$7^2*COS(RADIANS(DY$7))^2)+$D$7</f>
        <v>4.43358924418889</v>
      </c>
      <c r="DX82" s="123" t="n">
        <f aca="false">MIN($V$5,DW82)</f>
        <v>4.43358924418889</v>
      </c>
      <c r="DY82" s="112"/>
      <c r="DZ82" s="112" t="n">
        <f aca="false">DZ81+DZ$7/100</f>
        <v>1.48</v>
      </c>
      <c r="EA82" s="112" t="n">
        <f aca="false">DZ82</f>
        <v>1.48</v>
      </c>
      <c r="EB82" s="112" t="n">
        <f aca="false">DZ82*TAN(RADIANS(ED$7))-(IF($B$4, 9.807, 32.174)*DZ82^2)/(2*EC$7^2*COS(RADIANS(ED$7))^2)+$D$7</f>
        <v>4.43358924418889</v>
      </c>
      <c r="EC82" s="123" t="n">
        <f aca="false">MIN($V$5,EB82)</f>
        <v>4.43358924418889</v>
      </c>
      <c r="ED82" s="112"/>
      <c r="EE82" s="112" t="n">
        <f aca="false">EE81+EE$7/100</f>
        <v>1.48</v>
      </c>
      <c r="EF82" s="122" t="n">
        <f aca="false">EE82-IF($I$3="Forward", $D$9, $G$9)</f>
        <v>1.48</v>
      </c>
      <c r="EG82" s="112" t="n">
        <f aca="false">EE82*TAN(RADIANS(EI$7))-(IF($B$4, 9.807, 32.174)*EE82^2)/(2*EH$7^2*COS(RADIANS(EI$7))^2)+$D$7</f>
        <v>4.43358924418889</v>
      </c>
      <c r="EH82" s="123" t="n">
        <f aca="false">MIN($V$5,EG82)</f>
        <v>4.43358924418889</v>
      </c>
      <c r="EI82" s="112"/>
      <c r="EJ82" s="112" t="n">
        <f aca="false">EJ81+EJ$7/100</f>
        <v>1.48</v>
      </c>
      <c r="EK82" s="122" t="n">
        <f aca="false">EJ82+IF($I$3="Forward", $D$9, $G$9)</f>
        <v>1.48</v>
      </c>
      <c r="EL82" s="112" t="n">
        <f aca="false">EJ82*TAN(RADIANS(EN$7))-(IF($B$4, 9.807, 32.174)*EJ82^2)/(2*EM$7^2*COS(RADIANS(EN$7))^2)+$D$7</f>
        <v>4.43358924418889</v>
      </c>
      <c r="EM82" s="123" t="n">
        <f aca="false">MIN($V$5,EL82)</f>
        <v>4.43358924418889</v>
      </c>
      <c r="EN82" s="112"/>
      <c r="EO82" s="112" t="n">
        <f aca="false">EO81+EO$7/100</f>
        <v>1.48</v>
      </c>
      <c r="EP82" s="112" t="n">
        <f aca="false">EO82</f>
        <v>1.48</v>
      </c>
      <c r="EQ82" s="112" t="n">
        <f aca="false">EO82*TAN(RADIANS(ES$7))-(IF($B$4, 9.807, 32.174)*EO82^2)/(2*ER$7^2*COS(RADIANS(ES$7))^2)+$D$7</f>
        <v>4.43358924418889</v>
      </c>
      <c r="ER82" s="123" t="n">
        <f aca="false">MIN($V$5,EQ82)</f>
        <v>4.43358924418889</v>
      </c>
      <c r="ES82" s="112"/>
      <c r="ET82" s="112" t="n">
        <f aca="false">ET81+ET$7/100</f>
        <v>1.48</v>
      </c>
      <c r="EU82" s="122" t="n">
        <f aca="false">ET82-IF($I$3="Forward", $D$9, $G$9)</f>
        <v>1.48</v>
      </c>
      <c r="EV82" s="112" t="n">
        <f aca="false">ET82*TAN(RADIANS(EX$7))-(IF($B$4, 9.807, 32.174)*ET82^2)/(2*EW$7^2*COS(RADIANS(EX$7))^2)+$D$7</f>
        <v>4.43358924418889</v>
      </c>
      <c r="EW82" s="123" t="n">
        <f aca="false">MIN($V$5,EV82)</f>
        <v>4.43358924418889</v>
      </c>
      <c r="EX82" s="112"/>
    </row>
    <row r="83" s="131" customFormat="true" ht="15" hidden="false" customHeight="false" outlineLevel="0" collapsed="false">
      <c r="T83" s="112" t="n">
        <f aca="false">T82+T$7/100</f>
        <v>1.5</v>
      </c>
      <c r="U83" s="122" t="n">
        <f aca="false">T83+IF($I$3="Forward", $D$9, $G$9)</f>
        <v>1.5</v>
      </c>
      <c r="V83" s="112" t="n">
        <f aca="false">T83*TAN(RADIANS(X$7))-(IF($B$4, 9.807, 32.174)*T83^2)/(2*W$7^2*COS(RADIANS(X$7))^2)+$D$7</f>
        <v>4.38923068235664</v>
      </c>
      <c r="W83" s="123" t="n">
        <f aca="false">MIN($V$5,V83)</f>
        <v>4.38923068235664</v>
      </c>
      <c r="X83" s="112"/>
      <c r="Y83" s="112" t="n">
        <f aca="false">Y82+Y$7/100</f>
        <v>1.5</v>
      </c>
      <c r="Z83" s="112" t="n">
        <f aca="false">Y83</f>
        <v>1.5</v>
      </c>
      <c r="AA83" s="112" t="n">
        <f aca="false">Y83*TAN(RADIANS(AC$7))-(IF($B$4, 9.807, 32.174)*Y83^2)/(2*AB$7^2*COS(RADIANS(AC$7))^2)+$D$7</f>
        <v>4.38923068235664</v>
      </c>
      <c r="AB83" s="123" t="n">
        <f aca="false">MIN($V$5,AA83)</f>
        <v>4.38923068235664</v>
      </c>
      <c r="AC83" s="112"/>
      <c r="AD83" s="112" t="n">
        <f aca="false">AD82+AD$7/100</f>
        <v>1.5</v>
      </c>
      <c r="AE83" s="122" t="n">
        <f aca="false">AD83-IF($I$3="Forward", $D$9, $G$9)</f>
        <v>1.5</v>
      </c>
      <c r="AF83" s="112" t="n">
        <f aca="false">AD83*TAN(RADIANS(AH$7))-(IF($B$4, 9.807, 32.174)*AD83^2)/(2*AG$7^2*COS(RADIANS(AH$7))^2)+$D$7</f>
        <v>4.38923068235664</v>
      </c>
      <c r="AG83" s="123" t="n">
        <f aca="false">MIN($V$5,AF83)</f>
        <v>4.38923068235664</v>
      </c>
      <c r="AH83" s="112"/>
      <c r="AI83" s="112" t="n">
        <f aca="false">AI82+AI$7/100</f>
        <v>1.5</v>
      </c>
      <c r="AJ83" s="122" t="n">
        <f aca="false">AI83+IF($I$3="Forward", $D$9, $G$9)</f>
        <v>1.5</v>
      </c>
      <c r="AK83" s="112" t="n">
        <f aca="false">AI83*TAN(RADIANS(AM$7))-(IF($B$4, 9.807, 32.174)*AI83^2)/(2*AL$7^2*COS(RADIANS(AM$7))^2)+$D$7</f>
        <v>4.38923068235664</v>
      </c>
      <c r="AL83" s="123" t="n">
        <f aca="false">MIN($V$5,AK83)</f>
        <v>4.38923068235664</v>
      </c>
      <c r="AM83" s="112"/>
      <c r="AN83" s="112" t="n">
        <f aca="false">AN82+AN$7/100</f>
        <v>1.5</v>
      </c>
      <c r="AO83" s="112" t="n">
        <f aca="false">AN83</f>
        <v>1.5</v>
      </c>
      <c r="AP83" s="112" t="n">
        <f aca="false">AN83*TAN(RADIANS(AR$7))-(IF($B$4, 9.807, 32.174)*AN83^2)/(2*AQ$7^2*COS(RADIANS(AR$7))^2)+$D$7</f>
        <v>4.38923068235664</v>
      </c>
      <c r="AQ83" s="123" t="n">
        <f aca="false">MIN($V$5,AP83)</f>
        <v>4.38923068235664</v>
      </c>
      <c r="AR83" s="112"/>
      <c r="AS83" s="112" t="n">
        <f aca="false">AS82+AS$7/100</f>
        <v>1.5</v>
      </c>
      <c r="AT83" s="122" t="n">
        <f aca="false">AS83-IF($I$3="Forward", $D$9, $G$9)</f>
        <v>1.5</v>
      </c>
      <c r="AU83" s="112" t="n">
        <f aca="false">AS83*TAN(RADIANS(AW$7))-(IF($B$4, 9.807, 32.174)*AS83^2)/(2*AV$7^2*COS(RADIANS(AW$7))^2)+$D$7</f>
        <v>4.38923068235664</v>
      </c>
      <c r="AV83" s="123" t="n">
        <f aca="false">MIN($V$5,AU83)</f>
        <v>4.38923068235664</v>
      </c>
      <c r="AW83" s="112"/>
      <c r="AX83" s="112" t="n">
        <f aca="false">AX82+AX$7/100</f>
        <v>1.5</v>
      </c>
      <c r="AY83" s="122" t="n">
        <f aca="false">AX83+IF($I$3="Forward", $D$9, $G$9)</f>
        <v>1.5</v>
      </c>
      <c r="AZ83" s="112" t="n">
        <f aca="false">AX83*TAN(RADIANS(BB$7))-(IF($B$4, 9.807, 32.174)*AX83^2)/(2*BA$7^2*COS(RADIANS(BB$7))^2)+$D$7</f>
        <v>4.38923068235664</v>
      </c>
      <c r="BA83" s="123" t="n">
        <f aca="false">MIN($V$5,AZ83)</f>
        <v>4.38923068235664</v>
      </c>
      <c r="BB83" s="112"/>
      <c r="BC83" s="112" t="n">
        <f aca="false">BC82+BC$7/100</f>
        <v>1.5</v>
      </c>
      <c r="BD83" s="112" t="n">
        <f aca="false">BC83</f>
        <v>1.5</v>
      </c>
      <c r="BE83" s="112" t="n">
        <f aca="false">BC83*TAN(RADIANS(BG$7))-(IF($B$4, 9.807, 32.174)*BC83^2)/(2*BF$7^2*COS(RADIANS(BG$7))^2)+$D$7</f>
        <v>4.38923068235664</v>
      </c>
      <c r="BF83" s="123" t="n">
        <f aca="false">MIN($V$5,BE83)</f>
        <v>4.38923068235664</v>
      </c>
      <c r="BG83" s="112"/>
      <c r="BH83" s="112" t="n">
        <f aca="false">BH82+BH$7/100</f>
        <v>1.5</v>
      </c>
      <c r="BI83" s="122" t="n">
        <f aca="false">BH83-IF($I$3="Forward", $D$9, $G$9)</f>
        <v>1.5</v>
      </c>
      <c r="BJ83" s="112" t="n">
        <f aca="false">BH83*TAN(RADIANS(BL$7))-(IF($B$4, 9.807, 32.174)*BH83^2)/(2*BK$7^2*COS(RADIANS(BL$7))^2)+$D$7</f>
        <v>4.38923068235664</v>
      </c>
      <c r="BK83" s="123" t="n">
        <f aca="false">MIN($V$5,BJ83)</f>
        <v>4.38923068235664</v>
      </c>
      <c r="BL83" s="112"/>
      <c r="BM83" s="112" t="n">
        <f aca="false">BM82+BM$7/100</f>
        <v>1.5</v>
      </c>
      <c r="BN83" s="122" t="n">
        <f aca="false">BM83+IF($I$3="Forward", $D$9, $G$9)</f>
        <v>1.5</v>
      </c>
      <c r="BO83" s="112" t="n">
        <f aca="false">BM83*TAN(RADIANS(BQ$7))-(IF($B$4, 9.807, 32.174)*BM83^2)/(2*BP$7^2*COS(RADIANS(BQ$7))^2)+$D$7</f>
        <v>4.38923068235664</v>
      </c>
      <c r="BP83" s="123" t="n">
        <f aca="false">MIN($V$5,BO83)</f>
        <v>4.38923068235664</v>
      </c>
      <c r="BQ83" s="112"/>
      <c r="BR83" s="112" t="n">
        <f aca="false">BR82+BR$7/100</f>
        <v>1.5</v>
      </c>
      <c r="BS83" s="112" t="n">
        <f aca="false">BR83</f>
        <v>1.5</v>
      </c>
      <c r="BT83" s="112" t="n">
        <f aca="false">BR83*TAN(RADIANS(BV$7))-(IF($B$4, 9.807, 32.174)*BR83^2)/(2*BU$7^2*COS(RADIANS(BV$7))^2)+$D$7</f>
        <v>4.38923068235664</v>
      </c>
      <c r="BU83" s="123" t="n">
        <f aca="false">MIN($V$5,BT83)</f>
        <v>4.38923068235664</v>
      </c>
      <c r="BV83" s="112"/>
      <c r="BW83" s="112" t="n">
        <f aca="false">BW82+BW$7/100</f>
        <v>1.5</v>
      </c>
      <c r="BX83" s="122" t="n">
        <f aca="false">BW83-IF($I$3="Forward", $D$9, $G$9)</f>
        <v>1.5</v>
      </c>
      <c r="BY83" s="112" t="n">
        <f aca="false">BW83*TAN(RADIANS(CA$7))-(IF($B$4, 9.807, 32.174)*BW83^2)/(2*BZ$7^2*COS(RADIANS(CA$7))^2)+$D$7</f>
        <v>4.38923068235664</v>
      </c>
      <c r="BZ83" s="123" t="n">
        <f aca="false">MIN($V$5,BY83)</f>
        <v>4.38923068235664</v>
      </c>
      <c r="CA83" s="112"/>
      <c r="CB83" s="112" t="n">
        <f aca="false">CB82+CB$7/100</f>
        <v>1.5</v>
      </c>
      <c r="CC83" s="122" t="n">
        <f aca="false">CB83+IF($I$3="Forward", $D$9, $G$9)</f>
        <v>1.5</v>
      </c>
      <c r="CD83" s="112" t="n">
        <f aca="false">CB83*TAN(RADIANS(CF$7))-(IF($B$4, 9.807, 32.174)*CB83^2)/(2*CE$7^2*COS(RADIANS(CF$7))^2)+$D$7</f>
        <v>4.38923068235664</v>
      </c>
      <c r="CE83" s="123" t="n">
        <f aca="false">MIN($V$5,CD83)</f>
        <v>4.38923068235664</v>
      </c>
      <c r="CF83" s="112"/>
      <c r="CG83" s="124" t="n">
        <f aca="false">CG82+CG$7/100</f>
        <v>1.5</v>
      </c>
      <c r="CH83" s="124" t="n">
        <f aca="false">CG83</f>
        <v>1.5</v>
      </c>
      <c r="CI83" s="124" t="n">
        <f aca="false">CG83*TAN(RADIANS(CK$7))-(IF($B$4, 9.807, 32.174)*CG83^2)/(2*CJ$7^2*COS(RADIANS(CK$7))^2)+$D$7</f>
        <v>4.38923068235664</v>
      </c>
      <c r="CJ83" s="123" t="n">
        <f aca="false">MIN($V$5,CI83)</f>
        <v>4.38923068235664</v>
      </c>
      <c r="CK83" s="124"/>
      <c r="CL83" s="112" t="n">
        <f aca="false">CL82+CL$7/100</f>
        <v>1.5</v>
      </c>
      <c r="CM83" s="122" t="n">
        <f aca="false">CL83-IF($I$3="Forward", $D$9, $G$9)</f>
        <v>1.5</v>
      </c>
      <c r="CN83" s="112" t="n">
        <f aca="false">CL83*TAN(RADIANS(CP$7))-(IF($B$4, 9.807, 32.174)*CL83^2)/(2*CO$7^2*COS(RADIANS(CP$7))^2)+$D$7</f>
        <v>4.38923068235664</v>
      </c>
      <c r="CO83" s="123" t="n">
        <f aca="false">MIN($V$5,CN83)</f>
        <v>4.38923068235664</v>
      </c>
      <c r="CP83" s="112"/>
      <c r="CQ83" s="112" t="n">
        <f aca="false">CQ82+CQ$7/100</f>
        <v>1.5</v>
      </c>
      <c r="CR83" s="122" t="n">
        <f aca="false">CQ83+IF($I$3="Forward", $D$9, $G$9)</f>
        <v>1.5</v>
      </c>
      <c r="CS83" s="112" t="n">
        <f aca="false">CQ83*TAN(RADIANS(CU$7))-(IF($B$4, 9.807, 32.174)*CQ83^2)/(2*CT$7^2*COS(RADIANS(CU$7))^2)+$D$7</f>
        <v>4.38923068235664</v>
      </c>
      <c r="CT83" s="123" t="n">
        <f aca="false">MIN($V$5,CS83)</f>
        <v>4.38923068235664</v>
      </c>
      <c r="CU83" s="112"/>
      <c r="CV83" s="112" t="n">
        <f aca="false">CV82+CV$7/100</f>
        <v>1.5</v>
      </c>
      <c r="CW83" s="112" t="n">
        <f aca="false">CV83</f>
        <v>1.5</v>
      </c>
      <c r="CX83" s="112" t="n">
        <f aca="false">CV83*TAN(RADIANS(CZ$7))-(IF($B$4, 9.807, 32.174)*CV83^2)/(2*CY$7^2*COS(RADIANS(CZ$7))^2)+$D$7</f>
        <v>4.38923068235664</v>
      </c>
      <c r="CY83" s="123" t="n">
        <f aca="false">MIN($V$5,CX83)</f>
        <v>4.38923068235664</v>
      </c>
      <c r="CZ83" s="112"/>
      <c r="DA83" s="112" t="n">
        <f aca="false">DA82+DA$7/100</f>
        <v>1.5</v>
      </c>
      <c r="DB83" s="122" t="n">
        <f aca="false">DA83-IF($I$3="Forward", $D$9, $G$9)</f>
        <v>1.5</v>
      </c>
      <c r="DC83" s="112" t="n">
        <f aca="false">DA83*TAN(RADIANS(DE$7))-(IF($B$4, 9.807, 32.174)*DA83^2)/(2*DD$7^2*COS(RADIANS(DE$7))^2)+$D$7</f>
        <v>4.38923068235664</v>
      </c>
      <c r="DD83" s="123" t="n">
        <f aca="false">MIN($V$5,DC83)</f>
        <v>4.38923068235664</v>
      </c>
      <c r="DE83" s="112"/>
      <c r="DF83" s="112" t="n">
        <f aca="false">DF82+DF$7/100</f>
        <v>1.5</v>
      </c>
      <c r="DG83" s="122" t="n">
        <f aca="false">DF83+IF($I$3="Forward", $D$9, $G$9)</f>
        <v>1.5</v>
      </c>
      <c r="DH83" s="112" t="n">
        <f aca="false">DF83*TAN(RADIANS(DJ$7))-(IF($B$4, 9.807, 32.174)*DF83^2)/(2*DI$7^2*COS(RADIANS(DJ$7))^2)+$D$7</f>
        <v>4.38923068235664</v>
      </c>
      <c r="DI83" s="123" t="n">
        <f aca="false">MIN($V$5,DH83)</f>
        <v>4.38923068235664</v>
      </c>
      <c r="DJ83" s="112"/>
      <c r="DK83" s="112" t="n">
        <f aca="false">DK82+DK$7/100</f>
        <v>1.5</v>
      </c>
      <c r="DL83" s="112" t="n">
        <f aca="false">DK83</f>
        <v>1.5</v>
      </c>
      <c r="DM83" s="112" t="n">
        <f aca="false">DK83*TAN(RADIANS(DO$7))-(IF($B$4, 9.807, 32.174)*DK83^2)/(2*DN$7^2*COS(RADIANS(DO$7))^2)+$D$7</f>
        <v>4.38923068235664</v>
      </c>
      <c r="DN83" s="123" t="n">
        <f aca="false">MIN($V$5,DM83)</f>
        <v>4.38923068235664</v>
      </c>
      <c r="DO83" s="112"/>
      <c r="DP83" s="112" t="n">
        <f aca="false">DP82+DP$7/100</f>
        <v>1.5</v>
      </c>
      <c r="DQ83" s="122" t="n">
        <f aca="false">DP83-IF($I$3="Forward", $D$9, $G$9)</f>
        <v>1.5</v>
      </c>
      <c r="DR83" s="112" t="n">
        <f aca="false">DP83*TAN(RADIANS(DT$7))-(IF($B$4, 9.807, 32.174)*DP83^2)/(2*DS$7^2*COS(RADIANS(DT$7))^2)+$D$7</f>
        <v>4.38923068235664</v>
      </c>
      <c r="DS83" s="123" t="n">
        <f aca="false">MIN($V$5,DR83)</f>
        <v>4.38923068235664</v>
      </c>
      <c r="DT83" s="112"/>
      <c r="DU83" s="112" t="n">
        <f aca="false">DU82+DU$7/100</f>
        <v>1.5</v>
      </c>
      <c r="DV83" s="122" t="n">
        <f aca="false">DU83+IF($I$3="Forward", $D$9, $G$9)</f>
        <v>1.5</v>
      </c>
      <c r="DW83" s="112" t="n">
        <f aca="false">DU83*TAN(RADIANS(DY$7))-(IF($B$4, 9.807, 32.174)*DU83^2)/(2*DX$7^2*COS(RADIANS(DY$7))^2)+$D$7</f>
        <v>4.38923068235664</v>
      </c>
      <c r="DX83" s="123" t="n">
        <f aca="false">MIN($V$5,DW83)</f>
        <v>4.38923068235664</v>
      </c>
      <c r="DY83" s="112"/>
      <c r="DZ83" s="112" t="n">
        <f aca="false">DZ82+DZ$7/100</f>
        <v>1.5</v>
      </c>
      <c r="EA83" s="112" t="n">
        <f aca="false">DZ83</f>
        <v>1.5</v>
      </c>
      <c r="EB83" s="112" t="n">
        <f aca="false">DZ83*TAN(RADIANS(ED$7))-(IF($B$4, 9.807, 32.174)*DZ83^2)/(2*EC$7^2*COS(RADIANS(ED$7))^2)+$D$7</f>
        <v>4.38923068235664</v>
      </c>
      <c r="EC83" s="123" t="n">
        <f aca="false">MIN($V$5,EB83)</f>
        <v>4.38923068235664</v>
      </c>
      <c r="ED83" s="112"/>
      <c r="EE83" s="112" t="n">
        <f aca="false">EE82+EE$7/100</f>
        <v>1.5</v>
      </c>
      <c r="EF83" s="122" t="n">
        <f aca="false">EE83-IF($I$3="Forward", $D$9, $G$9)</f>
        <v>1.5</v>
      </c>
      <c r="EG83" s="112" t="n">
        <f aca="false">EE83*TAN(RADIANS(EI$7))-(IF($B$4, 9.807, 32.174)*EE83^2)/(2*EH$7^2*COS(RADIANS(EI$7))^2)+$D$7</f>
        <v>4.38923068235664</v>
      </c>
      <c r="EH83" s="123" t="n">
        <f aca="false">MIN($V$5,EG83)</f>
        <v>4.38923068235664</v>
      </c>
      <c r="EI83" s="112"/>
      <c r="EJ83" s="112" t="n">
        <f aca="false">EJ82+EJ$7/100</f>
        <v>1.5</v>
      </c>
      <c r="EK83" s="122" t="n">
        <f aca="false">EJ83+IF($I$3="Forward", $D$9, $G$9)</f>
        <v>1.5</v>
      </c>
      <c r="EL83" s="112" t="n">
        <f aca="false">EJ83*TAN(RADIANS(EN$7))-(IF($B$4, 9.807, 32.174)*EJ83^2)/(2*EM$7^2*COS(RADIANS(EN$7))^2)+$D$7</f>
        <v>4.38923068235664</v>
      </c>
      <c r="EM83" s="123" t="n">
        <f aca="false">MIN($V$5,EL83)</f>
        <v>4.38923068235664</v>
      </c>
      <c r="EN83" s="112"/>
      <c r="EO83" s="112" t="n">
        <f aca="false">EO82+EO$7/100</f>
        <v>1.5</v>
      </c>
      <c r="EP83" s="112" t="n">
        <f aca="false">EO83</f>
        <v>1.5</v>
      </c>
      <c r="EQ83" s="112" t="n">
        <f aca="false">EO83*TAN(RADIANS(ES$7))-(IF($B$4, 9.807, 32.174)*EO83^2)/(2*ER$7^2*COS(RADIANS(ES$7))^2)+$D$7</f>
        <v>4.38923068235664</v>
      </c>
      <c r="ER83" s="123" t="n">
        <f aca="false">MIN($V$5,EQ83)</f>
        <v>4.38923068235664</v>
      </c>
      <c r="ES83" s="112"/>
      <c r="ET83" s="112" t="n">
        <f aca="false">ET82+ET$7/100</f>
        <v>1.5</v>
      </c>
      <c r="EU83" s="122" t="n">
        <f aca="false">ET83-IF($I$3="Forward", $D$9, $G$9)</f>
        <v>1.5</v>
      </c>
      <c r="EV83" s="112" t="n">
        <f aca="false">ET83*TAN(RADIANS(EX$7))-(IF($B$4, 9.807, 32.174)*ET83^2)/(2*EW$7^2*COS(RADIANS(EX$7))^2)+$D$7</f>
        <v>4.38923068235664</v>
      </c>
      <c r="EW83" s="123" t="n">
        <f aca="false">MIN($V$5,EV83)</f>
        <v>4.38923068235664</v>
      </c>
      <c r="EX83" s="112"/>
    </row>
    <row r="84" s="131" customFormat="true" ht="15" hidden="false" customHeight="false" outlineLevel="0" collapsed="false">
      <c r="T84" s="112" t="n">
        <f aca="false">T83+T$7/100</f>
        <v>1.52</v>
      </c>
      <c r="U84" s="122" t="n">
        <f aca="false">T84+IF($I$3="Forward", $D$9, $G$9)</f>
        <v>1.52</v>
      </c>
      <c r="V84" s="112" t="n">
        <f aca="false">T84*TAN(RADIANS(X$7))-(IF($B$4, 9.807, 32.174)*T84^2)/(2*W$7^2*COS(RADIANS(X$7))^2)+$D$7</f>
        <v>4.34216360779654</v>
      </c>
      <c r="W84" s="123" t="n">
        <f aca="false">MIN($V$5,V84)</f>
        <v>4.34216360779654</v>
      </c>
      <c r="X84" s="112"/>
      <c r="Y84" s="112" t="n">
        <f aca="false">Y83+Y$7/100</f>
        <v>1.52</v>
      </c>
      <c r="Z84" s="112" t="n">
        <f aca="false">Y84</f>
        <v>1.52</v>
      </c>
      <c r="AA84" s="112" t="n">
        <f aca="false">Y84*TAN(RADIANS(AC$7))-(IF($B$4, 9.807, 32.174)*Y84^2)/(2*AB$7^2*COS(RADIANS(AC$7))^2)+$D$7</f>
        <v>4.34216360779654</v>
      </c>
      <c r="AB84" s="123" t="n">
        <f aca="false">MIN($V$5,AA84)</f>
        <v>4.34216360779654</v>
      </c>
      <c r="AC84" s="112"/>
      <c r="AD84" s="112" t="n">
        <f aca="false">AD83+AD$7/100</f>
        <v>1.52</v>
      </c>
      <c r="AE84" s="122" t="n">
        <f aca="false">AD84-IF($I$3="Forward", $D$9, $G$9)</f>
        <v>1.52</v>
      </c>
      <c r="AF84" s="112" t="n">
        <f aca="false">AD84*TAN(RADIANS(AH$7))-(IF($B$4, 9.807, 32.174)*AD84^2)/(2*AG$7^2*COS(RADIANS(AH$7))^2)+$D$7</f>
        <v>4.34216360779654</v>
      </c>
      <c r="AG84" s="123" t="n">
        <f aca="false">MIN($V$5,AF84)</f>
        <v>4.34216360779654</v>
      </c>
      <c r="AH84" s="112"/>
      <c r="AI84" s="112" t="n">
        <f aca="false">AI83+AI$7/100</f>
        <v>1.52</v>
      </c>
      <c r="AJ84" s="122" t="n">
        <f aca="false">AI84+IF($I$3="Forward", $D$9, $G$9)</f>
        <v>1.52</v>
      </c>
      <c r="AK84" s="112" t="n">
        <f aca="false">AI84*TAN(RADIANS(AM$7))-(IF($B$4, 9.807, 32.174)*AI84^2)/(2*AL$7^2*COS(RADIANS(AM$7))^2)+$D$7</f>
        <v>4.34216360779654</v>
      </c>
      <c r="AL84" s="123" t="n">
        <f aca="false">MIN($V$5,AK84)</f>
        <v>4.34216360779654</v>
      </c>
      <c r="AM84" s="112"/>
      <c r="AN84" s="112" t="n">
        <f aca="false">AN83+AN$7/100</f>
        <v>1.52</v>
      </c>
      <c r="AO84" s="112" t="n">
        <f aca="false">AN84</f>
        <v>1.52</v>
      </c>
      <c r="AP84" s="112" t="n">
        <f aca="false">AN84*TAN(RADIANS(AR$7))-(IF($B$4, 9.807, 32.174)*AN84^2)/(2*AQ$7^2*COS(RADIANS(AR$7))^2)+$D$7</f>
        <v>4.34216360779654</v>
      </c>
      <c r="AQ84" s="123" t="n">
        <f aca="false">MIN($V$5,AP84)</f>
        <v>4.34216360779654</v>
      </c>
      <c r="AR84" s="112"/>
      <c r="AS84" s="112" t="n">
        <f aca="false">AS83+AS$7/100</f>
        <v>1.52</v>
      </c>
      <c r="AT84" s="122" t="n">
        <f aca="false">AS84-IF($I$3="Forward", $D$9, $G$9)</f>
        <v>1.52</v>
      </c>
      <c r="AU84" s="112" t="n">
        <f aca="false">AS84*TAN(RADIANS(AW$7))-(IF($B$4, 9.807, 32.174)*AS84^2)/(2*AV$7^2*COS(RADIANS(AW$7))^2)+$D$7</f>
        <v>4.34216360779654</v>
      </c>
      <c r="AV84" s="123" t="n">
        <f aca="false">MIN($V$5,AU84)</f>
        <v>4.34216360779654</v>
      </c>
      <c r="AW84" s="112"/>
      <c r="AX84" s="112" t="n">
        <f aca="false">AX83+AX$7/100</f>
        <v>1.52</v>
      </c>
      <c r="AY84" s="122" t="n">
        <f aca="false">AX84+IF($I$3="Forward", $D$9, $G$9)</f>
        <v>1.52</v>
      </c>
      <c r="AZ84" s="112" t="n">
        <f aca="false">AX84*TAN(RADIANS(BB$7))-(IF($B$4, 9.807, 32.174)*AX84^2)/(2*BA$7^2*COS(RADIANS(BB$7))^2)+$D$7</f>
        <v>4.34216360779654</v>
      </c>
      <c r="BA84" s="123" t="n">
        <f aca="false">MIN($V$5,AZ84)</f>
        <v>4.34216360779654</v>
      </c>
      <c r="BB84" s="112"/>
      <c r="BC84" s="112" t="n">
        <f aca="false">BC83+BC$7/100</f>
        <v>1.52</v>
      </c>
      <c r="BD84" s="112" t="n">
        <f aca="false">BC84</f>
        <v>1.52</v>
      </c>
      <c r="BE84" s="112" t="n">
        <f aca="false">BC84*TAN(RADIANS(BG$7))-(IF($B$4, 9.807, 32.174)*BC84^2)/(2*BF$7^2*COS(RADIANS(BG$7))^2)+$D$7</f>
        <v>4.34216360779654</v>
      </c>
      <c r="BF84" s="123" t="n">
        <f aca="false">MIN($V$5,BE84)</f>
        <v>4.34216360779654</v>
      </c>
      <c r="BG84" s="112"/>
      <c r="BH84" s="112" t="n">
        <f aca="false">BH83+BH$7/100</f>
        <v>1.52</v>
      </c>
      <c r="BI84" s="122" t="n">
        <f aca="false">BH84-IF($I$3="Forward", $D$9, $G$9)</f>
        <v>1.52</v>
      </c>
      <c r="BJ84" s="112" t="n">
        <f aca="false">BH84*TAN(RADIANS(BL$7))-(IF($B$4, 9.807, 32.174)*BH84^2)/(2*BK$7^2*COS(RADIANS(BL$7))^2)+$D$7</f>
        <v>4.34216360779654</v>
      </c>
      <c r="BK84" s="123" t="n">
        <f aca="false">MIN($V$5,BJ84)</f>
        <v>4.34216360779654</v>
      </c>
      <c r="BL84" s="112"/>
      <c r="BM84" s="112" t="n">
        <f aca="false">BM83+BM$7/100</f>
        <v>1.52</v>
      </c>
      <c r="BN84" s="122" t="n">
        <f aca="false">BM84+IF($I$3="Forward", $D$9, $G$9)</f>
        <v>1.52</v>
      </c>
      <c r="BO84" s="112" t="n">
        <f aca="false">BM84*TAN(RADIANS(BQ$7))-(IF($B$4, 9.807, 32.174)*BM84^2)/(2*BP$7^2*COS(RADIANS(BQ$7))^2)+$D$7</f>
        <v>4.34216360779654</v>
      </c>
      <c r="BP84" s="123" t="n">
        <f aca="false">MIN($V$5,BO84)</f>
        <v>4.34216360779654</v>
      </c>
      <c r="BQ84" s="112"/>
      <c r="BR84" s="112" t="n">
        <f aca="false">BR83+BR$7/100</f>
        <v>1.52</v>
      </c>
      <c r="BS84" s="112" t="n">
        <f aca="false">BR84</f>
        <v>1.52</v>
      </c>
      <c r="BT84" s="112" t="n">
        <f aca="false">BR84*TAN(RADIANS(BV$7))-(IF($B$4, 9.807, 32.174)*BR84^2)/(2*BU$7^2*COS(RADIANS(BV$7))^2)+$D$7</f>
        <v>4.34216360779654</v>
      </c>
      <c r="BU84" s="123" t="n">
        <f aca="false">MIN($V$5,BT84)</f>
        <v>4.34216360779654</v>
      </c>
      <c r="BV84" s="112"/>
      <c r="BW84" s="112" t="n">
        <f aca="false">BW83+BW$7/100</f>
        <v>1.52</v>
      </c>
      <c r="BX84" s="122" t="n">
        <f aca="false">BW84-IF($I$3="Forward", $D$9, $G$9)</f>
        <v>1.52</v>
      </c>
      <c r="BY84" s="112" t="n">
        <f aca="false">BW84*TAN(RADIANS(CA$7))-(IF($B$4, 9.807, 32.174)*BW84^2)/(2*BZ$7^2*COS(RADIANS(CA$7))^2)+$D$7</f>
        <v>4.34216360779654</v>
      </c>
      <c r="BZ84" s="123" t="n">
        <f aca="false">MIN($V$5,BY84)</f>
        <v>4.34216360779654</v>
      </c>
      <c r="CA84" s="112"/>
      <c r="CB84" s="112" t="n">
        <f aca="false">CB83+CB$7/100</f>
        <v>1.52</v>
      </c>
      <c r="CC84" s="122" t="n">
        <f aca="false">CB84+IF($I$3="Forward", $D$9, $G$9)</f>
        <v>1.52</v>
      </c>
      <c r="CD84" s="112" t="n">
        <f aca="false">CB84*TAN(RADIANS(CF$7))-(IF($B$4, 9.807, 32.174)*CB84^2)/(2*CE$7^2*COS(RADIANS(CF$7))^2)+$D$7</f>
        <v>4.34216360779654</v>
      </c>
      <c r="CE84" s="123" t="n">
        <f aca="false">MIN($V$5,CD84)</f>
        <v>4.34216360779654</v>
      </c>
      <c r="CF84" s="112"/>
      <c r="CG84" s="124" t="n">
        <f aca="false">CG83+CG$7/100</f>
        <v>1.52</v>
      </c>
      <c r="CH84" s="124" t="n">
        <f aca="false">CG84</f>
        <v>1.52</v>
      </c>
      <c r="CI84" s="124" t="n">
        <f aca="false">CG84*TAN(RADIANS(CK$7))-(IF($B$4, 9.807, 32.174)*CG84^2)/(2*CJ$7^2*COS(RADIANS(CK$7))^2)+$D$7</f>
        <v>4.34216360779654</v>
      </c>
      <c r="CJ84" s="123" t="n">
        <f aca="false">MIN($V$5,CI84)</f>
        <v>4.34216360779654</v>
      </c>
      <c r="CK84" s="124"/>
      <c r="CL84" s="112" t="n">
        <f aca="false">CL83+CL$7/100</f>
        <v>1.52</v>
      </c>
      <c r="CM84" s="122" t="n">
        <f aca="false">CL84-IF($I$3="Forward", $D$9, $G$9)</f>
        <v>1.52</v>
      </c>
      <c r="CN84" s="112" t="n">
        <f aca="false">CL84*TAN(RADIANS(CP$7))-(IF($B$4, 9.807, 32.174)*CL84^2)/(2*CO$7^2*COS(RADIANS(CP$7))^2)+$D$7</f>
        <v>4.34216360779654</v>
      </c>
      <c r="CO84" s="123" t="n">
        <f aca="false">MIN($V$5,CN84)</f>
        <v>4.34216360779654</v>
      </c>
      <c r="CP84" s="112"/>
      <c r="CQ84" s="112" t="n">
        <f aca="false">CQ83+CQ$7/100</f>
        <v>1.52</v>
      </c>
      <c r="CR84" s="122" t="n">
        <f aca="false">CQ84+IF($I$3="Forward", $D$9, $G$9)</f>
        <v>1.52</v>
      </c>
      <c r="CS84" s="112" t="n">
        <f aca="false">CQ84*TAN(RADIANS(CU$7))-(IF($B$4, 9.807, 32.174)*CQ84^2)/(2*CT$7^2*COS(RADIANS(CU$7))^2)+$D$7</f>
        <v>4.34216360779654</v>
      </c>
      <c r="CT84" s="123" t="n">
        <f aca="false">MIN($V$5,CS84)</f>
        <v>4.34216360779654</v>
      </c>
      <c r="CU84" s="112"/>
      <c r="CV84" s="112" t="n">
        <f aca="false">CV83+CV$7/100</f>
        <v>1.52</v>
      </c>
      <c r="CW84" s="112" t="n">
        <f aca="false">CV84</f>
        <v>1.52</v>
      </c>
      <c r="CX84" s="112" t="n">
        <f aca="false">CV84*TAN(RADIANS(CZ$7))-(IF($B$4, 9.807, 32.174)*CV84^2)/(2*CY$7^2*COS(RADIANS(CZ$7))^2)+$D$7</f>
        <v>4.34216360779654</v>
      </c>
      <c r="CY84" s="123" t="n">
        <f aca="false">MIN($V$5,CX84)</f>
        <v>4.34216360779654</v>
      </c>
      <c r="CZ84" s="112"/>
      <c r="DA84" s="112" t="n">
        <f aca="false">DA83+DA$7/100</f>
        <v>1.52</v>
      </c>
      <c r="DB84" s="122" t="n">
        <f aca="false">DA84-IF($I$3="Forward", $D$9, $G$9)</f>
        <v>1.52</v>
      </c>
      <c r="DC84" s="112" t="n">
        <f aca="false">DA84*TAN(RADIANS(DE$7))-(IF($B$4, 9.807, 32.174)*DA84^2)/(2*DD$7^2*COS(RADIANS(DE$7))^2)+$D$7</f>
        <v>4.34216360779654</v>
      </c>
      <c r="DD84" s="123" t="n">
        <f aca="false">MIN($V$5,DC84)</f>
        <v>4.34216360779654</v>
      </c>
      <c r="DE84" s="112"/>
      <c r="DF84" s="112" t="n">
        <f aca="false">DF83+DF$7/100</f>
        <v>1.52</v>
      </c>
      <c r="DG84" s="122" t="n">
        <f aca="false">DF84+IF($I$3="Forward", $D$9, $G$9)</f>
        <v>1.52</v>
      </c>
      <c r="DH84" s="112" t="n">
        <f aca="false">DF84*TAN(RADIANS(DJ$7))-(IF($B$4, 9.807, 32.174)*DF84^2)/(2*DI$7^2*COS(RADIANS(DJ$7))^2)+$D$7</f>
        <v>4.34216360779654</v>
      </c>
      <c r="DI84" s="123" t="n">
        <f aca="false">MIN($V$5,DH84)</f>
        <v>4.34216360779654</v>
      </c>
      <c r="DJ84" s="112"/>
      <c r="DK84" s="112" t="n">
        <f aca="false">DK83+DK$7/100</f>
        <v>1.52</v>
      </c>
      <c r="DL84" s="112" t="n">
        <f aca="false">DK84</f>
        <v>1.52</v>
      </c>
      <c r="DM84" s="112" t="n">
        <f aca="false">DK84*TAN(RADIANS(DO$7))-(IF($B$4, 9.807, 32.174)*DK84^2)/(2*DN$7^2*COS(RADIANS(DO$7))^2)+$D$7</f>
        <v>4.34216360779654</v>
      </c>
      <c r="DN84" s="123" t="n">
        <f aca="false">MIN($V$5,DM84)</f>
        <v>4.34216360779654</v>
      </c>
      <c r="DO84" s="112"/>
      <c r="DP84" s="112" t="n">
        <f aca="false">DP83+DP$7/100</f>
        <v>1.52</v>
      </c>
      <c r="DQ84" s="122" t="n">
        <f aca="false">DP84-IF($I$3="Forward", $D$9, $G$9)</f>
        <v>1.52</v>
      </c>
      <c r="DR84" s="112" t="n">
        <f aca="false">DP84*TAN(RADIANS(DT$7))-(IF($B$4, 9.807, 32.174)*DP84^2)/(2*DS$7^2*COS(RADIANS(DT$7))^2)+$D$7</f>
        <v>4.34216360779654</v>
      </c>
      <c r="DS84" s="123" t="n">
        <f aca="false">MIN($V$5,DR84)</f>
        <v>4.34216360779654</v>
      </c>
      <c r="DT84" s="112"/>
      <c r="DU84" s="112" t="n">
        <f aca="false">DU83+DU$7/100</f>
        <v>1.52</v>
      </c>
      <c r="DV84" s="122" t="n">
        <f aca="false">DU84+IF($I$3="Forward", $D$9, $G$9)</f>
        <v>1.52</v>
      </c>
      <c r="DW84" s="112" t="n">
        <f aca="false">DU84*TAN(RADIANS(DY$7))-(IF($B$4, 9.807, 32.174)*DU84^2)/(2*DX$7^2*COS(RADIANS(DY$7))^2)+$D$7</f>
        <v>4.34216360779654</v>
      </c>
      <c r="DX84" s="123" t="n">
        <f aca="false">MIN($V$5,DW84)</f>
        <v>4.34216360779654</v>
      </c>
      <c r="DY84" s="112"/>
      <c r="DZ84" s="112" t="n">
        <f aca="false">DZ83+DZ$7/100</f>
        <v>1.52</v>
      </c>
      <c r="EA84" s="112" t="n">
        <f aca="false">DZ84</f>
        <v>1.52</v>
      </c>
      <c r="EB84" s="112" t="n">
        <f aca="false">DZ84*TAN(RADIANS(ED$7))-(IF($B$4, 9.807, 32.174)*DZ84^2)/(2*EC$7^2*COS(RADIANS(ED$7))^2)+$D$7</f>
        <v>4.34216360779654</v>
      </c>
      <c r="EC84" s="123" t="n">
        <f aca="false">MIN($V$5,EB84)</f>
        <v>4.34216360779654</v>
      </c>
      <c r="ED84" s="112"/>
      <c r="EE84" s="112" t="n">
        <f aca="false">EE83+EE$7/100</f>
        <v>1.52</v>
      </c>
      <c r="EF84" s="122" t="n">
        <f aca="false">EE84-IF($I$3="Forward", $D$9, $G$9)</f>
        <v>1.52</v>
      </c>
      <c r="EG84" s="112" t="n">
        <f aca="false">EE84*TAN(RADIANS(EI$7))-(IF($B$4, 9.807, 32.174)*EE84^2)/(2*EH$7^2*COS(RADIANS(EI$7))^2)+$D$7</f>
        <v>4.34216360779654</v>
      </c>
      <c r="EH84" s="123" t="n">
        <f aca="false">MIN($V$5,EG84)</f>
        <v>4.34216360779654</v>
      </c>
      <c r="EI84" s="112"/>
      <c r="EJ84" s="112" t="n">
        <f aca="false">EJ83+EJ$7/100</f>
        <v>1.52</v>
      </c>
      <c r="EK84" s="122" t="n">
        <f aca="false">EJ84+IF($I$3="Forward", $D$9, $G$9)</f>
        <v>1.52</v>
      </c>
      <c r="EL84" s="112" t="n">
        <f aca="false">EJ84*TAN(RADIANS(EN$7))-(IF($B$4, 9.807, 32.174)*EJ84^2)/(2*EM$7^2*COS(RADIANS(EN$7))^2)+$D$7</f>
        <v>4.34216360779654</v>
      </c>
      <c r="EM84" s="123" t="n">
        <f aca="false">MIN($V$5,EL84)</f>
        <v>4.34216360779654</v>
      </c>
      <c r="EN84" s="112"/>
      <c r="EO84" s="112" t="n">
        <f aca="false">EO83+EO$7/100</f>
        <v>1.52</v>
      </c>
      <c r="EP84" s="112" t="n">
        <f aca="false">EO84</f>
        <v>1.52</v>
      </c>
      <c r="EQ84" s="112" t="n">
        <f aca="false">EO84*TAN(RADIANS(ES$7))-(IF($B$4, 9.807, 32.174)*EO84^2)/(2*ER$7^2*COS(RADIANS(ES$7))^2)+$D$7</f>
        <v>4.34216360779654</v>
      </c>
      <c r="ER84" s="123" t="n">
        <f aca="false">MIN($V$5,EQ84)</f>
        <v>4.34216360779654</v>
      </c>
      <c r="ES84" s="112"/>
      <c r="ET84" s="112" t="n">
        <f aca="false">ET83+ET$7/100</f>
        <v>1.52</v>
      </c>
      <c r="EU84" s="122" t="n">
        <f aca="false">ET84-IF($I$3="Forward", $D$9, $G$9)</f>
        <v>1.52</v>
      </c>
      <c r="EV84" s="112" t="n">
        <f aca="false">ET84*TAN(RADIANS(EX$7))-(IF($B$4, 9.807, 32.174)*ET84^2)/(2*EW$7^2*COS(RADIANS(EX$7))^2)+$D$7</f>
        <v>4.34216360779654</v>
      </c>
      <c r="EW84" s="123" t="n">
        <f aca="false">MIN($V$5,EV84)</f>
        <v>4.34216360779654</v>
      </c>
      <c r="EX84" s="112"/>
    </row>
    <row r="85" s="131" customFormat="true" ht="15" hidden="false" customHeight="false" outlineLevel="0" collapsed="false">
      <c r="T85" s="112" t="n">
        <f aca="false">T84+T$7/100</f>
        <v>1.54</v>
      </c>
      <c r="U85" s="122" t="n">
        <f aca="false">T85+IF($I$3="Forward", $D$9, $G$9)</f>
        <v>1.54</v>
      </c>
      <c r="V85" s="112" t="n">
        <f aca="false">T85*TAN(RADIANS(X$7))-(IF($B$4, 9.807, 32.174)*T85^2)/(2*W$7^2*COS(RADIANS(X$7))^2)+$D$7</f>
        <v>4.29238802050859</v>
      </c>
      <c r="W85" s="123" t="n">
        <f aca="false">MIN($V$5,V85)</f>
        <v>4.29238802050859</v>
      </c>
      <c r="X85" s="112"/>
      <c r="Y85" s="112" t="n">
        <f aca="false">Y84+Y$7/100</f>
        <v>1.54</v>
      </c>
      <c r="Z85" s="112" t="n">
        <f aca="false">Y85</f>
        <v>1.54</v>
      </c>
      <c r="AA85" s="112" t="n">
        <f aca="false">Y85*TAN(RADIANS(AC$7))-(IF($B$4, 9.807, 32.174)*Y85^2)/(2*AB$7^2*COS(RADIANS(AC$7))^2)+$D$7</f>
        <v>4.29238802050859</v>
      </c>
      <c r="AB85" s="123" t="n">
        <f aca="false">MIN($V$5,AA85)</f>
        <v>4.29238802050859</v>
      </c>
      <c r="AC85" s="112"/>
      <c r="AD85" s="112" t="n">
        <f aca="false">AD84+AD$7/100</f>
        <v>1.54</v>
      </c>
      <c r="AE85" s="122" t="n">
        <f aca="false">AD85-IF($I$3="Forward", $D$9, $G$9)</f>
        <v>1.54</v>
      </c>
      <c r="AF85" s="112" t="n">
        <f aca="false">AD85*TAN(RADIANS(AH$7))-(IF($B$4, 9.807, 32.174)*AD85^2)/(2*AG$7^2*COS(RADIANS(AH$7))^2)+$D$7</f>
        <v>4.29238802050859</v>
      </c>
      <c r="AG85" s="123" t="n">
        <f aca="false">MIN($V$5,AF85)</f>
        <v>4.29238802050859</v>
      </c>
      <c r="AH85" s="112"/>
      <c r="AI85" s="112" t="n">
        <f aca="false">AI84+AI$7/100</f>
        <v>1.54</v>
      </c>
      <c r="AJ85" s="122" t="n">
        <f aca="false">AI85+IF($I$3="Forward", $D$9, $G$9)</f>
        <v>1.54</v>
      </c>
      <c r="AK85" s="112" t="n">
        <f aca="false">AI85*TAN(RADIANS(AM$7))-(IF($B$4, 9.807, 32.174)*AI85^2)/(2*AL$7^2*COS(RADIANS(AM$7))^2)+$D$7</f>
        <v>4.29238802050859</v>
      </c>
      <c r="AL85" s="123" t="n">
        <f aca="false">MIN($V$5,AK85)</f>
        <v>4.29238802050859</v>
      </c>
      <c r="AM85" s="112"/>
      <c r="AN85" s="112" t="n">
        <f aca="false">AN84+AN$7/100</f>
        <v>1.54</v>
      </c>
      <c r="AO85" s="112" t="n">
        <f aca="false">AN85</f>
        <v>1.54</v>
      </c>
      <c r="AP85" s="112" t="n">
        <f aca="false">AN85*TAN(RADIANS(AR$7))-(IF($B$4, 9.807, 32.174)*AN85^2)/(2*AQ$7^2*COS(RADIANS(AR$7))^2)+$D$7</f>
        <v>4.29238802050859</v>
      </c>
      <c r="AQ85" s="123" t="n">
        <f aca="false">MIN($V$5,AP85)</f>
        <v>4.29238802050859</v>
      </c>
      <c r="AR85" s="112"/>
      <c r="AS85" s="112" t="n">
        <f aca="false">AS84+AS$7/100</f>
        <v>1.54</v>
      </c>
      <c r="AT85" s="122" t="n">
        <f aca="false">AS85-IF($I$3="Forward", $D$9, $G$9)</f>
        <v>1.54</v>
      </c>
      <c r="AU85" s="112" t="n">
        <f aca="false">AS85*TAN(RADIANS(AW$7))-(IF($B$4, 9.807, 32.174)*AS85^2)/(2*AV$7^2*COS(RADIANS(AW$7))^2)+$D$7</f>
        <v>4.29238802050859</v>
      </c>
      <c r="AV85" s="123" t="n">
        <f aca="false">MIN($V$5,AU85)</f>
        <v>4.29238802050859</v>
      </c>
      <c r="AW85" s="112"/>
      <c r="AX85" s="112" t="n">
        <f aca="false">AX84+AX$7/100</f>
        <v>1.54</v>
      </c>
      <c r="AY85" s="122" t="n">
        <f aca="false">AX85+IF($I$3="Forward", $D$9, $G$9)</f>
        <v>1.54</v>
      </c>
      <c r="AZ85" s="112" t="n">
        <f aca="false">AX85*TAN(RADIANS(BB$7))-(IF($B$4, 9.807, 32.174)*AX85^2)/(2*BA$7^2*COS(RADIANS(BB$7))^2)+$D$7</f>
        <v>4.29238802050859</v>
      </c>
      <c r="BA85" s="123" t="n">
        <f aca="false">MIN($V$5,AZ85)</f>
        <v>4.29238802050859</v>
      </c>
      <c r="BB85" s="112"/>
      <c r="BC85" s="112" t="n">
        <f aca="false">BC84+BC$7/100</f>
        <v>1.54</v>
      </c>
      <c r="BD85" s="112" t="n">
        <f aca="false">BC85</f>
        <v>1.54</v>
      </c>
      <c r="BE85" s="112" t="n">
        <f aca="false">BC85*TAN(RADIANS(BG$7))-(IF($B$4, 9.807, 32.174)*BC85^2)/(2*BF$7^2*COS(RADIANS(BG$7))^2)+$D$7</f>
        <v>4.29238802050859</v>
      </c>
      <c r="BF85" s="123" t="n">
        <f aca="false">MIN($V$5,BE85)</f>
        <v>4.29238802050859</v>
      </c>
      <c r="BG85" s="112"/>
      <c r="BH85" s="112" t="n">
        <f aca="false">BH84+BH$7/100</f>
        <v>1.54</v>
      </c>
      <c r="BI85" s="122" t="n">
        <f aca="false">BH85-IF($I$3="Forward", $D$9, $G$9)</f>
        <v>1.54</v>
      </c>
      <c r="BJ85" s="112" t="n">
        <f aca="false">BH85*TAN(RADIANS(BL$7))-(IF($B$4, 9.807, 32.174)*BH85^2)/(2*BK$7^2*COS(RADIANS(BL$7))^2)+$D$7</f>
        <v>4.29238802050859</v>
      </c>
      <c r="BK85" s="123" t="n">
        <f aca="false">MIN($V$5,BJ85)</f>
        <v>4.29238802050859</v>
      </c>
      <c r="BL85" s="112"/>
      <c r="BM85" s="112" t="n">
        <f aca="false">BM84+BM$7/100</f>
        <v>1.54</v>
      </c>
      <c r="BN85" s="122" t="n">
        <f aca="false">BM85+IF($I$3="Forward", $D$9, $G$9)</f>
        <v>1.54</v>
      </c>
      <c r="BO85" s="112" t="n">
        <f aca="false">BM85*TAN(RADIANS(BQ$7))-(IF($B$4, 9.807, 32.174)*BM85^2)/(2*BP$7^2*COS(RADIANS(BQ$7))^2)+$D$7</f>
        <v>4.29238802050859</v>
      </c>
      <c r="BP85" s="123" t="n">
        <f aca="false">MIN($V$5,BO85)</f>
        <v>4.29238802050859</v>
      </c>
      <c r="BQ85" s="112"/>
      <c r="BR85" s="112" t="n">
        <f aca="false">BR84+BR$7/100</f>
        <v>1.54</v>
      </c>
      <c r="BS85" s="112" t="n">
        <f aca="false">BR85</f>
        <v>1.54</v>
      </c>
      <c r="BT85" s="112" t="n">
        <f aca="false">BR85*TAN(RADIANS(BV$7))-(IF($B$4, 9.807, 32.174)*BR85^2)/(2*BU$7^2*COS(RADIANS(BV$7))^2)+$D$7</f>
        <v>4.29238802050859</v>
      </c>
      <c r="BU85" s="123" t="n">
        <f aca="false">MIN($V$5,BT85)</f>
        <v>4.29238802050859</v>
      </c>
      <c r="BV85" s="112"/>
      <c r="BW85" s="112" t="n">
        <f aca="false">BW84+BW$7/100</f>
        <v>1.54</v>
      </c>
      <c r="BX85" s="122" t="n">
        <f aca="false">BW85-IF($I$3="Forward", $D$9, $G$9)</f>
        <v>1.54</v>
      </c>
      <c r="BY85" s="112" t="n">
        <f aca="false">BW85*TAN(RADIANS(CA$7))-(IF($B$4, 9.807, 32.174)*BW85^2)/(2*BZ$7^2*COS(RADIANS(CA$7))^2)+$D$7</f>
        <v>4.29238802050859</v>
      </c>
      <c r="BZ85" s="123" t="n">
        <f aca="false">MIN($V$5,BY85)</f>
        <v>4.29238802050859</v>
      </c>
      <c r="CA85" s="112"/>
      <c r="CB85" s="112" t="n">
        <f aca="false">CB84+CB$7/100</f>
        <v>1.54</v>
      </c>
      <c r="CC85" s="122" t="n">
        <f aca="false">CB85+IF($I$3="Forward", $D$9, $G$9)</f>
        <v>1.54</v>
      </c>
      <c r="CD85" s="112" t="n">
        <f aca="false">CB85*TAN(RADIANS(CF$7))-(IF($B$4, 9.807, 32.174)*CB85^2)/(2*CE$7^2*COS(RADIANS(CF$7))^2)+$D$7</f>
        <v>4.29238802050859</v>
      </c>
      <c r="CE85" s="123" t="n">
        <f aca="false">MIN($V$5,CD85)</f>
        <v>4.29238802050859</v>
      </c>
      <c r="CF85" s="112"/>
      <c r="CG85" s="124" t="n">
        <f aca="false">CG84+CG$7/100</f>
        <v>1.54</v>
      </c>
      <c r="CH85" s="124" t="n">
        <f aca="false">CG85</f>
        <v>1.54</v>
      </c>
      <c r="CI85" s="124" t="n">
        <f aca="false">CG85*TAN(RADIANS(CK$7))-(IF($B$4, 9.807, 32.174)*CG85^2)/(2*CJ$7^2*COS(RADIANS(CK$7))^2)+$D$7</f>
        <v>4.29238802050859</v>
      </c>
      <c r="CJ85" s="123" t="n">
        <f aca="false">MIN($V$5,CI85)</f>
        <v>4.29238802050859</v>
      </c>
      <c r="CK85" s="124"/>
      <c r="CL85" s="112" t="n">
        <f aca="false">CL84+CL$7/100</f>
        <v>1.54</v>
      </c>
      <c r="CM85" s="122" t="n">
        <f aca="false">CL85-IF($I$3="Forward", $D$9, $G$9)</f>
        <v>1.54</v>
      </c>
      <c r="CN85" s="112" t="n">
        <f aca="false">CL85*TAN(RADIANS(CP$7))-(IF($B$4, 9.807, 32.174)*CL85^2)/(2*CO$7^2*COS(RADIANS(CP$7))^2)+$D$7</f>
        <v>4.29238802050859</v>
      </c>
      <c r="CO85" s="123" t="n">
        <f aca="false">MIN($V$5,CN85)</f>
        <v>4.29238802050859</v>
      </c>
      <c r="CP85" s="112"/>
      <c r="CQ85" s="112" t="n">
        <f aca="false">CQ84+CQ$7/100</f>
        <v>1.54</v>
      </c>
      <c r="CR85" s="122" t="n">
        <f aca="false">CQ85+IF($I$3="Forward", $D$9, $G$9)</f>
        <v>1.54</v>
      </c>
      <c r="CS85" s="112" t="n">
        <f aca="false">CQ85*TAN(RADIANS(CU$7))-(IF($B$4, 9.807, 32.174)*CQ85^2)/(2*CT$7^2*COS(RADIANS(CU$7))^2)+$D$7</f>
        <v>4.29238802050859</v>
      </c>
      <c r="CT85" s="123" t="n">
        <f aca="false">MIN($V$5,CS85)</f>
        <v>4.29238802050859</v>
      </c>
      <c r="CU85" s="112"/>
      <c r="CV85" s="112" t="n">
        <f aca="false">CV84+CV$7/100</f>
        <v>1.54</v>
      </c>
      <c r="CW85" s="112" t="n">
        <f aca="false">CV85</f>
        <v>1.54</v>
      </c>
      <c r="CX85" s="112" t="n">
        <f aca="false">CV85*TAN(RADIANS(CZ$7))-(IF($B$4, 9.807, 32.174)*CV85^2)/(2*CY$7^2*COS(RADIANS(CZ$7))^2)+$D$7</f>
        <v>4.29238802050859</v>
      </c>
      <c r="CY85" s="123" t="n">
        <f aca="false">MIN($V$5,CX85)</f>
        <v>4.29238802050859</v>
      </c>
      <c r="CZ85" s="112"/>
      <c r="DA85" s="112" t="n">
        <f aca="false">DA84+DA$7/100</f>
        <v>1.54</v>
      </c>
      <c r="DB85" s="122" t="n">
        <f aca="false">DA85-IF($I$3="Forward", $D$9, $G$9)</f>
        <v>1.54</v>
      </c>
      <c r="DC85" s="112" t="n">
        <f aca="false">DA85*TAN(RADIANS(DE$7))-(IF($B$4, 9.807, 32.174)*DA85^2)/(2*DD$7^2*COS(RADIANS(DE$7))^2)+$D$7</f>
        <v>4.29238802050859</v>
      </c>
      <c r="DD85" s="123" t="n">
        <f aca="false">MIN($V$5,DC85)</f>
        <v>4.29238802050859</v>
      </c>
      <c r="DE85" s="112"/>
      <c r="DF85" s="112" t="n">
        <f aca="false">DF84+DF$7/100</f>
        <v>1.54</v>
      </c>
      <c r="DG85" s="122" t="n">
        <f aca="false">DF85+IF($I$3="Forward", $D$9, $G$9)</f>
        <v>1.54</v>
      </c>
      <c r="DH85" s="112" t="n">
        <f aca="false">DF85*TAN(RADIANS(DJ$7))-(IF($B$4, 9.807, 32.174)*DF85^2)/(2*DI$7^2*COS(RADIANS(DJ$7))^2)+$D$7</f>
        <v>4.29238802050859</v>
      </c>
      <c r="DI85" s="123" t="n">
        <f aca="false">MIN($V$5,DH85)</f>
        <v>4.29238802050859</v>
      </c>
      <c r="DJ85" s="112"/>
      <c r="DK85" s="112" t="n">
        <f aca="false">DK84+DK$7/100</f>
        <v>1.54</v>
      </c>
      <c r="DL85" s="112" t="n">
        <f aca="false">DK85</f>
        <v>1.54</v>
      </c>
      <c r="DM85" s="112" t="n">
        <f aca="false">DK85*TAN(RADIANS(DO$7))-(IF($B$4, 9.807, 32.174)*DK85^2)/(2*DN$7^2*COS(RADIANS(DO$7))^2)+$D$7</f>
        <v>4.29238802050859</v>
      </c>
      <c r="DN85" s="123" t="n">
        <f aca="false">MIN($V$5,DM85)</f>
        <v>4.29238802050859</v>
      </c>
      <c r="DO85" s="112"/>
      <c r="DP85" s="112" t="n">
        <f aca="false">DP84+DP$7/100</f>
        <v>1.54</v>
      </c>
      <c r="DQ85" s="122" t="n">
        <f aca="false">DP85-IF($I$3="Forward", $D$9, $G$9)</f>
        <v>1.54</v>
      </c>
      <c r="DR85" s="112" t="n">
        <f aca="false">DP85*TAN(RADIANS(DT$7))-(IF($B$4, 9.807, 32.174)*DP85^2)/(2*DS$7^2*COS(RADIANS(DT$7))^2)+$D$7</f>
        <v>4.29238802050859</v>
      </c>
      <c r="DS85" s="123" t="n">
        <f aca="false">MIN($V$5,DR85)</f>
        <v>4.29238802050859</v>
      </c>
      <c r="DT85" s="112"/>
      <c r="DU85" s="112" t="n">
        <f aca="false">DU84+DU$7/100</f>
        <v>1.54</v>
      </c>
      <c r="DV85" s="122" t="n">
        <f aca="false">DU85+IF($I$3="Forward", $D$9, $G$9)</f>
        <v>1.54</v>
      </c>
      <c r="DW85" s="112" t="n">
        <f aca="false">DU85*TAN(RADIANS(DY$7))-(IF($B$4, 9.807, 32.174)*DU85^2)/(2*DX$7^2*COS(RADIANS(DY$7))^2)+$D$7</f>
        <v>4.29238802050859</v>
      </c>
      <c r="DX85" s="123" t="n">
        <f aca="false">MIN($V$5,DW85)</f>
        <v>4.29238802050859</v>
      </c>
      <c r="DY85" s="112"/>
      <c r="DZ85" s="112" t="n">
        <f aca="false">DZ84+DZ$7/100</f>
        <v>1.54</v>
      </c>
      <c r="EA85" s="112" t="n">
        <f aca="false">DZ85</f>
        <v>1.54</v>
      </c>
      <c r="EB85" s="112" t="n">
        <f aca="false">DZ85*TAN(RADIANS(ED$7))-(IF($B$4, 9.807, 32.174)*DZ85^2)/(2*EC$7^2*COS(RADIANS(ED$7))^2)+$D$7</f>
        <v>4.29238802050859</v>
      </c>
      <c r="EC85" s="123" t="n">
        <f aca="false">MIN($V$5,EB85)</f>
        <v>4.29238802050859</v>
      </c>
      <c r="ED85" s="112"/>
      <c r="EE85" s="112" t="n">
        <f aca="false">EE84+EE$7/100</f>
        <v>1.54</v>
      </c>
      <c r="EF85" s="122" t="n">
        <f aca="false">EE85-IF($I$3="Forward", $D$9, $G$9)</f>
        <v>1.54</v>
      </c>
      <c r="EG85" s="112" t="n">
        <f aca="false">EE85*TAN(RADIANS(EI$7))-(IF($B$4, 9.807, 32.174)*EE85^2)/(2*EH$7^2*COS(RADIANS(EI$7))^2)+$D$7</f>
        <v>4.29238802050859</v>
      </c>
      <c r="EH85" s="123" t="n">
        <f aca="false">MIN($V$5,EG85)</f>
        <v>4.29238802050859</v>
      </c>
      <c r="EI85" s="112"/>
      <c r="EJ85" s="112" t="n">
        <f aca="false">EJ84+EJ$7/100</f>
        <v>1.54</v>
      </c>
      <c r="EK85" s="122" t="n">
        <f aca="false">EJ85+IF($I$3="Forward", $D$9, $G$9)</f>
        <v>1.54</v>
      </c>
      <c r="EL85" s="112" t="n">
        <f aca="false">EJ85*TAN(RADIANS(EN$7))-(IF($B$4, 9.807, 32.174)*EJ85^2)/(2*EM$7^2*COS(RADIANS(EN$7))^2)+$D$7</f>
        <v>4.29238802050859</v>
      </c>
      <c r="EM85" s="123" t="n">
        <f aca="false">MIN($V$5,EL85)</f>
        <v>4.29238802050859</v>
      </c>
      <c r="EN85" s="112"/>
      <c r="EO85" s="112" t="n">
        <f aca="false">EO84+EO$7/100</f>
        <v>1.54</v>
      </c>
      <c r="EP85" s="112" t="n">
        <f aca="false">EO85</f>
        <v>1.54</v>
      </c>
      <c r="EQ85" s="112" t="n">
        <f aca="false">EO85*TAN(RADIANS(ES$7))-(IF($B$4, 9.807, 32.174)*EO85^2)/(2*ER$7^2*COS(RADIANS(ES$7))^2)+$D$7</f>
        <v>4.29238802050859</v>
      </c>
      <c r="ER85" s="123" t="n">
        <f aca="false">MIN($V$5,EQ85)</f>
        <v>4.29238802050859</v>
      </c>
      <c r="ES85" s="112"/>
      <c r="ET85" s="112" t="n">
        <f aca="false">ET84+ET$7/100</f>
        <v>1.54</v>
      </c>
      <c r="EU85" s="122" t="n">
        <f aca="false">ET85-IF($I$3="Forward", $D$9, $G$9)</f>
        <v>1.54</v>
      </c>
      <c r="EV85" s="112" t="n">
        <f aca="false">ET85*TAN(RADIANS(EX$7))-(IF($B$4, 9.807, 32.174)*ET85^2)/(2*EW$7^2*COS(RADIANS(EX$7))^2)+$D$7</f>
        <v>4.29238802050859</v>
      </c>
      <c r="EW85" s="123" t="n">
        <f aca="false">MIN($V$5,EV85)</f>
        <v>4.29238802050859</v>
      </c>
      <c r="EX85" s="112"/>
    </row>
    <row r="86" s="131" customFormat="true" ht="15" hidden="false" customHeight="false" outlineLevel="0" collapsed="false">
      <c r="T86" s="112" t="n">
        <f aca="false">T85+T$7/100</f>
        <v>1.56</v>
      </c>
      <c r="U86" s="122" t="n">
        <f aca="false">T86+IF($I$3="Forward", $D$9, $G$9)</f>
        <v>1.56</v>
      </c>
      <c r="V86" s="112" t="n">
        <f aca="false">T86*TAN(RADIANS(X$7))-(IF($B$4, 9.807, 32.174)*T86^2)/(2*W$7^2*COS(RADIANS(X$7))^2)+$D$7</f>
        <v>4.2399039204928</v>
      </c>
      <c r="W86" s="123" t="n">
        <f aca="false">MIN($V$5,V86)</f>
        <v>4.2399039204928</v>
      </c>
      <c r="X86" s="112"/>
      <c r="Y86" s="112" t="n">
        <f aca="false">Y85+Y$7/100</f>
        <v>1.56</v>
      </c>
      <c r="Z86" s="112" t="n">
        <f aca="false">Y86</f>
        <v>1.56</v>
      </c>
      <c r="AA86" s="112" t="n">
        <f aca="false">Y86*TAN(RADIANS(AC$7))-(IF($B$4, 9.807, 32.174)*Y86^2)/(2*AB$7^2*COS(RADIANS(AC$7))^2)+$D$7</f>
        <v>4.2399039204928</v>
      </c>
      <c r="AB86" s="123" t="n">
        <f aca="false">MIN($V$5,AA86)</f>
        <v>4.2399039204928</v>
      </c>
      <c r="AC86" s="112"/>
      <c r="AD86" s="112" t="n">
        <f aca="false">AD85+AD$7/100</f>
        <v>1.56</v>
      </c>
      <c r="AE86" s="122" t="n">
        <f aca="false">AD86-IF($I$3="Forward", $D$9, $G$9)</f>
        <v>1.56</v>
      </c>
      <c r="AF86" s="112" t="n">
        <f aca="false">AD86*TAN(RADIANS(AH$7))-(IF($B$4, 9.807, 32.174)*AD86^2)/(2*AG$7^2*COS(RADIANS(AH$7))^2)+$D$7</f>
        <v>4.2399039204928</v>
      </c>
      <c r="AG86" s="123" t="n">
        <f aca="false">MIN($V$5,AF86)</f>
        <v>4.2399039204928</v>
      </c>
      <c r="AH86" s="112"/>
      <c r="AI86" s="112" t="n">
        <f aca="false">AI85+AI$7/100</f>
        <v>1.56</v>
      </c>
      <c r="AJ86" s="122" t="n">
        <f aca="false">AI86+IF($I$3="Forward", $D$9, $G$9)</f>
        <v>1.56</v>
      </c>
      <c r="AK86" s="112" t="n">
        <f aca="false">AI86*TAN(RADIANS(AM$7))-(IF($B$4, 9.807, 32.174)*AI86^2)/(2*AL$7^2*COS(RADIANS(AM$7))^2)+$D$7</f>
        <v>4.2399039204928</v>
      </c>
      <c r="AL86" s="123" t="n">
        <f aca="false">MIN($V$5,AK86)</f>
        <v>4.2399039204928</v>
      </c>
      <c r="AM86" s="112"/>
      <c r="AN86" s="112" t="n">
        <f aca="false">AN85+AN$7/100</f>
        <v>1.56</v>
      </c>
      <c r="AO86" s="112" t="n">
        <f aca="false">AN86</f>
        <v>1.56</v>
      </c>
      <c r="AP86" s="112" t="n">
        <f aca="false">AN86*TAN(RADIANS(AR$7))-(IF($B$4, 9.807, 32.174)*AN86^2)/(2*AQ$7^2*COS(RADIANS(AR$7))^2)+$D$7</f>
        <v>4.2399039204928</v>
      </c>
      <c r="AQ86" s="123" t="n">
        <f aca="false">MIN($V$5,AP86)</f>
        <v>4.2399039204928</v>
      </c>
      <c r="AR86" s="112"/>
      <c r="AS86" s="112" t="n">
        <f aca="false">AS85+AS$7/100</f>
        <v>1.56</v>
      </c>
      <c r="AT86" s="122" t="n">
        <f aca="false">AS86-IF($I$3="Forward", $D$9, $G$9)</f>
        <v>1.56</v>
      </c>
      <c r="AU86" s="112" t="n">
        <f aca="false">AS86*TAN(RADIANS(AW$7))-(IF($B$4, 9.807, 32.174)*AS86^2)/(2*AV$7^2*COS(RADIANS(AW$7))^2)+$D$7</f>
        <v>4.2399039204928</v>
      </c>
      <c r="AV86" s="123" t="n">
        <f aca="false">MIN($V$5,AU86)</f>
        <v>4.2399039204928</v>
      </c>
      <c r="AW86" s="112"/>
      <c r="AX86" s="112" t="n">
        <f aca="false">AX85+AX$7/100</f>
        <v>1.56</v>
      </c>
      <c r="AY86" s="122" t="n">
        <f aca="false">AX86+IF($I$3="Forward", $D$9, $G$9)</f>
        <v>1.56</v>
      </c>
      <c r="AZ86" s="112" t="n">
        <f aca="false">AX86*TAN(RADIANS(BB$7))-(IF($B$4, 9.807, 32.174)*AX86^2)/(2*BA$7^2*COS(RADIANS(BB$7))^2)+$D$7</f>
        <v>4.2399039204928</v>
      </c>
      <c r="BA86" s="123" t="n">
        <f aca="false">MIN($V$5,AZ86)</f>
        <v>4.2399039204928</v>
      </c>
      <c r="BB86" s="112"/>
      <c r="BC86" s="112" t="n">
        <f aca="false">BC85+BC$7/100</f>
        <v>1.56</v>
      </c>
      <c r="BD86" s="112" t="n">
        <f aca="false">BC86</f>
        <v>1.56</v>
      </c>
      <c r="BE86" s="112" t="n">
        <f aca="false">BC86*TAN(RADIANS(BG$7))-(IF($B$4, 9.807, 32.174)*BC86^2)/(2*BF$7^2*COS(RADIANS(BG$7))^2)+$D$7</f>
        <v>4.2399039204928</v>
      </c>
      <c r="BF86" s="123" t="n">
        <f aca="false">MIN($V$5,BE86)</f>
        <v>4.2399039204928</v>
      </c>
      <c r="BG86" s="112"/>
      <c r="BH86" s="112" t="n">
        <f aca="false">BH85+BH$7/100</f>
        <v>1.56</v>
      </c>
      <c r="BI86" s="122" t="n">
        <f aca="false">BH86-IF($I$3="Forward", $D$9, $G$9)</f>
        <v>1.56</v>
      </c>
      <c r="BJ86" s="112" t="n">
        <f aca="false">BH86*TAN(RADIANS(BL$7))-(IF($B$4, 9.807, 32.174)*BH86^2)/(2*BK$7^2*COS(RADIANS(BL$7))^2)+$D$7</f>
        <v>4.2399039204928</v>
      </c>
      <c r="BK86" s="123" t="n">
        <f aca="false">MIN($V$5,BJ86)</f>
        <v>4.2399039204928</v>
      </c>
      <c r="BL86" s="112"/>
      <c r="BM86" s="112" t="n">
        <f aca="false">BM85+BM$7/100</f>
        <v>1.56</v>
      </c>
      <c r="BN86" s="122" t="n">
        <f aca="false">BM86+IF($I$3="Forward", $D$9, $G$9)</f>
        <v>1.56</v>
      </c>
      <c r="BO86" s="112" t="n">
        <f aca="false">BM86*TAN(RADIANS(BQ$7))-(IF($B$4, 9.807, 32.174)*BM86^2)/(2*BP$7^2*COS(RADIANS(BQ$7))^2)+$D$7</f>
        <v>4.2399039204928</v>
      </c>
      <c r="BP86" s="123" t="n">
        <f aca="false">MIN($V$5,BO86)</f>
        <v>4.2399039204928</v>
      </c>
      <c r="BQ86" s="112"/>
      <c r="BR86" s="112" t="n">
        <f aca="false">BR85+BR$7/100</f>
        <v>1.56</v>
      </c>
      <c r="BS86" s="112" t="n">
        <f aca="false">BR86</f>
        <v>1.56</v>
      </c>
      <c r="BT86" s="112" t="n">
        <f aca="false">BR86*TAN(RADIANS(BV$7))-(IF($B$4, 9.807, 32.174)*BR86^2)/(2*BU$7^2*COS(RADIANS(BV$7))^2)+$D$7</f>
        <v>4.2399039204928</v>
      </c>
      <c r="BU86" s="123" t="n">
        <f aca="false">MIN($V$5,BT86)</f>
        <v>4.2399039204928</v>
      </c>
      <c r="BV86" s="112"/>
      <c r="BW86" s="112" t="n">
        <f aca="false">BW85+BW$7/100</f>
        <v>1.56</v>
      </c>
      <c r="BX86" s="122" t="n">
        <f aca="false">BW86-IF($I$3="Forward", $D$9, $G$9)</f>
        <v>1.56</v>
      </c>
      <c r="BY86" s="112" t="n">
        <f aca="false">BW86*TAN(RADIANS(CA$7))-(IF($B$4, 9.807, 32.174)*BW86^2)/(2*BZ$7^2*COS(RADIANS(CA$7))^2)+$D$7</f>
        <v>4.2399039204928</v>
      </c>
      <c r="BZ86" s="123" t="n">
        <f aca="false">MIN($V$5,BY86)</f>
        <v>4.2399039204928</v>
      </c>
      <c r="CA86" s="112"/>
      <c r="CB86" s="112" t="n">
        <f aca="false">CB85+CB$7/100</f>
        <v>1.56</v>
      </c>
      <c r="CC86" s="122" t="n">
        <f aca="false">CB86+IF($I$3="Forward", $D$9, $G$9)</f>
        <v>1.56</v>
      </c>
      <c r="CD86" s="112" t="n">
        <f aca="false">CB86*TAN(RADIANS(CF$7))-(IF($B$4, 9.807, 32.174)*CB86^2)/(2*CE$7^2*COS(RADIANS(CF$7))^2)+$D$7</f>
        <v>4.2399039204928</v>
      </c>
      <c r="CE86" s="123" t="n">
        <f aca="false">MIN($V$5,CD86)</f>
        <v>4.2399039204928</v>
      </c>
      <c r="CF86" s="112"/>
      <c r="CG86" s="124" t="n">
        <f aca="false">CG85+CG$7/100</f>
        <v>1.56</v>
      </c>
      <c r="CH86" s="124" t="n">
        <f aca="false">CG86</f>
        <v>1.56</v>
      </c>
      <c r="CI86" s="124" t="n">
        <f aca="false">CG86*TAN(RADIANS(CK$7))-(IF($B$4, 9.807, 32.174)*CG86^2)/(2*CJ$7^2*COS(RADIANS(CK$7))^2)+$D$7</f>
        <v>4.2399039204928</v>
      </c>
      <c r="CJ86" s="123" t="n">
        <f aca="false">MIN($V$5,CI86)</f>
        <v>4.2399039204928</v>
      </c>
      <c r="CK86" s="124"/>
      <c r="CL86" s="112" t="n">
        <f aca="false">CL85+CL$7/100</f>
        <v>1.56</v>
      </c>
      <c r="CM86" s="122" t="n">
        <f aca="false">CL86-IF($I$3="Forward", $D$9, $G$9)</f>
        <v>1.56</v>
      </c>
      <c r="CN86" s="112" t="n">
        <f aca="false">CL86*TAN(RADIANS(CP$7))-(IF($B$4, 9.807, 32.174)*CL86^2)/(2*CO$7^2*COS(RADIANS(CP$7))^2)+$D$7</f>
        <v>4.2399039204928</v>
      </c>
      <c r="CO86" s="123" t="n">
        <f aca="false">MIN($V$5,CN86)</f>
        <v>4.2399039204928</v>
      </c>
      <c r="CP86" s="112"/>
      <c r="CQ86" s="112" t="n">
        <f aca="false">CQ85+CQ$7/100</f>
        <v>1.56</v>
      </c>
      <c r="CR86" s="122" t="n">
        <f aca="false">CQ86+IF($I$3="Forward", $D$9, $G$9)</f>
        <v>1.56</v>
      </c>
      <c r="CS86" s="112" t="n">
        <f aca="false">CQ86*TAN(RADIANS(CU$7))-(IF($B$4, 9.807, 32.174)*CQ86^2)/(2*CT$7^2*COS(RADIANS(CU$7))^2)+$D$7</f>
        <v>4.2399039204928</v>
      </c>
      <c r="CT86" s="123" t="n">
        <f aca="false">MIN($V$5,CS86)</f>
        <v>4.2399039204928</v>
      </c>
      <c r="CU86" s="112"/>
      <c r="CV86" s="112" t="n">
        <f aca="false">CV85+CV$7/100</f>
        <v>1.56</v>
      </c>
      <c r="CW86" s="112" t="n">
        <f aca="false">CV86</f>
        <v>1.56</v>
      </c>
      <c r="CX86" s="112" t="n">
        <f aca="false">CV86*TAN(RADIANS(CZ$7))-(IF($B$4, 9.807, 32.174)*CV86^2)/(2*CY$7^2*COS(RADIANS(CZ$7))^2)+$D$7</f>
        <v>4.2399039204928</v>
      </c>
      <c r="CY86" s="123" t="n">
        <f aca="false">MIN($V$5,CX86)</f>
        <v>4.2399039204928</v>
      </c>
      <c r="CZ86" s="112"/>
      <c r="DA86" s="112" t="n">
        <f aca="false">DA85+DA$7/100</f>
        <v>1.56</v>
      </c>
      <c r="DB86" s="122" t="n">
        <f aca="false">DA86-IF($I$3="Forward", $D$9, $G$9)</f>
        <v>1.56</v>
      </c>
      <c r="DC86" s="112" t="n">
        <f aca="false">DA86*TAN(RADIANS(DE$7))-(IF($B$4, 9.807, 32.174)*DA86^2)/(2*DD$7^2*COS(RADIANS(DE$7))^2)+$D$7</f>
        <v>4.2399039204928</v>
      </c>
      <c r="DD86" s="123" t="n">
        <f aca="false">MIN($V$5,DC86)</f>
        <v>4.2399039204928</v>
      </c>
      <c r="DE86" s="112"/>
      <c r="DF86" s="112" t="n">
        <f aca="false">DF85+DF$7/100</f>
        <v>1.56</v>
      </c>
      <c r="DG86" s="122" t="n">
        <f aca="false">DF86+IF($I$3="Forward", $D$9, $G$9)</f>
        <v>1.56</v>
      </c>
      <c r="DH86" s="112" t="n">
        <f aca="false">DF86*TAN(RADIANS(DJ$7))-(IF($B$4, 9.807, 32.174)*DF86^2)/(2*DI$7^2*COS(RADIANS(DJ$7))^2)+$D$7</f>
        <v>4.2399039204928</v>
      </c>
      <c r="DI86" s="123" t="n">
        <f aca="false">MIN($V$5,DH86)</f>
        <v>4.2399039204928</v>
      </c>
      <c r="DJ86" s="112"/>
      <c r="DK86" s="112" t="n">
        <f aca="false">DK85+DK$7/100</f>
        <v>1.56</v>
      </c>
      <c r="DL86" s="112" t="n">
        <f aca="false">DK86</f>
        <v>1.56</v>
      </c>
      <c r="DM86" s="112" t="n">
        <f aca="false">DK86*TAN(RADIANS(DO$7))-(IF($B$4, 9.807, 32.174)*DK86^2)/(2*DN$7^2*COS(RADIANS(DO$7))^2)+$D$7</f>
        <v>4.2399039204928</v>
      </c>
      <c r="DN86" s="123" t="n">
        <f aca="false">MIN($V$5,DM86)</f>
        <v>4.2399039204928</v>
      </c>
      <c r="DO86" s="112"/>
      <c r="DP86" s="112" t="n">
        <f aca="false">DP85+DP$7/100</f>
        <v>1.56</v>
      </c>
      <c r="DQ86" s="122" t="n">
        <f aca="false">DP86-IF($I$3="Forward", $D$9, $G$9)</f>
        <v>1.56</v>
      </c>
      <c r="DR86" s="112" t="n">
        <f aca="false">DP86*TAN(RADIANS(DT$7))-(IF($B$4, 9.807, 32.174)*DP86^2)/(2*DS$7^2*COS(RADIANS(DT$7))^2)+$D$7</f>
        <v>4.2399039204928</v>
      </c>
      <c r="DS86" s="123" t="n">
        <f aca="false">MIN($V$5,DR86)</f>
        <v>4.2399039204928</v>
      </c>
      <c r="DT86" s="112"/>
      <c r="DU86" s="112" t="n">
        <f aca="false">DU85+DU$7/100</f>
        <v>1.56</v>
      </c>
      <c r="DV86" s="122" t="n">
        <f aca="false">DU86+IF($I$3="Forward", $D$9, $G$9)</f>
        <v>1.56</v>
      </c>
      <c r="DW86" s="112" t="n">
        <f aca="false">DU86*TAN(RADIANS(DY$7))-(IF($B$4, 9.807, 32.174)*DU86^2)/(2*DX$7^2*COS(RADIANS(DY$7))^2)+$D$7</f>
        <v>4.2399039204928</v>
      </c>
      <c r="DX86" s="123" t="n">
        <f aca="false">MIN($V$5,DW86)</f>
        <v>4.2399039204928</v>
      </c>
      <c r="DY86" s="112"/>
      <c r="DZ86" s="112" t="n">
        <f aca="false">DZ85+DZ$7/100</f>
        <v>1.56</v>
      </c>
      <c r="EA86" s="112" t="n">
        <f aca="false">DZ86</f>
        <v>1.56</v>
      </c>
      <c r="EB86" s="112" t="n">
        <f aca="false">DZ86*TAN(RADIANS(ED$7))-(IF($B$4, 9.807, 32.174)*DZ86^2)/(2*EC$7^2*COS(RADIANS(ED$7))^2)+$D$7</f>
        <v>4.2399039204928</v>
      </c>
      <c r="EC86" s="123" t="n">
        <f aca="false">MIN($V$5,EB86)</f>
        <v>4.2399039204928</v>
      </c>
      <c r="ED86" s="112"/>
      <c r="EE86" s="112" t="n">
        <f aca="false">EE85+EE$7/100</f>
        <v>1.56</v>
      </c>
      <c r="EF86" s="122" t="n">
        <f aca="false">EE86-IF($I$3="Forward", $D$9, $G$9)</f>
        <v>1.56</v>
      </c>
      <c r="EG86" s="112" t="n">
        <f aca="false">EE86*TAN(RADIANS(EI$7))-(IF($B$4, 9.807, 32.174)*EE86^2)/(2*EH$7^2*COS(RADIANS(EI$7))^2)+$D$7</f>
        <v>4.2399039204928</v>
      </c>
      <c r="EH86" s="123" t="n">
        <f aca="false">MIN($V$5,EG86)</f>
        <v>4.2399039204928</v>
      </c>
      <c r="EI86" s="112"/>
      <c r="EJ86" s="112" t="n">
        <f aca="false">EJ85+EJ$7/100</f>
        <v>1.56</v>
      </c>
      <c r="EK86" s="122" t="n">
        <f aca="false">EJ86+IF($I$3="Forward", $D$9, $G$9)</f>
        <v>1.56</v>
      </c>
      <c r="EL86" s="112" t="n">
        <f aca="false">EJ86*TAN(RADIANS(EN$7))-(IF($B$4, 9.807, 32.174)*EJ86^2)/(2*EM$7^2*COS(RADIANS(EN$7))^2)+$D$7</f>
        <v>4.2399039204928</v>
      </c>
      <c r="EM86" s="123" t="n">
        <f aca="false">MIN($V$5,EL86)</f>
        <v>4.2399039204928</v>
      </c>
      <c r="EN86" s="112"/>
      <c r="EO86" s="112" t="n">
        <f aca="false">EO85+EO$7/100</f>
        <v>1.56</v>
      </c>
      <c r="EP86" s="112" t="n">
        <f aca="false">EO86</f>
        <v>1.56</v>
      </c>
      <c r="EQ86" s="112" t="n">
        <f aca="false">EO86*TAN(RADIANS(ES$7))-(IF($B$4, 9.807, 32.174)*EO86^2)/(2*ER$7^2*COS(RADIANS(ES$7))^2)+$D$7</f>
        <v>4.2399039204928</v>
      </c>
      <c r="ER86" s="123" t="n">
        <f aca="false">MIN($V$5,EQ86)</f>
        <v>4.2399039204928</v>
      </c>
      <c r="ES86" s="112"/>
      <c r="ET86" s="112" t="n">
        <f aca="false">ET85+ET$7/100</f>
        <v>1.56</v>
      </c>
      <c r="EU86" s="122" t="n">
        <f aca="false">ET86-IF($I$3="Forward", $D$9, $G$9)</f>
        <v>1.56</v>
      </c>
      <c r="EV86" s="112" t="n">
        <f aca="false">ET86*TAN(RADIANS(EX$7))-(IF($B$4, 9.807, 32.174)*ET86^2)/(2*EW$7^2*COS(RADIANS(EX$7))^2)+$D$7</f>
        <v>4.2399039204928</v>
      </c>
      <c r="EW86" s="123" t="n">
        <f aca="false">MIN($V$5,EV86)</f>
        <v>4.2399039204928</v>
      </c>
      <c r="EX86" s="112"/>
    </row>
    <row r="87" s="131" customFormat="true" ht="15" hidden="false" customHeight="false" outlineLevel="0" collapsed="false">
      <c r="T87" s="112" t="n">
        <f aca="false">T86+T$7/100</f>
        <v>1.58</v>
      </c>
      <c r="U87" s="122" t="n">
        <f aca="false">T87+IF($I$3="Forward", $D$9, $G$9)</f>
        <v>1.58</v>
      </c>
      <c r="V87" s="112" t="n">
        <f aca="false">T87*TAN(RADIANS(X$7))-(IF($B$4, 9.807, 32.174)*T87^2)/(2*W$7^2*COS(RADIANS(X$7))^2)+$D$7</f>
        <v>4.18471130774915</v>
      </c>
      <c r="W87" s="123" t="n">
        <f aca="false">MIN($V$5,V87)</f>
        <v>4.18471130774915</v>
      </c>
      <c r="X87" s="112"/>
      <c r="Y87" s="112" t="n">
        <f aca="false">Y86+Y$7/100</f>
        <v>1.58</v>
      </c>
      <c r="Z87" s="112" t="n">
        <f aca="false">Y87</f>
        <v>1.58</v>
      </c>
      <c r="AA87" s="112" t="n">
        <f aca="false">Y87*TAN(RADIANS(AC$7))-(IF($B$4, 9.807, 32.174)*Y87^2)/(2*AB$7^2*COS(RADIANS(AC$7))^2)+$D$7</f>
        <v>4.18471130774915</v>
      </c>
      <c r="AB87" s="123" t="n">
        <f aca="false">MIN($V$5,AA87)</f>
        <v>4.18471130774915</v>
      </c>
      <c r="AC87" s="112"/>
      <c r="AD87" s="112" t="n">
        <f aca="false">AD86+AD$7/100</f>
        <v>1.58</v>
      </c>
      <c r="AE87" s="122" t="n">
        <f aca="false">AD87-IF($I$3="Forward", $D$9, $G$9)</f>
        <v>1.58</v>
      </c>
      <c r="AF87" s="112" t="n">
        <f aca="false">AD87*TAN(RADIANS(AH$7))-(IF($B$4, 9.807, 32.174)*AD87^2)/(2*AG$7^2*COS(RADIANS(AH$7))^2)+$D$7</f>
        <v>4.18471130774915</v>
      </c>
      <c r="AG87" s="123" t="n">
        <f aca="false">MIN($V$5,AF87)</f>
        <v>4.18471130774915</v>
      </c>
      <c r="AH87" s="112"/>
      <c r="AI87" s="112" t="n">
        <f aca="false">AI86+AI$7/100</f>
        <v>1.58</v>
      </c>
      <c r="AJ87" s="122" t="n">
        <f aca="false">AI87+IF($I$3="Forward", $D$9, $G$9)</f>
        <v>1.58</v>
      </c>
      <c r="AK87" s="112" t="n">
        <f aca="false">AI87*TAN(RADIANS(AM$7))-(IF($B$4, 9.807, 32.174)*AI87^2)/(2*AL$7^2*COS(RADIANS(AM$7))^2)+$D$7</f>
        <v>4.18471130774915</v>
      </c>
      <c r="AL87" s="123" t="n">
        <f aca="false">MIN($V$5,AK87)</f>
        <v>4.18471130774915</v>
      </c>
      <c r="AM87" s="112"/>
      <c r="AN87" s="112" t="n">
        <f aca="false">AN86+AN$7/100</f>
        <v>1.58</v>
      </c>
      <c r="AO87" s="112" t="n">
        <f aca="false">AN87</f>
        <v>1.58</v>
      </c>
      <c r="AP87" s="112" t="n">
        <f aca="false">AN87*TAN(RADIANS(AR$7))-(IF($B$4, 9.807, 32.174)*AN87^2)/(2*AQ$7^2*COS(RADIANS(AR$7))^2)+$D$7</f>
        <v>4.18471130774915</v>
      </c>
      <c r="AQ87" s="123" t="n">
        <f aca="false">MIN($V$5,AP87)</f>
        <v>4.18471130774915</v>
      </c>
      <c r="AR87" s="112"/>
      <c r="AS87" s="112" t="n">
        <f aca="false">AS86+AS$7/100</f>
        <v>1.58</v>
      </c>
      <c r="AT87" s="122" t="n">
        <f aca="false">AS87-IF($I$3="Forward", $D$9, $G$9)</f>
        <v>1.58</v>
      </c>
      <c r="AU87" s="112" t="n">
        <f aca="false">AS87*TAN(RADIANS(AW$7))-(IF($B$4, 9.807, 32.174)*AS87^2)/(2*AV$7^2*COS(RADIANS(AW$7))^2)+$D$7</f>
        <v>4.18471130774915</v>
      </c>
      <c r="AV87" s="123" t="n">
        <f aca="false">MIN($V$5,AU87)</f>
        <v>4.18471130774915</v>
      </c>
      <c r="AW87" s="112"/>
      <c r="AX87" s="112" t="n">
        <f aca="false">AX86+AX$7/100</f>
        <v>1.58</v>
      </c>
      <c r="AY87" s="122" t="n">
        <f aca="false">AX87+IF($I$3="Forward", $D$9, $G$9)</f>
        <v>1.58</v>
      </c>
      <c r="AZ87" s="112" t="n">
        <f aca="false">AX87*TAN(RADIANS(BB$7))-(IF($B$4, 9.807, 32.174)*AX87^2)/(2*BA$7^2*COS(RADIANS(BB$7))^2)+$D$7</f>
        <v>4.18471130774915</v>
      </c>
      <c r="BA87" s="123" t="n">
        <f aca="false">MIN($V$5,AZ87)</f>
        <v>4.18471130774915</v>
      </c>
      <c r="BB87" s="112"/>
      <c r="BC87" s="112" t="n">
        <f aca="false">BC86+BC$7/100</f>
        <v>1.58</v>
      </c>
      <c r="BD87" s="112" t="n">
        <f aca="false">BC87</f>
        <v>1.58</v>
      </c>
      <c r="BE87" s="112" t="n">
        <f aca="false">BC87*TAN(RADIANS(BG$7))-(IF($B$4, 9.807, 32.174)*BC87^2)/(2*BF$7^2*COS(RADIANS(BG$7))^2)+$D$7</f>
        <v>4.18471130774915</v>
      </c>
      <c r="BF87" s="123" t="n">
        <f aca="false">MIN($V$5,BE87)</f>
        <v>4.18471130774915</v>
      </c>
      <c r="BG87" s="112"/>
      <c r="BH87" s="112" t="n">
        <f aca="false">BH86+BH$7/100</f>
        <v>1.58</v>
      </c>
      <c r="BI87" s="122" t="n">
        <f aca="false">BH87-IF($I$3="Forward", $D$9, $G$9)</f>
        <v>1.58</v>
      </c>
      <c r="BJ87" s="112" t="n">
        <f aca="false">BH87*TAN(RADIANS(BL$7))-(IF($B$4, 9.807, 32.174)*BH87^2)/(2*BK$7^2*COS(RADIANS(BL$7))^2)+$D$7</f>
        <v>4.18471130774915</v>
      </c>
      <c r="BK87" s="123" t="n">
        <f aca="false">MIN($V$5,BJ87)</f>
        <v>4.18471130774915</v>
      </c>
      <c r="BL87" s="112"/>
      <c r="BM87" s="112" t="n">
        <f aca="false">BM86+BM$7/100</f>
        <v>1.58</v>
      </c>
      <c r="BN87" s="122" t="n">
        <f aca="false">BM87+IF($I$3="Forward", $D$9, $G$9)</f>
        <v>1.58</v>
      </c>
      <c r="BO87" s="112" t="n">
        <f aca="false">BM87*TAN(RADIANS(BQ$7))-(IF($B$4, 9.807, 32.174)*BM87^2)/(2*BP$7^2*COS(RADIANS(BQ$7))^2)+$D$7</f>
        <v>4.18471130774915</v>
      </c>
      <c r="BP87" s="123" t="n">
        <f aca="false">MIN($V$5,BO87)</f>
        <v>4.18471130774915</v>
      </c>
      <c r="BQ87" s="112"/>
      <c r="BR87" s="112" t="n">
        <f aca="false">BR86+BR$7/100</f>
        <v>1.58</v>
      </c>
      <c r="BS87" s="112" t="n">
        <f aca="false">BR87</f>
        <v>1.58</v>
      </c>
      <c r="BT87" s="112" t="n">
        <f aca="false">BR87*TAN(RADIANS(BV$7))-(IF($B$4, 9.807, 32.174)*BR87^2)/(2*BU$7^2*COS(RADIANS(BV$7))^2)+$D$7</f>
        <v>4.18471130774915</v>
      </c>
      <c r="BU87" s="123" t="n">
        <f aca="false">MIN($V$5,BT87)</f>
        <v>4.18471130774915</v>
      </c>
      <c r="BV87" s="112"/>
      <c r="BW87" s="112" t="n">
        <f aca="false">BW86+BW$7/100</f>
        <v>1.58</v>
      </c>
      <c r="BX87" s="122" t="n">
        <f aca="false">BW87-IF($I$3="Forward", $D$9, $G$9)</f>
        <v>1.58</v>
      </c>
      <c r="BY87" s="112" t="n">
        <f aca="false">BW87*TAN(RADIANS(CA$7))-(IF($B$4, 9.807, 32.174)*BW87^2)/(2*BZ$7^2*COS(RADIANS(CA$7))^2)+$D$7</f>
        <v>4.18471130774915</v>
      </c>
      <c r="BZ87" s="123" t="n">
        <f aca="false">MIN($V$5,BY87)</f>
        <v>4.18471130774915</v>
      </c>
      <c r="CA87" s="112"/>
      <c r="CB87" s="112" t="n">
        <f aca="false">CB86+CB$7/100</f>
        <v>1.58</v>
      </c>
      <c r="CC87" s="122" t="n">
        <f aca="false">CB87+IF($I$3="Forward", $D$9, $G$9)</f>
        <v>1.58</v>
      </c>
      <c r="CD87" s="112" t="n">
        <f aca="false">CB87*TAN(RADIANS(CF$7))-(IF($B$4, 9.807, 32.174)*CB87^2)/(2*CE$7^2*COS(RADIANS(CF$7))^2)+$D$7</f>
        <v>4.18471130774915</v>
      </c>
      <c r="CE87" s="123" t="n">
        <f aca="false">MIN($V$5,CD87)</f>
        <v>4.18471130774915</v>
      </c>
      <c r="CF87" s="112"/>
      <c r="CG87" s="124" t="n">
        <f aca="false">CG86+CG$7/100</f>
        <v>1.58</v>
      </c>
      <c r="CH87" s="124" t="n">
        <f aca="false">CG87</f>
        <v>1.58</v>
      </c>
      <c r="CI87" s="124" t="n">
        <f aca="false">CG87*TAN(RADIANS(CK$7))-(IF($B$4, 9.807, 32.174)*CG87^2)/(2*CJ$7^2*COS(RADIANS(CK$7))^2)+$D$7</f>
        <v>4.18471130774915</v>
      </c>
      <c r="CJ87" s="123" t="n">
        <f aca="false">MIN($V$5,CI87)</f>
        <v>4.18471130774915</v>
      </c>
      <c r="CK87" s="124"/>
      <c r="CL87" s="112" t="n">
        <f aca="false">CL86+CL$7/100</f>
        <v>1.58</v>
      </c>
      <c r="CM87" s="122" t="n">
        <f aca="false">CL87-IF($I$3="Forward", $D$9, $G$9)</f>
        <v>1.58</v>
      </c>
      <c r="CN87" s="112" t="n">
        <f aca="false">CL87*TAN(RADIANS(CP$7))-(IF($B$4, 9.807, 32.174)*CL87^2)/(2*CO$7^2*COS(RADIANS(CP$7))^2)+$D$7</f>
        <v>4.18471130774915</v>
      </c>
      <c r="CO87" s="123" t="n">
        <f aca="false">MIN($V$5,CN87)</f>
        <v>4.18471130774915</v>
      </c>
      <c r="CP87" s="112"/>
      <c r="CQ87" s="112" t="n">
        <f aca="false">CQ86+CQ$7/100</f>
        <v>1.58</v>
      </c>
      <c r="CR87" s="122" t="n">
        <f aca="false">CQ87+IF($I$3="Forward", $D$9, $G$9)</f>
        <v>1.58</v>
      </c>
      <c r="CS87" s="112" t="n">
        <f aca="false">CQ87*TAN(RADIANS(CU$7))-(IF($B$4, 9.807, 32.174)*CQ87^2)/(2*CT$7^2*COS(RADIANS(CU$7))^2)+$D$7</f>
        <v>4.18471130774915</v>
      </c>
      <c r="CT87" s="123" t="n">
        <f aca="false">MIN($V$5,CS87)</f>
        <v>4.18471130774915</v>
      </c>
      <c r="CU87" s="112"/>
      <c r="CV87" s="112" t="n">
        <f aca="false">CV86+CV$7/100</f>
        <v>1.58</v>
      </c>
      <c r="CW87" s="112" t="n">
        <f aca="false">CV87</f>
        <v>1.58</v>
      </c>
      <c r="CX87" s="112" t="n">
        <f aca="false">CV87*TAN(RADIANS(CZ$7))-(IF($B$4, 9.807, 32.174)*CV87^2)/(2*CY$7^2*COS(RADIANS(CZ$7))^2)+$D$7</f>
        <v>4.18471130774915</v>
      </c>
      <c r="CY87" s="123" t="n">
        <f aca="false">MIN($V$5,CX87)</f>
        <v>4.18471130774915</v>
      </c>
      <c r="CZ87" s="112"/>
      <c r="DA87" s="112" t="n">
        <f aca="false">DA86+DA$7/100</f>
        <v>1.58</v>
      </c>
      <c r="DB87" s="122" t="n">
        <f aca="false">DA87-IF($I$3="Forward", $D$9, $G$9)</f>
        <v>1.58</v>
      </c>
      <c r="DC87" s="112" t="n">
        <f aca="false">DA87*TAN(RADIANS(DE$7))-(IF($B$4, 9.807, 32.174)*DA87^2)/(2*DD$7^2*COS(RADIANS(DE$7))^2)+$D$7</f>
        <v>4.18471130774915</v>
      </c>
      <c r="DD87" s="123" t="n">
        <f aca="false">MIN($V$5,DC87)</f>
        <v>4.18471130774915</v>
      </c>
      <c r="DE87" s="112"/>
      <c r="DF87" s="112" t="n">
        <f aca="false">DF86+DF$7/100</f>
        <v>1.58</v>
      </c>
      <c r="DG87" s="122" t="n">
        <f aca="false">DF87+IF($I$3="Forward", $D$9, $G$9)</f>
        <v>1.58</v>
      </c>
      <c r="DH87" s="112" t="n">
        <f aca="false">DF87*TAN(RADIANS(DJ$7))-(IF($B$4, 9.807, 32.174)*DF87^2)/(2*DI$7^2*COS(RADIANS(DJ$7))^2)+$D$7</f>
        <v>4.18471130774915</v>
      </c>
      <c r="DI87" s="123" t="n">
        <f aca="false">MIN($V$5,DH87)</f>
        <v>4.18471130774915</v>
      </c>
      <c r="DJ87" s="112"/>
      <c r="DK87" s="112" t="n">
        <f aca="false">DK86+DK$7/100</f>
        <v>1.58</v>
      </c>
      <c r="DL87" s="112" t="n">
        <f aca="false">DK87</f>
        <v>1.58</v>
      </c>
      <c r="DM87" s="112" t="n">
        <f aca="false">DK87*TAN(RADIANS(DO$7))-(IF($B$4, 9.807, 32.174)*DK87^2)/(2*DN$7^2*COS(RADIANS(DO$7))^2)+$D$7</f>
        <v>4.18471130774915</v>
      </c>
      <c r="DN87" s="123" t="n">
        <f aca="false">MIN($V$5,DM87)</f>
        <v>4.18471130774915</v>
      </c>
      <c r="DO87" s="112"/>
      <c r="DP87" s="112" t="n">
        <f aca="false">DP86+DP$7/100</f>
        <v>1.58</v>
      </c>
      <c r="DQ87" s="122" t="n">
        <f aca="false">DP87-IF($I$3="Forward", $D$9, $G$9)</f>
        <v>1.58</v>
      </c>
      <c r="DR87" s="112" t="n">
        <f aca="false">DP87*TAN(RADIANS(DT$7))-(IF($B$4, 9.807, 32.174)*DP87^2)/(2*DS$7^2*COS(RADIANS(DT$7))^2)+$D$7</f>
        <v>4.18471130774915</v>
      </c>
      <c r="DS87" s="123" t="n">
        <f aca="false">MIN($V$5,DR87)</f>
        <v>4.18471130774915</v>
      </c>
      <c r="DT87" s="112"/>
      <c r="DU87" s="112" t="n">
        <f aca="false">DU86+DU$7/100</f>
        <v>1.58</v>
      </c>
      <c r="DV87" s="122" t="n">
        <f aca="false">DU87+IF($I$3="Forward", $D$9, $G$9)</f>
        <v>1.58</v>
      </c>
      <c r="DW87" s="112" t="n">
        <f aca="false">DU87*TAN(RADIANS(DY$7))-(IF($B$4, 9.807, 32.174)*DU87^2)/(2*DX$7^2*COS(RADIANS(DY$7))^2)+$D$7</f>
        <v>4.18471130774915</v>
      </c>
      <c r="DX87" s="123" t="n">
        <f aca="false">MIN($V$5,DW87)</f>
        <v>4.18471130774915</v>
      </c>
      <c r="DY87" s="112"/>
      <c r="DZ87" s="112" t="n">
        <f aca="false">DZ86+DZ$7/100</f>
        <v>1.58</v>
      </c>
      <c r="EA87" s="112" t="n">
        <f aca="false">DZ87</f>
        <v>1.58</v>
      </c>
      <c r="EB87" s="112" t="n">
        <f aca="false">DZ87*TAN(RADIANS(ED$7))-(IF($B$4, 9.807, 32.174)*DZ87^2)/(2*EC$7^2*COS(RADIANS(ED$7))^2)+$D$7</f>
        <v>4.18471130774915</v>
      </c>
      <c r="EC87" s="123" t="n">
        <f aca="false">MIN($V$5,EB87)</f>
        <v>4.18471130774915</v>
      </c>
      <c r="ED87" s="112"/>
      <c r="EE87" s="112" t="n">
        <f aca="false">EE86+EE$7/100</f>
        <v>1.58</v>
      </c>
      <c r="EF87" s="122" t="n">
        <f aca="false">EE87-IF($I$3="Forward", $D$9, $G$9)</f>
        <v>1.58</v>
      </c>
      <c r="EG87" s="112" t="n">
        <f aca="false">EE87*TAN(RADIANS(EI$7))-(IF($B$4, 9.807, 32.174)*EE87^2)/(2*EH$7^2*COS(RADIANS(EI$7))^2)+$D$7</f>
        <v>4.18471130774915</v>
      </c>
      <c r="EH87" s="123" t="n">
        <f aca="false">MIN($V$5,EG87)</f>
        <v>4.18471130774915</v>
      </c>
      <c r="EI87" s="112"/>
      <c r="EJ87" s="112" t="n">
        <f aca="false">EJ86+EJ$7/100</f>
        <v>1.58</v>
      </c>
      <c r="EK87" s="122" t="n">
        <f aca="false">EJ87+IF($I$3="Forward", $D$9, $G$9)</f>
        <v>1.58</v>
      </c>
      <c r="EL87" s="112" t="n">
        <f aca="false">EJ87*TAN(RADIANS(EN$7))-(IF($B$4, 9.807, 32.174)*EJ87^2)/(2*EM$7^2*COS(RADIANS(EN$7))^2)+$D$7</f>
        <v>4.18471130774915</v>
      </c>
      <c r="EM87" s="123" t="n">
        <f aca="false">MIN($V$5,EL87)</f>
        <v>4.18471130774915</v>
      </c>
      <c r="EN87" s="112"/>
      <c r="EO87" s="112" t="n">
        <f aca="false">EO86+EO$7/100</f>
        <v>1.58</v>
      </c>
      <c r="EP87" s="112" t="n">
        <f aca="false">EO87</f>
        <v>1.58</v>
      </c>
      <c r="EQ87" s="112" t="n">
        <f aca="false">EO87*TAN(RADIANS(ES$7))-(IF($B$4, 9.807, 32.174)*EO87^2)/(2*ER$7^2*COS(RADIANS(ES$7))^2)+$D$7</f>
        <v>4.18471130774915</v>
      </c>
      <c r="ER87" s="123" t="n">
        <f aca="false">MIN($V$5,EQ87)</f>
        <v>4.18471130774915</v>
      </c>
      <c r="ES87" s="112"/>
      <c r="ET87" s="112" t="n">
        <f aca="false">ET86+ET$7/100</f>
        <v>1.58</v>
      </c>
      <c r="EU87" s="122" t="n">
        <f aca="false">ET87-IF($I$3="Forward", $D$9, $G$9)</f>
        <v>1.58</v>
      </c>
      <c r="EV87" s="112" t="n">
        <f aca="false">ET87*TAN(RADIANS(EX$7))-(IF($B$4, 9.807, 32.174)*ET87^2)/(2*EW$7^2*COS(RADIANS(EX$7))^2)+$D$7</f>
        <v>4.18471130774915</v>
      </c>
      <c r="EW87" s="123" t="n">
        <f aca="false">MIN($V$5,EV87)</f>
        <v>4.18471130774915</v>
      </c>
      <c r="EX87" s="112"/>
    </row>
    <row r="88" s="131" customFormat="true" ht="15" hidden="false" customHeight="false" outlineLevel="0" collapsed="false">
      <c r="T88" s="112" t="n">
        <f aca="false">T87+T$7/100</f>
        <v>1.6</v>
      </c>
      <c r="U88" s="122" t="n">
        <f aca="false">T88+IF($I$3="Forward", $D$9, $G$9)</f>
        <v>1.6</v>
      </c>
      <c r="V88" s="112" t="n">
        <f aca="false">T88*TAN(RADIANS(X$7))-(IF($B$4, 9.807, 32.174)*T88^2)/(2*W$7^2*COS(RADIANS(X$7))^2)+$D$7</f>
        <v>4.12681018227766</v>
      </c>
      <c r="W88" s="123" t="n">
        <f aca="false">MIN($V$5,V88)</f>
        <v>4.12681018227766</v>
      </c>
      <c r="X88" s="112"/>
      <c r="Y88" s="112" t="n">
        <f aca="false">Y87+Y$7/100</f>
        <v>1.6</v>
      </c>
      <c r="Z88" s="112" t="n">
        <f aca="false">Y88</f>
        <v>1.6</v>
      </c>
      <c r="AA88" s="112" t="n">
        <f aca="false">Y88*TAN(RADIANS(AC$7))-(IF($B$4, 9.807, 32.174)*Y88^2)/(2*AB$7^2*COS(RADIANS(AC$7))^2)+$D$7</f>
        <v>4.12681018227766</v>
      </c>
      <c r="AB88" s="123" t="n">
        <f aca="false">MIN($V$5,AA88)</f>
        <v>4.12681018227766</v>
      </c>
      <c r="AC88" s="112"/>
      <c r="AD88" s="112" t="n">
        <f aca="false">AD87+AD$7/100</f>
        <v>1.6</v>
      </c>
      <c r="AE88" s="122" t="n">
        <f aca="false">AD88-IF($I$3="Forward", $D$9, $G$9)</f>
        <v>1.6</v>
      </c>
      <c r="AF88" s="112" t="n">
        <f aca="false">AD88*TAN(RADIANS(AH$7))-(IF($B$4, 9.807, 32.174)*AD88^2)/(2*AG$7^2*COS(RADIANS(AH$7))^2)+$D$7</f>
        <v>4.12681018227766</v>
      </c>
      <c r="AG88" s="123" t="n">
        <f aca="false">MIN($V$5,AF88)</f>
        <v>4.12681018227766</v>
      </c>
      <c r="AH88" s="112"/>
      <c r="AI88" s="112" t="n">
        <f aca="false">AI87+AI$7/100</f>
        <v>1.6</v>
      </c>
      <c r="AJ88" s="122" t="n">
        <f aca="false">AI88+IF($I$3="Forward", $D$9, $G$9)</f>
        <v>1.6</v>
      </c>
      <c r="AK88" s="112" t="n">
        <f aca="false">AI88*TAN(RADIANS(AM$7))-(IF($B$4, 9.807, 32.174)*AI88^2)/(2*AL$7^2*COS(RADIANS(AM$7))^2)+$D$7</f>
        <v>4.12681018227766</v>
      </c>
      <c r="AL88" s="123" t="n">
        <f aca="false">MIN($V$5,AK88)</f>
        <v>4.12681018227766</v>
      </c>
      <c r="AM88" s="112"/>
      <c r="AN88" s="112" t="n">
        <f aca="false">AN87+AN$7/100</f>
        <v>1.6</v>
      </c>
      <c r="AO88" s="112" t="n">
        <f aca="false">AN88</f>
        <v>1.6</v>
      </c>
      <c r="AP88" s="112" t="n">
        <f aca="false">AN88*TAN(RADIANS(AR$7))-(IF($B$4, 9.807, 32.174)*AN88^2)/(2*AQ$7^2*COS(RADIANS(AR$7))^2)+$D$7</f>
        <v>4.12681018227766</v>
      </c>
      <c r="AQ88" s="123" t="n">
        <f aca="false">MIN($V$5,AP88)</f>
        <v>4.12681018227766</v>
      </c>
      <c r="AR88" s="112"/>
      <c r="AS88" s="112" t="n">
        <f aca="false">AS87+AS$7/100</f>
        <v>1.6</v>
      </c>
      <c r="AT88" s="122" t="n">
        <f aca="false">AS88-IF($I$3="Forward", $D$9, $G$9)</f>
        <v>1.6</v>
      </c>
      <c r="AU88" s="112" t="n">
        <f aca="false">AS88*TAN(RADIANS(AW$7))-(IF($B$4, 9.807, 32.174)*AS88^2)/(2*AV$7^2*COS(RADIANS(AW$7))^2)+$D$7</f>
        <v>4.12681018227766</v>
      </c>
      <c r="AV88" s="123" t="n">
        <f aca="false">MIN($V$5,AU88)</f>
        <v>4.12681018227766</v>
      </c>
      <c r="AW88" s="112"/>
      <c r="AX88" s="112" t="n">
        <f aca="false">AX87+AX$7/100</f>
        <v>1.6</v>
      </c>
      <c r="AY88" s="122" t="n">
        <f aca="false">AX88+IF($I$3="Forward", $D$9, $G$9)</f>
        <v>1.6</v>
      </c>
      <c r="AZ88" s="112" t="n">
        <f aca="false">AX88*TAN(RADIANS(BB$7))-(IF($B$4, 9.807, 32.174)*AX88^2)/(2*BA$7^2*COS(RADIANS(BB$7))^2)+$D$7</f>
        <v>4.12681018227766</v>
      </c>
      <c r="BA88" s="123" t="n">
        <f aca="false">MIN($V$5,AZ88)</f>
        <v>4.12681018227766</v>
      </c>
      <c r="BB88" s="112"/>
      <c r="BC88" s="112" t="n">
        <f aca="false">BC87+BC$7/100</f>
        <v>1.6</v>
      </c>
      <c r="BD88" s="112" t="n">
        <f aca="false">BC88</f>
        <v>1.6</v>
      </c>
      <c r="BE88" s="112" t="n">
        <f aca="false">BC88*TAN(RADIANS(BG$7))-(IF($B$4, 9.807, 32.174)*BC88^2)/(2*BF$7^2*COS(RADIANS(BG$7))^2)+$D$7</f>
        <v>4.12681018227766</v>
      </c>
      <c r="BF88" s="123" t="n">
        <f aca="false">MIN($V$5,BE88)</f>
        <v>4.12681018227766</v>
      </c>
      <c r="BG88" s="112"/>
      <c r="BH88" s="112" t="n">
        <f aca="false">BH87+BH$7/100</f>
        <v>1.6</v>
      </c>
      <c r="BI88" s="122" t="n">
        <f aca="false">BH88-IF($I$3="Forward", $D$9, $G$9)</f>
        <v>1.6</v>
      </c>
      <c r="BJ88" s="112" t="n">
        <f aca="false">BH88*TAN(RADIANS(BL$7))-(IF($B$4, 9.807, 32.174)*BH88^2)/(2*BK$7^2*COS(RADIANS(BL$7))^2)+$D$7</f>
        <v>4.12681018227766</v>
      </c>
      <c r="BK88" s="123" t="n">
        <f aca="false">MIN($V$5,BJ88)</f>
        <v>4.12681018227766</v>
      </c>
      <c r="BL88" s="112"/>
      <c r="BM88" s="112" t="n">
        <f aca="false">BM87+BM$7/100</f>
        <v>1.6</v>
      </c>
      <c r="BN88" s="122" t="n">
        <f aca="false">BM88+IF($I$3="Forward", $D$9, $G$9)</f>
        <v>1.6</v>
      </c>
      <c r="BO88" s="112" t="n">
        <f aca="false">BM88*TAN(RADIANS(BQ$7))-(IF($B$4, 9.807, 32.174)*BM88^2)/(2*BP$7^2*COS(RADIANS(BQ$7))^2)+$D$7</f>
        <v>4.12681018227766</v>
      </c>
      <c r="BP88" s="123" t="n">
        <f aca="false">MIN($V$5,BO88)</f>
        <v>4.12681018227766</v>
      </c>
      <c r="BQ88" s="112"/>
      <c r="BR88" s="112" t="n">
        <f aca="false">BR87+BR$7/100</f>
        <v>1.6</v>
      </c>
      <c r="BS88" s="112" t="n">
        <f aca="false">BR88</f>
        <v>1.6</v>
      </c>
      <c r="BT88" s="112" t="n">
        <f aca="false">BR88*TAN(RADIANS(BV$7))-(IF($B$4, 9.807, 32.174)*BR88^2)/(2*BU$7^2*COS(RADIANS(BV$7))^2)+$D$7</f>
        <v>4.12681018227766</v>
      </c>
      <c r="BU88" s="123" t="n">
        <f aca="false">MIN($V$5,BT88)</f>
        <v>4.12681018227766</v>
      </c>
      <c r="BV88" s="112"/>
      <c r="BW88" s="112" t="n">
        <f aca="false">BW87+BW$7/100</f>
        <v>1.6</v>
      </c>
      <c r="BX88" s="122" t="n">
        <f aca="false">BW88-IF($I$3="Forward", $D$9, $G$9)</f>
        <v>1.6</v>
      </c>
      <c r="BY88" s="112" t="n">
        <f aca="false">BW88*TAN(RADIANS(CA$7))-(IF($B$4, 9.807, 32.174)*BW88^2)/(2*BZ$7^2*COS(RADIANS(CA$7))^2)+$D$7</f>
        <v>4.12681018227766</v>
      </c>
      <c r="BZ88" s="123" t="n">
        <f aca="false">MIN($V$5,BY88)</f>
        <v>4.12681018227766</v>
      </c>
      <c r="CA88" s="112"/>
      <c r="CB88" s="112" t="n">
        <f aca="false">CB87+CB$7/100</f>
        <v>1.6</v>
      </c>
      <c r="CC88" s="122" t="n">
        <f aca="false">CB88+IF($I$3="Forward", $D$9, $G$9)</f>
        <v>1.6</v>
      </c>
      <c r="CD88" s="112" t="n">
        <f aca="false">CB88*TAN(RADIANS(CF$7))-(IF($B$4, 9.807, 32.174)*CB88^2)/(2*CE$7^2*COS(RADIANS(CF$7))^2)+$D$7</f>
        <v>4.12681018227766</v>
      </c>
      <c r="CE88" s="123" t="n">
        <f aca="false">MIN($V$5,CD88)</f>
        <v>4.12681018227766</v>
      </c>
      <c r="CF88" s="112"/>
      <c r="CG88" s="124" t="n">
        <f aca="false">CG87+CG$7/100</f>
        <v>1.6</v>
      </c>
      <c r="CH88" s="124" t="n">
        <f aca="false">CG88</f>
        <v>1.6</v>
      </c>
      <c r="CI88" s="124" t="n">
        <f aca="false">CG88*TAN(RADIANS(CK$7))-(IF($B$4, 9.807, 32.174)*CG88^2)/(2*CJ$7^2*COS(RADIANS(CK$7))^2)+$D$7</f>
        <v>4.12681018227766</v>
      </c>
      <c r="CJ88" s="123" t="n">
        <f aca="false">MIN($V$5,CI88)</f>
        <v>4.12681018227766</v>
      </c>
      <c r="CK88" s="124"/>
      <c r="CL88" s="112" t="n">
        <f aca="false">CL87+CL$7/100</f>
        <v>1.6</v>
      </c>
      <c r="CM88" s="122" t="n">
        <f aca="false">CL88-IF($I$3="Forward", $D$9, $G$9)</f>
        <v>1.6</v>
      </c>
      <c r="CN88" s="112" t="n">
        <f aca="false">CL88*TAN(RADIANS(CP$7))-(IF($B$4, 9.807, 32.174)*CL88^2)/(2*CO$7^2*COS(RADIANS(CP$7))^2)+$D$7</f>
        <v>4.12681018227766</v>
      </c>
      <c r="CO88" s="123" t="n">
        <f aca="false">MIN($V$5,CN88)</f>
        <v>4.12681018227766</v>
      </c>
      <c r="CP88" s="112"/>
      <c r="CQ88" s="112" t="n">
        <f aca="false">CQ87+CQ$7/100</f>
        <v>1.6</v>
      </c>
      <c r="CR88" s="122" t="n">
        <f aca="false">CQ88+IF($I$3="Forward", $D$9, $G$9)</f>
        <v>1.6</v>
      </c>
      <c r="CS88" s="112" t="n">
        <f aca="false">CQ88*TAN(RADIANS(CU$7))-(IF($B$4, 9.807, 32.174)*CQ88^2)/(2*CT$7^2*COS(RADIANS(CU$7))^2)+$D$7</f>
        <v>4.12681018227766</v>
      </c>
      <c r="CT88" s="123" t="n">
        <f aca="false">MIN($V$5,CS88)</f>
        <v>4.12681018227766</v>
      </c>
      <c r="CU88" s="112"/>
      <c r="CV88" s="112" t="n">
        <f aca="false">CV87+CV$7/100</f>
        <v>1.6</v>
      </c>
      <c r="CW88" s="112" t="n">
        <f aca="false">CV88</f>
        <v>1.6</v>
      </c>
      <c r="CX88" s="112" t="n">
        <f aca="false">CV88*TAN(RADIANS(CZ$7))-(IF($B$4, 9.807, 32.174)*CV88^2)/(2*CY$7^2*COS(RADIANS(CZ$7))^2)+$D$7</f>
        <v>4.12681018227766</v>
      </c>
      <c r="CY88" s="123" t="n">
        <f aca="false">MIN($V$5,CX88)</f>
        <v>4.12681018227766</v>
      </c>
      <c r="CZ88" s="112"/>
      <c r="DA88" s="112" t="n">
        <f aca="false">DA87+DA$7/100</f>
        <v>1.6</v>
      </c>
      <c r="DB88" s="122" t="n">
        <f aca="false">DA88-IF($I$3="Forward", $D$9, $G$9)</f>
        <v>1.6</v>
      </c>
      <c r="DC88" s="112" t="n">
        <f aca="false">DA88*TAN(RADIANS(DE$7))-(IF($B$4, 9.807, 32.174)*DA88^2)/(2*DD$7^2*COS(RADIANS(DE$7))^2)+$D$7</f>
        <v>4.12681018227766</v>
      </c>
      <c r="DD88" s="123" t="n">
        <f aca="false">MIN($V$5,DC88)</f>
        <v>4.12681018227766</v>
      </c>
      <c r="DE88" s="112"/>
      <c r="DF88" s="112" t="n">
        <f aca="false">DF87+DF$7/100</f>
        <v>1.6</v>
      </c>
      <c r="DG88" s="122" t="n">
        <f aca="false">DF88+IF($I$3="Forward", $D$9, $G$9)</f>
        <v>1.6</v>
      </c>
      <c r="DH88" s="112" t="n">
        <f aca="false">DF88*TAN(RADIANS(DJ$7))-(IF($B$4, 9.807, 32.174)*DF88^2)/(2*DI$7^2*COS(RADIANS(DJ$7))^2)+$D$7</f>
        <v>4.12681018227766</v>
      </c>
      <c r="DI88" s="123" t="n">
        <f aca="false">MIN($V$5,DH88)</f>
        <v>4.12681018227766</v>
      </c>
      <c r="DJ88" s="112"/>
      <c r="DK88" s="112" t="n">
        <f aca="false">DK87+DK$7/100</f>
        <v>1.6</v>
      </c>
      <c r="DL88" s="112" t="n">
        <f aca="false">DK88</f>
        <v>1.6</v>
      </c>
      <c r="DM88" s="112" t="n">
        <f aca="false">DK88*TAN(RADIANS(DO$7))-(IF($B$4, 9.807, 32.174)*DK88^2)/(2*DN$7^2*COS(RADIANS(DO$7))^2)+$D$7</f>
        <v>4.12681018227766</v>
      </c>
      <c r="DN88" s="123" t="n">
        <f aca="false">MIN($V$5,DM88)</f>
        <v>4.12681018227766</v>
      </c>
      <c r="DO88" s="112"/>
      <c r="DP88" s="112" t="n">
        <f aca="false">DP87+DP$7/100</f>
        <v>1.6</v>
      </c>
      <c r="DQ88" s="122" t="n">
        <f aca="false">DP88-IF($I$3="Forward", $D$9, $G$9)</f>
        <v>1.6</v>
      </c>
      <c r="DR88" s="112" t="n">
        <f aca="false">DP88*TAN(RADIANS(DT$7))-(IF($B$4, 9.807, 32.174)*DP88^2)/(2*DS$7^2*COS(RADIANS(DT$7))^2)+$D$7</f>
        <v>4.12681018227766</v>
      </c>
      <c r="DS88" s="123" t="n">
        <f aca="false">MIN($V$5,DR88)</f>
        <v>4.12681018227766</v>
      </c>
      <c r="DT88" s="112"/>
      <c r="DU88" s="112" t="n">
        <f aca="false">DU87+DU$7/100</f>
        <v>1.6</v>
      </c>
      <c r="DV88" s="122" t="n">
        <f aca="false">DU88+IF($I$3="Forward", $D$9, $G$9)</f>
        <v>1.6</v>
      </c>
      <c r="DW88" s="112" t="n">
        <f aca="false">DU88*TAN(RADIANS(DY$7))-(IF($B$4, 9.807, 32.174)*DU88^2)/(2*DX$7^2*COS(RADIANS(DY$7))^2)+$D$7</f>
        <v>4.12681018227766</v>
      </c>
      <c r="DX88" s="123" t="n">
        <f aca="false">MIN($V$5,DW88)</f>
        <v>4.12681018227766</v>
      </c>
      <c r="DY88" s="112"/>
      <c r="DZ88" s="112" t="n">
        <f aca="false">DZ87+DZ$7/100</f>
        <v>1.6</v>
      </c>
      <c r="EA88" s="112" t="n">
        <f aca="false">DZ88</f>
        <v>1.6</v>
      </c>
      <c r="EB88" s="112" t="n">
        <f aca="false">DZ88*TAN(RADIANS(ED$7))-(IF($B$4, 9.807, 32.174)*DZ88^2)/(2*EC$7^2*COS(RADIANS(ED$7))^2)+$D$7</f>
        <v>4.12681018227766</v>
      </c>
      <c r="EC88" s="123" t="n">
        <f aca="false">MIN($V$5,EB88)</f>
        <v>4.12681018227766</v>
      </c>
      <c r="ED88" s="112"/>
      <c r="EE88" s="112" t="n">
        <f aca="false">EE87+EE$7/100</f>
        <v>1.6</v>
      </c>
      <c r="EF88" s="122" t="n">
        <f aca="false">EE88-IF($I$3="Forward", $D$9, $G$9)</f>
        <v>1.6</v>
      </c>
      <c r="EG88" s="112" t="n">
        <f aca="false">EE88*TAN(RADIANS(EI$7))-(IF($B$4, 9.807, 32.174)*EE88^2)/(2*EH$7^2*COS(RADIANS(EI$7))^2)+$D$7</f>
        <v>4.12681018227766</v>
      </c>
      <c r="EH88" s="123" t="n">
        <f aca="false">MIN($V$5,EG88)</f>
        <v>4.12681018227766</v>
      </c>
      <c r="EI88" s="112"/>
      <c r="EJ88" s="112" t="n">
        <f aca="false">EJ87+EJ$7/100</f>
        <v>1.6</v>
      </c>
      <c r="EK88" s="122" t="n">
        <f aca="false">EJ88+IF($I$3="Forward", $D$9, $G$9)</f>
        <v>1.6</v>
      </c>
      <c r="EL88" s="112" t="n">
        <f aca="false">EJ88*TAN(RADIANS(EN$7))-(IF($B$4, 9.807, 32.174)*EJ88^2)/(2*EM$7^2*COS(RADIANS(EN$7))^2)+$D$7</f>
        <v>4.12681018227766</v>
      </c>
      <c r="EM88" s="123" t="n">
        <f aca="false">MIN($V$5,EL88)</f>
        <v>4.12681018227766</v>
      </c>
      <c r="EN88" s="112"/>
      <c r="EO88" s="112" t="n">
        <f aca="false">EO87+EO$7/100</f>
        <v>1.6</v>
      </c>
      <c r="EP88" s="112" t="n">
        <f aca="false">EO88</f>
        <v>1.6</v>
      </c>
      <c r="EQ88" s="112" t="n">
        <f aca="false">EO88*TAN(RADIANS(ES$7))-(IF($B$4, 9.807, 32.174)*EO88^2)/(2*ER$7^2*COS(RADIANS(ES$7))^2)+$D$7</f>
        <v>4.12681018227766</v>
      </c>
      <c r="ER88" s="123" t="n">
        <f aca="false">MIN($V$5,EQ88)</f>
        <v>4.12681018227766</v>
      </c>
      <c r="ES88" s="112"/>
      <c r="ET88" s="112" t="n">
        <f aca="false">ET87+ET$7/100</f>
        <v>1.6</v>
      </c>
      <c r="EU88" s="122" t="n">
        <f aca="false">ET88-IF($I$3="Forward", $D$9, $G$9)</f>
        <v>1.6</v>
      </c>
      <c r="EV88" s="112" t="n">
        <f aca="false">ET88*TAN(RADIANS(EX$7))-(IF($B$4, 9.807, 32.174)*ET88^2)/(2*EW$7^2*COS(RADIANS(EX$7))^2)+$D$7</f>
        <v>4.12681018227766</v>
      </c>
      <c r="EW88" s="123" t="n">
        <f aca="false">MIN($V$5,EV88)</f>
        <v>4.12681018227766</v>
      </c>
      <c r="EX88" s="112"/>
    </row>
    <row r="89" s="131" customFormat="true" ht="15" hidden="false" customHeight="false" outlineLevel="0" collapsed="false">
      <c r="T89" s="112" t="n">
        <f aca="false">T88+T$7/100</f>
        <v>1.62</v>
      </c>
      <c r="U89" s="122" t="n">
        <f aca="false">T89+IF($I$3="Forward", $D$9, $G$9)</f>
        <v>1.62</v>
      </c>
      <c r="V89" s="112" t="n">
        <f aca="false">T89*TAN(RADIANS(X$7))-(IF($B$4, 9.807, 32.174)*T89^2)/(2*W$7^2*COS(RADIANS(X$7))^2)+$D$7</f>
        <v>4.06620054407833</v>
      </c>
      <c r="W89" s="123" t="n">
        <f aca="false">MIN($V$5,V89)</f>
        <v>4.06620054407833</v>
      </c>
      <c r="X89" s="112"/>
      <c r="Y89" s="112" t="n">
        <f aca="false">Y88+Y$7/100</f>
        <v>1.62</v>
      </c>
      <c r="Z89" s="112" t="n">
        <f aca="false">Y89</f>
        <v>1.62</v>
      </c>
      <c r="AA89" s="112" t="n">
        <f aca="false">Y89*TAN(RADIANS(AC$7))-(IF($B$4, 9.807, 32.174)*Y89^2)/(2*AB$7^2*COS(RADIANS(AC$7))^2)+$D$7</f>
        <v>4.06620054407833</v>
      </c>
      <c r="AB89" s="123" t="n">
        <f aca="false">MIN($V$5,AA89)</f>
        <v>4.06620054407833</v>
      </c>
      <c r="AC89" s="112"/>
      <c r="AD89" s="112" t="n">
        <f aca="false">AD88+AD$7/100</f>
        <v>1.62</v>
      </c>
      <c r="AE89" s="122" t="n">
        <f aca="false">AD89-IF($I$3="Forward", $D$9, $G$9)</f>
        <v>1.62</v>
      </c>
      <c r="AF89" s="112" t="n">
        <f aca="false">AD89*TAN(RADIANS(AH$7))-(IF($B$4, 9.807, 32.174)*AD89^2)/(2*AG$7^2*COS(RADIANS(AH$7))^2)+$D$7</f>
        <v>4.06620054407833</v>
      </c>
      <c r="AG89" s="123" t="n">
        <f aca="false">MIN($V$5,AF89)</f>
        <v>4.06620054407833</v>
      </c>
      <c r="AH89" s="112"/>
      <c r="AI89" s="112" t="n">
        <f aca="false">AI88+AI$7/100</f>
        <v>1.62</v>
      </c>
      <c r="AJ89" s="122" t="n">
        <f aca="false">AI89+IF($I$3="Forward", $D$9, $G$9)</f>
        <v>1.62</v>
      </c>
      <c r="AK89" s="112" t="n">
        <f aca="false">AI89*TAN(RADIANS(AM$7))-(IF($B$4, 9.807, 32.174)*AI89^2)/(2*AL$7^2*COS(RADIANS(AM$7))^2)+$D$7</f>
        <v>4.06620054407833</v>
      </c>
      <c r="AL89" s="123" t="n">
        <f aca="false">MIN($V$5,AK89)</f>
        <v>4.06620054407833</v>
      </c>
      <c r="AM89" s="112"/>
      <c r="AN89" s="112" t="n">
        <f aca="false">AN88+AN$7/100</f>
        <v>1.62</v>
      </c>
      <c r="AO89" s="112" t="n">
        <f aca="false">AN89</f>
        <v>1.62</v>
      </c>
      <c r="AP89" s="112" t="n">
        <f aca="false">AN89*TAN(RADIANS(AR$7))-(IF($B$4, 9.807, 32.174)*AN89^2)/(2*AQ$7^2*COS(RADIANS(AR$7))^2)+$D$7</f>
        <v>4.06620054407833</v>
      </c>
      <c r="AQ89" s="123" t="n">
        <f aca="false">MIN($V$5,AP89)</f>
        <v>4.06620054407833</v>
      </c>
      <c r="AR89" s="112"/>
      <c r="AS89" s="112" t="n">
        <f aca="false">AS88+AS$7/100</f>
        <v>1.62</v>
      </c>
      <c r="AT89" s="122" t="n">
        <f aca="false">AS89-IF($I$3="Forward", $D$9, $G$9)</f>
        <v>1.62</v>
      </c>
      <c r="AU89" s="112" t="n">
        <f aca="false">AS89*TAN(RADIANS(AW$7))-(IF($B$4, 9.807, 32.174)*AS89^2)/(2*AV$7^2*COS(RADIANS(AW$7))^2)+$D$7</f>
        <v>4.06620054407833</v>
      </c>
      <c r="AV89" s="123" t="n">
        <f aca="false">MIN($V$5,AU89)</f>
        <v>4.06620054407833</v>
      </c>
      <c r="AW89" s="112"/>
      <c r="AX89" s="112" t="n">
        <f aca="false">AX88+AX$7/100</f>
        <v>1.62</v>
      </c>
      <c r="AY89" s="122" t="n">
        <f aca="false">AX89+IF($I$3="Forward", $D$9, $G$9)</f>
        <v>1.62</v>
      </c>
      <c r="AZ89" s="112" t="n">
        <f aca="false">AX89*TAN(RADIANS(BB$7))-(IF($B$4, 9.807, 32.174)*AX89^2)/(2*BA$7^2*COS(RADIANS(BB$7))^2)+$D$7</f>
        <v>4.06620054407833</v>
      </c>
      <c r="BA89" s="123" t="n">
        <f aca="false">MIN($V$5,AZ89)</f>
        <v>4.06620054407833</v>
      </c>
      <c r="BB89" s="112"/>
      <c r="BC89" s="112" t="n">
        <f aca="false">BC88+BC$7/100</f>
        <v>1.62</v>
      </c>
      <c r="BD89" s="112" t="n">
        <f aca="false">BC89</f>
        <v>1.62</v>
      </c>
      <c r="BE89" s="112" t="n">
        <f aca="false">BC89*TAN(RADIANS(BG$7))-(IF($B$4, 9.807, 32.174)*BC89^2)/(2*BF$7^2*COS(RADIANS(BG$7))^2)+$D$7</f>
        <v>4.06620054407833</v>
      </c>
      <c r="BF89" s="123" t="n">
        <f aca="false">MIN($V$5,BE89)</f>
        <v>4.06620054407833</v>
      </c>
      <c r="BG89" s="112"/>
      <c r="BH89" s="112" t="n">
        <f aca="false">BH88+BH$7/100</f>
        <v>1.62</v>
      </c>
      <c r="BI89" s="122" t="n">
        <f aca="false">BH89-IF($I$3="Forward", $D$9, $G$9)</f>
        <v>1.62</v>
      </c>
      <c r="BJ89" s="112" t="n">
        <f aca="false">BH89*TAN(RADIANS(BL$7))-(IF($B$4, 9.807, 32.174)*BH89^2)/(2*BK$7^2*COS(RADIANS(BL$7))^2)+$D$7</f>
        <v>4.06620054407833</v>
      </c>
      <c r="BK89" s="123" t="n">
        <f aca="false">MIN($V$5,BJ89)</f>
        <v>4.06620054407833</v>
      </c>
      <c r="BL89" s="112"/>
      <c r="BM89" s="112" t="n">
        <f aca="false">BM88+BM$7/100</f>
        <v>1.62</v>
      </c>
      <c r="BN89" s="122" t="n">
        <f aca="false">BM89+IF($I$3="Forward", $D$9, $G$9)</f>
        <v>1.62</v>
      </c>
      <c r="BO89" s="112" t="n">
        <f aca="false">BM89*TAN(RADIANS(BQ$7))-(IF($B$4, 9.807, 32.174)*BM89^2)/(2*BP$7^2*COS(RADIANS(BQ$7))^2)+$D$7</f>
        <v>4.06620054407833</v>
      </c>
      <c r="BP89" s="123" t="n">
        <f aca="false">MIN($V$5,BO89)</f>
        <v>4.06620054407833</v>
      </c>
      <c r="BQ89" s="112"/>
      <c r="BR89" s="112" t="n">
        <f aca="false">BR88+BR$7/100</f>
        <v>1.62</v>
      </c>
      <c r="BS89" s="112" t="n">
        <f aca="false">BR89</f>
        <v>1.62</v>
      </c>
      <c r="BT89" s="112" t="n">
        <f aca="false">BR89*TAN(RADIANS(BV$7))-(IF($B$4, 9.807, 32.174)*BR89^2)/(2*BU$7^2*COS(RADIANS(BV$7))^2)+$D$7</f>
        <v>4.06620054407833</v>
      </c>
      <c r="BU89" s="123" t="n">
        <f aca="false">MIN($V$5,BT89)</f>
        <v>4.06620054407833</v>
      </c>
      <c r="BV89" s="112"/>
      <c r="BW89" s="112" t="n">
        <f aca="false">BW88+BW$7/100</f>
        <v>1.62</v>
      </c>
      <c r="BX89" s="122" t="n">
        <f aca="false">BW89-IF($I$3="Forward", $D$9, $G$9)</f>
        <v>1.62</v>
      </c>
      <c r="BY89" s="112" t="n">
        <f aca="false">BW89*TAN(RADIANS(CA$7))-(IF($B$4, 9.807, 32.174)*BW89^2)/(2*BZ$7^2*COS(RADIANS(CA$7))^2)+$D$7</f>
        <v>4.06620054407833</v>
      </c>
      <c r="BZ89" s="123" t="n">
        <f aca="false">MIN($V$5,BY89)</f>
        <v>4.06620054407833</v>
      </c>
      <c r="CA89" s="112"/>
      <c r="CB89" s="112" t="n">
        <f aca="false">CB88+CB$7/100</f>
        <v>1.62</v>
      </c>
      <c r="CC89" s="122" t="n">
        <f aca="false">CB89+IF($I$3="Forward", $D$9, $G$9)</f>
        <v>1.62</v>
      </c>
      <c r="CD89" s="112" t="n">
        <f aca="false">CB89*TAN(RADIANS(CF$7))-(IF($B$4, 9.807, 32.174)*CB89^2)/(2*CE$7^2*COS(RADIANS(CF$7))^2)+$D$7</f>
        <v>4.06620054407833</v>
      </c>
      <c r="CE89" s="123" t="n">
        <f aca="false">MIN($V$5,CD89)</f>
        <v>4.06620054407833</v>
      </c>
      <c r="CF89" s="112"/>
      <c r="CG89" s="124" t="n">
        <f aca="false">CG88+CG$7/100</f>
        <v>1.62</v>
      </c>
      <c r="CH89" s="124" t="n">
        <f aca="false">CG89</f>
        <v>1.62</v>
      </c>
      <c r="CI89" s="124" t="n">
        <f aca="false">CG89*TAN(RADIANS(CK$7))-(IF($B$4, 9.807, 32.174)*CG89^2)/(2*CJ$7^2*COS(RADIANS(CK$7))^2)+$D$7</f>
        <v>4.06620054407833</v>
      </c>
      <c r="CJ89" s="123" t="n">
        <f aca="false">MIN($V$5,CI89)</f>
        <v>4.06620054407833</v>
      </c>
      <c r="CK89" s="124"/>
      <c r="CL89" s="112" t="n">
        <f aca="false">CL88+CL$7/100</f>
        <v>1.62</v>
      </c>
      <c r="CM89" s="122" t="n">
        <f aca="false">CL89-IF($I$3="Forward", $D$9, $G$9)</f>
        <v>1.62</v>
      </c>
      <c r="CN89" s="112" t="n">
        <f aca="false">CL89*TAN(RADIANS(CP$7))-(IF($B$4, 9.807, 32.174)*CL89^2)/(2*CO$7^2*COS(RADIANS(CP$7))^2)+$D$7</f>
        <v>4.06620054407833</v>
      </c>
      <c r="CO89" s="123" t="n">
        <f aca="false">MIN($V$5,CN89)</f>
        <v>4.06620054407833</v>
      </c>
      <c r="CP89" s="112"/>
      <c r="CQ89" s="112" t="n">
        <f aca="false">CQ88+CQ$7/100</f>
        <v>1.62</v>
      </c>
      <c r="CR89" s="122" t="n">
        <f aca="false">CQ89+IF($I$3="Forward", $D$9, $G$9)</f>
        <v>1.62</v>
      </c>
      <c r="CS89" s="112" t="n">
        <f aca="false">CQ89*TAN(RADIANS(CU$7))-(IF($B$4, 9.807, 32.174)*CQ89^2)/(2*CT$7^2*COS(RADIANS(CU$7))^2)+$D$7</f>
        <v>4.06620054407833</v>
      </c>
      <c r="CT89" s="123" t="n">
        <f aca="false">MIN($V$5,CS89)</f>
        <v>4.06620054407833</v>
      </c>
      <c r="CU89" s="112"/>
      <c r="CV89" s="112" t="n">
        <f aca="false">CV88+CV$7/100</f>
        <v>1.62</v>
      </c>
      <c r="CW89" s="112" t="n">
        <f aca="false">CV89</f>
        <v>1.62</v>
      </c>
      <c r="CX89" s="112" t="n">
        <f aca="false">CV89*TAN(RADIANS(CZ$7))-(IF($B$4, 9.807, 32.174)*CV89^2)/(2*CY$7^2*COS(RADIANS(CZ$7))^2)+$D$7</f>
        <v>4.06620054407833</v>
      </c>
      <c r="CY89" s="123" t="n">
        <f aca="false">MIN($V$5,CX89)</f>
        <v>4.06620054407833</v>
      </c>
      <c r="CZ89" s="112"/>
      <c r="DA89" s="112" t="n">
        <f aca="false">DA88+DA$7/100</f>
        <v>1.62</v>
      </c>
      <c r="DB89" s="122" t="n">
        <f aca="false">DA89-IF($I$3="Forward", $D$9, $G$9)</f>
        <v>1.62</v>
      </c>
      <c r="DC89" s="112" t="n">
        <f aca="false">DA89*TAN(RADIANS(DE$7))-(IF($B$4, 9.807, 32.174)*DA89^2)/(2*DD$7^2*COS(RADIANS(DE$7))^2)+$D$7</f>
        <v>4.06620054407833</v>
      </c>
      <c r="DD89" s="123" t="n">
        <f aca="false">MIN($V$5,DC89)</f>
        <v>4.06620054407833</v>
      </c>
      <c r="DE89" s="112"/>
      <c r="DF89" s="112" t="n">
        <f aca="false">DF88+DF$7/100</f>
        <v>1.62</v>
      </c>
      <c r="DG89" s="122" t="n">
        <f aca="false">DF89+IF($I$3="Forward", $D$9, $G$9)</f>
        <v>1.62</v>
      </c>
      <c r="DH89" s="112" t="n">
        <f aca="false">DF89*TAN(RADIANS(DJ$7))-(IF($B$4, 9.807, 32.174)*DF89^2)/(2*DI$7^2*COS(RADIANS(DJ$7))^2)+$D$7</f>
        <v>4.06620054407833</v>
      </c>
      <c r="DI89" s="123" t="n">
        <f aca="false">MIN($V$5,DH89)</f>
        <v>4.06620054407833</v>
      </c>
      <c r="DJ89" s="112"/>
      <c r="DK89" s="112" t="n">
        <f aca="false">DK88+DK$7/100</f>
        <v>1.62</v>
      </c>
      <c r="DL89" s="112" t="n">
        <f aca="false">DK89</f>
        <v>1.62</v>
      </c>
      <c r="DM89" s="112" t="n">
        <f aca="false">DK89*TAN(RADIANS(DO$7))-(IF($B$4, 9.807, 32.174)*DK89^2)/(2*DN$7^2*COS(RADIANS(DO$7))^2)+$D$7</f>
        <v>4.06620054407833</v>
      </c>
      <c r="DN89" s="123" t="n">
        <f aca="false">MIN($V$5,DM89)</f>
        <v>4.06620054407833</v>
      </c>
      <c r="DO89" s="112"/>
      <c r="DP89" s="112" t="n">
        <f aca="false">DP88+DP$7/100</f>
        <v>1.62</v>
      </c>
      <c r="DQ89" s="122" t="n">
        <f aca="false">DP89-IF($I$3="Forward", $D$9, $G$9)</f>
        <v>1.62</v>
      </c>
      <c r="DR89" s="112" t="n">
        <f aca="false">DP89*TAN(RADIANS(DT$7))-(IF($B$4, 9.807, 32.174)*DP89^2)/(2*DS$7^2*COS(RADIANS(DT$7))^2)+$D$7</f>
        <v>4.06620054407833</v>
      </c>
      <c r="DS89" s="123" t="n">
        <f aca="false">MIN($V$5,DR89)</f>
        <v>4.06620054407833</v>
      </c>
      <c r="DT89" s="112"/>
      <c r="DU89" s="112" t="n">
        <f aca="false">DU88+DU$7/100</f>
        <v>1.62</v>
      </c>
      <c r="DV89" s="122" t="n">
        <f aca="false">DU89+IF($I$3="Forward", $D$9, $G$9)</f>
        <v>1.62</v>
      </c>
      <c r="DW89" s="112" t="n">
        <f aca="false">DU89*TAN(RADIANS(DY$7))-(IF($B$4, 9.807, 32.174)*DU89^2)/(2*DX$7^2*COS(RADIANS(DY$7))^2)+$D$7</f>
        <v>4.06620054407833</v>
      </c>
      <c r="DX89" s="123" t="n">
        <f aca="false">MIN($V$5,DW89)</f>
        <v>4.06620054407833</v>
      </c>
      <c r="DY89" s="112"/>
      <c r="DZ89" s="112" t="n">
        <f aca="false">DZ88+DZ$7/100</f>
        <v>1.62</v>
      </c>
      <c r="EA89" s="112" t="n">
        <f aca="false">DZ89</f>
        <v>1.62</v>
      </c>
      <c r="EB89" s="112" t="n">
        <f aca="false">DZ89*TAN(RADIANS(ED$7))-(IF($B$4, 9.807, 32.174)*DZ89^2)/(2*EC$7^2*COS(RADIANS(ED$7))^2)+$D$7</f>
        <v>4.06620054407833</v>
      </c>
      <c r="EC89" s="123" t="n">
        <f aca="false">MIN($V$5,EB89)</f>
        <v>4.06620054407833</v>
      </c>
      <c r="ED89" s="112"/>
      <c r="EE89" s="112" t="n">
        <f aca="false">EE88+EE$7/100</f>
        <v>1.62</v>
      </c>
      <c r="EF89" s="122" t="n">
        <f aca="false">EE89-IF($I$3="Forward", $D$9, $G$9)</f>
        <v>1.62</v>
      </c>
      <c r="EG89" s="112" t="n">
        <f aca="false">EE89*TAN(RADIANS(EI$7))-(IF($B$4, 9.807, 32.174)*EE89^2)/(2*EH$7^2*COS(RADIANS(EI$7))^2)+$D$7</f>
        <v>4.06620054407833</v>
      </c>
      <c r="EH89" s="123" t="n">
        <f aca="false">MIN($V$5,EG89)</f>
        <v>4.06620054407833</v>
      </c>
      <c r="EI89" s="112"/>
      <c r="EJ89" s="112" t="n">
        <f aca="false">EJ88+EJ$7/100</f>
        <v>1.62</v>
      </c>
      <c r="EK89" s="122" t="n">
        <f aca="false">EJ89+IF($I$3="Forward", $D$9, $G$9)</f>
        <v>1.62</v>
      </c>
      <c r="EL89" s="112" t="n">
        <f aca="false">EJ89*TAN(RADIANS(EN$7))-(IF($B$4, 9.807, 32.174)*EJ89^2)/(2*EM$7^2*COS(RADIANS(EN$7))^2)+$D$7</f>
        <v>4.06620054407833</v>
      </c>
      <c r="EM89" s="123" t="n">
        <f aca="false">MIN($V$5,EL89)</f>
        <v>4.06620054407833</v>
      </c>
      <c r="EN89" s="112"/>
      <c r="EO89" s="112" t="n">
        <f aca="false">EO88+EO$7/100</f>
        <v>1.62</v>
      </c>
      <c r="EP89" s="112" t="n">
        <f aca="false">EO89</f>
        <v>1.62</v>
      </c>
      <c r="EQ89" s="112" t="n">
        <f aca="false">EO89*TAN(RADIANS(ES$7))-(IF($B$4, 9.807, 32.174)*EO89^2)/(2*ER$7^2*COS(RADIANS(ES$7))^2)+$D$7</f>
        <v>4.06620054407833</v>
      </c>
      <c r="ER89" s="123" t="n">
        <f aca="false">MIN($V$5,EQ89)</f>
        <v>4.06620054407833</v>
      </c>
      <c r="ES89" s="112"/>
      <c r="ET89" s="112" t="n">
        <f aca="false">ET88+ET$7/100</f>
        <v>1.62</v>
      </c>
      <c r="EU89" s="122" t="n">
        <f aca="false">ET89-IF($I$3="Forward", $D$9, $G$9)</f>
        <v>1.62</v>
      </c>
      <c r="EV89" s="112" t="n">
        <f aca="false">ET89*TAN(RADIANS(EX$7))-(IF($B$4, 9.807, 32.174)*ET89^2)/(2*EW$7^2*COS(RADIANS(EX$7))^2)+$D$7</f>
        <v>4.06620054407833</v>
      </c>
      <c r="EW89" s="123" t="n">
        <f aca="false">MIN($V$5,EV89)</f>
        <v>4.06620054407833</v>
      </c>
      <c r="EX89" s="112"/>
    </row>
    <row r="90" s="131" customFormat="true" ht="15" hidden="false" customHeight="false" outlineLevel="0" collapsed="false">
      <c r="T90" s="112" t="n">
        <f aca="false">T89+T$7/100</f>
        <v>1.64</v>
      </c>
      <c r="U90" s="122" t="n">
        <f aca="false">T90+IF($I$3="Forward", $D$9, $G$9)</f>
        <v>1.64</v>
      </c>
      <c r="V90" s="112" t="n">
        <f aca="false">T90*TAN(RADIANS(X$7))-(IF($B$4, 9.807, 32.174)*T90^2)/(2*W$7^2*COS(RADIANS(X$7))^2)+$D$7</f>
        <v>4.00288239315115</v>
      </c>
      <c r="W90" s="123" t="n">
        <f aca="false">MIN($V$5,V90)</f>
        <v>4.00288239315115</v>
      </c>
      <c r="X90" s="112"/>
      <c r="Y90" s="112" t="n">
        <f aca="false">Y89+Y$7/100</f>
        <v>1.64</v>
      </c>
      <c r="Z90" s="112" t="n">
        <f aca="false">Y90</f>
        <v>1.64</v>
      </c>
      <c r="AA90" s="112" t="n">
        <f aca="false">Y90*TAN(RADIANS(AC$7))-(IF($B$4, 9.807, 32.174)*Y90^2)/(2*AB$7^2*COS(RADIANS(AC$7))^2)+$D$7</f>
        <v>4.00288239315115</v>
      </c>
      <c r="AB90" s="123" t="n">
        <f aca="false">MIN($V$5,AA90)</f>
        <v>4.00288239315115</v>
      </c>
      <c r="AC90" s="112"/>
      <c r="AD90" s="112" t="n">
        <f aca="false">AD89+AD$7/100</f>
        <v>1.64</v>
      </c>
      <c r="AE90" s="122" t="n">
        <f aca="false">AD90-IF($I$3="Forward", $D$9, $G$9)</f>
        <v>1.64</v>
      </c>
      <c r="AF90" s="112" t="n">
        <f aca="false">AD90*TAN(RADIANS(AH$7))-(IF($B$4, 9.807, 32.174)*AD90^2)/(2*AG$7^2*COS(RADIANS(AH$7))^2)+$D$7</f>
        <v>4.00288239315115</v>
      </c>
      <c r="AG90" s="123" t="n">
        <f aca="false">MIN($V$5,AF90)</f>
        <v>4.00288239315115</v>
      </c>
      <c r="AH90" s="112"/>
      <c r="AI90" s="112" t="n">
        <f aca="false">AI89+AI$7/100</f>
        <v>1.64</v>
      </c>
      <c r="AJ90" s="122" t="n">
        <f aca="false">AI90+IF($I$3="Forward", $D$9, $G$9)</f>
        <v>1.64</v>
      </c>
      <c r="AK90" s="112" t="n">
        <f aca="false">AI90*TAN(RADIANS(AM$7))-(IF($B$4, 9.807, 32.174)*AI90^2)/(2*AL$7^2*COS(RADIANS(AM$7))^2)+$D$7</f>
        <v>4.00288239315115</v>
      </c>
      <c r="AL90" s="123" t="n">
        <f aca="false">MIN($V$5,AK90)</f>
        <v>4.00288239315115</v>
      </c>
      <c r="AM90" s="112"/>
      <c r="AN90" s="112" t="n">
        <f aca="false">AN89+AN$7/100</f>
        <v>1.64</v>
      </c>
      <c r="AO90" s="112" t="n">
        <f aca="false">AN90</f>
        <v>1.64</v>
      </c>
      <c r="AP90" s="112" t="n">
        <f aca="false">AN90*TAN(RADIANS(AR$7))-(IF($B$4, 9.807, 32.174)*AN90^2)/(2*AQ$7^2*COS(RADIANS(AR$7))^2)+$D$7</f>
        <v>4.00288239315115</v>
      </c>
      <c r="AQ90" s="123" t="n">
        <f aca="false">MIN($V$5,AP90)</f>
        <v>4.00288239315115</v>
      </c>
      <c r="AR90" s="112"/>
      <c r="AS90" s="112" t="n">
        <f aca="false">AS89+AS$7/100</f>
        <v>1.64</v>
      </c>
      <c r="AT90" s="122" t="n">
        <f aca="false">AS90-IF($I$3="Forward", $D$9, $G$9)</f>
        <v>1.64</v>
      </c>
      <c r="AU90" s="112" t="n">
        <f aca="false">AS90*TAN(RADIANS(AW$7))-(IF($B$4, 9.807, 32.174)*AS90^2)/(2*AV$7^2*COS(RADIANS(AW$7))^2)+$D$7</f>
        <v>4.00288239315115</v>
      </c>
      <c r="AV90" s="123" t="n">
        <f aca="false">MIN($V$5,AU90)</f>
        <v>4.00288239315115</v>
      </c>
      <c r="AW90" s="112"/>
      <c r="AX90" s="112" t="n">
        <f aca="false">AX89+AX$7/100</f>
        <v>1.64</v>
      </c>
      <c r="AY90" s="122" t="n">
        <f aca="false">AX90+IF($I$3="Forward", $D$9, $G$9)</f>
        <v>1.64</v>
      </c>
      <c r="AZ90" s="112" t="n">
        <f aca="false">AX90*TAN(RADIANS(BB$7))-(IF($B$4, 9.807, 32.174)*AX90^2)/(2*BA$7^2*COS(RADIANS(BB$7))^2)+$D$7</f>
        <v>4.00288239315115</v>
      </c>
      <c r="BA90" s="123" t="n">
        <f aca="false">MIN($V$5,AZ90)</f>
        <v>4.00288239315115</v>
      </c>
      <c r="BB90" s="112"/>
      <c r="BC90" s="112" t="n">
        <f aca="false">BC89+BC$7/100</f>
        <v>1.64</v>
      </c>
      <c r="BD90" s="112" t="n">
        <f aca="false">BC90</f>
        <v>1.64</v>
      </c>
      <c r="BE90" s="112" t="n">
        <f aca="false">BC90*TAN(RADIANS(BG$7))-(IF($B$4, 9.807, 32.174)*BC90^2)/(2*BF$7^2*COS(RADIANS(BG$7))^2)+$D$7</f>
        <v>4.00288239315115</v>
      </c>
      <c r="BF90" s="123" t="n">
        <f aca="false">MIN($V$5,BE90)</f>
        <v>4.00288239315115</v>
      </c>
      <c r="BG90" s="112"/>
      <c r="BH90" s="112" t="n">
        <f aca="false">BH89+BH$7/100</f>
        <v>1.64</v>
      </c>
      <c r="BI90" s="122" t="n">
        <f aca="false">BH90-IF($I$3="Forward", $D$9, $G$9)</f>
        <v>1.64</v>
      </c>
      <c r="BJ90" s="112" t="n">
        <f aca="false">BH90*TAN(RADIANS(BL$7))-(IF($B$4, 9.807, 32.174)*BH90^2)/(2*BK$7^2*COS(RADIANS(BL$7))^2)+$D$7</f>
        <v>4.00288239315115</v>
      </c>
      <c r="BK90" s="123" t="n">
        <f aca="false">MIN($V$5,BJ90)</f>
        <v>4.00288239315115</v>
      </c>
      <c r="BL90" s="112"/>
      <c r="BM90" s="112" t="n">
        <f aca="false">BM89+BM$7/100</f>
        <v>1.64</v>
      </c>
      <c r="BN90" s="122" t="n">
        <f aca="false">BM90+IF($I$3="Forward", $D$9, $G$9)</f>
        <v>1.64</v>
      </c>
      <c r="BO90" s="112" t="n">
        <f aca="false">BM90*TAN(RADIANS(BQ$7))-(IF($B$4, 9.807, 32.174)*BM90^2)/(2*BP$7^2*COS(RADIANS(BQ$7))^2)+$D$7</f>
        <v>4.00288239315115</v>
      </c>
      <c r="BP90" s="123" t="n">
        <f aca="false">MIN($V$5,BO90)</f>
        <v>4.00288239315115</v>
      </c>
      <c r="BQ90" s="112"/>
      <c r="BR90" s="112" t="n">
        <f aca="false">BR89+BR$7/100</f>
        <v>1.64</v>
      </c>
      <c r="BS90" s="112" t="n">
        <f aca="false">BR90</f>
        <v>1.64</v>
      </c>
      <c r="BT90" s="112" t="n">
        <f aca="false">BR90*TAN(RADIANS(BV$7))-(IF($B$4, 9.807, 32.174)*BR90^2)/(2*BU$7^2*COS(RADIANS(BV$7))^2)+$D$7</f>
        <v>4.00288239315115</v>
      </c>
      <c r="BU90" s="123" t="n">
        <f aca="false">MIN($V$5,BT90)</f>
        <v>4.00288239315115</v>
      </c>
      <c r="BV90" s="112"/>
      <c r="BW90" s="112" t="n">
        <f aca="false">BW89+BW$7/100</f>
        <v>1.64</v>
      </c>
      <c r="BX90" s="122" t="n">
        <f aca="false">BW90-IF($I$3="Forward", $D$9, $G$9)</f>
        <v>1.64</v>
      </c>
      <c r="BY90" s="112" t="n">
        <f aca="false">BW90*TAN(RADIANS(CA$7))-(IF($B$4, 9.807, 32.174)*BW90^2)/(2*BZ$7^2*COS(RADIANS(CA$7))^2)+$D$7</f>
        <v>4.00288239315115</v>
      </c>
      <c r="BZ90" s="123" t="n">
        <f aca="false">MIN($V$5,BY90)</f>
        <v>4.00288239315115</v>
      </c>
      <c r="CA90" s="112"/>
      <c r="CB90" s="112" t="n">
        <f aca="false">CB89+CB$7/100</f>
        <v>1.64</v>
      </c>
      <c r="CC90" s="122" t="n">
        <f aca="false">CB90+IF($I$3="Forward", $D$9, $G$9)</f>
        <v>1.64</v>
      </c>
      <c r="CD90" s="112" t="n">
        <f aca="false">CB90*TAN(RADIANS(CF$7))-(IF($B$4, 9.807, 32.174)*CB90^2)/(2*CE$7^2*COS(RADIANS(CF$7))^2)+$D$7</f>
        <v>4.00288239315115</v>
      </c>
      <c r="CE90" s="123" t="n">
        <f aca="false">MIN($V$5,CD90)</f>
        <v>4.00288239315115</v>
      </c>
      <c r="CF90" s="112"/>
      <c r="CG90" s="124" t="n">
        <f aca="false">CG89+CG$7/100</f>
        <v>1.64</v>
      </c>
      <c r="CH90" s="124" t="n">
        <f aca="false">CG90</f>
        <v>1.64</v>
      </c>
      <c r="CI90" s="124" t="n">
        <f aca="false">CG90*TAN(RADIANS(CK$7))-(IF($B$4, 9.807, 32.174)*CG90^2)/(2*CJ$7^2*COS(RADIANS(CK$7))^2)+$D$7</f>
        <v>4.00288239315115</v>
      </c>
      <c r="CJ90" s="123" t="n">
        <f aca="false">MIN($V$5,CI90)</f>
        <v>4.00288239315115</v>
      </c>
      <c r="CK90" s="124"/>
      <c r="CL90" s="112" t="n">
        <f aca="false">CL89+CL$7/100</f>
        <v>1.64</v>
      </c>
      <c r="CM90" s="122" t="n">
        <f aca="false">CL90-IF($I$3="Forward", $D$9, $G$9)</f>
        <v>1.64</v>
      </c>
      <c r="CN90" s="112" t="n">
        <f aca="false">CL90*TAN(RADIANS(CP$7))-(IF($B$4, 9.807, 32.174)*CL90^2)/(2*CO$7^2*COS(RADIANS(CP$7))^2)+$D$7</f>
        <v>4.00288239315115</v>
      </c>
      <c r="CO90" s="123" t="n">
        <f aca="false">MIN($V$5,CN90)</f>
        <v>4.00288239315115</v>
      </c>
      <c r="CP90" s="112"/>
      <c r="CQ90" s="112" t="n">
        <f aca="false">CQ89+CQ$7/100</f>
        <v>1.64</v>
      </c>
      <c r="CR90" s="122" t="n">
        <f aca="false">CQ90+IF($I$3="Forward", $D$9, $G$9)</f>
        <v>1.64</v>
      </c>
      <c r="CS90" s="112" t="n">
        <f aca="false">CQ90*TAN(RADIANS(CU$7))-(IF($B$4, 9.807, 32.174)*CQ90^2)/(2*CT$7^2*COS(RADIANS(CU$7))^2)+$D$7</f>
        <v>4.00288239315115</v>
      </c>
      <c r="CT90" s="123" t="n">
        <f aca="false">MIN($V$5,CS90)</f>
        <v>4.00288239315115</v>
      </c>
      <c r="CU90" s="112"/>
      <c r="CV90" s="112" t="n">
        <f aca="false">CV89+CV$7/100</f>
        <v>1.64</v>
      </c>
      <c r="CW90" s="112" t="n">
        <f aca="false">CV90</f>
        <v>1.64</v>
      </c>
      <c r="CX90" s="112" t="n">
        <f aca="false">CV90*TAN(RADIANS(CZ$7))-(IF($B$4, 9.807, 32.174)*CV90^2)/(2*CY$7^2*COS(RADIANS(CZ$7))^2)+$D$7</f>
        <v>4.00288239315115</v>
      </c>
      <c r="CY90" s="123" t="n">
        <f aca="false">MIN($V$5,CX90)</f>
        <v>4.00288239315115</v>
      </c>
      <c r="CZ90" s="112"/>
      <c r="DA90" s="112" t="n">
        <f aca="false">DA89+DA$7/100</f>
        <v>1.64</v>
      </c>
      <c r="DB90" s="122" t="n">
        <f aca="false">DA90-IF($I$3="Forward", $D$9, $G$9)</f>
        <v>1.64</v>
      </c>
      <c r="DC90" s="112" t="n">
        <f aca="false">DA90*TAN(RADIANS(DE$7))-(IF($B$4, 9.807, 32.174)*DA90^2)/(2*DD$7^2*COS(RADIANS(DE$7))^2)+$D$7</f>
        <v>4.00288239315115</v>
      </c>
      <c r="DD90" s="123" t="n">
        <f aca="false">MIN($V$5,DC90)</f>
        <v>4.00288239315115</v>
      </c>
      <c r="DE90" s="112"/>
      <c r="DF90" s="112" t="n">
        <f aca="false">DF89+DF$7/100</f>
        <v>1.64</v>
      </c>
      <c r="DG90" s="122" t="n">
        <f aca="false">DF90+IF($I$3="Forward", $D$9, $G$9)</f>
        <v>1.64</v>
      </c>
      <c r="DH90" s="112" t="n">
        <f aca="false">DF90*TAN(RADIANS(DJ$7))-(IF($B$4, 9.807, 32.174)*DF90^2)/(2*DI$7^2*COS(RADIANS(DJ$7))^2)+$D$7</f>
        <v>4.00288239315115</v>
      </c>
      <c r="DI90" s="123" t="n">
        <f aca="false">MIN($V$5,DH90)</f>
        <v>4.00288239315115</v>
      </c>
      <c r="DJ90" s="112"/>
      <c r="DK90" s="112" t="n">
        <f aca="false">DK89+DK$7/100</f>
        <v>1.64</v>
      </c>
      <c r="DL90" s="112" t="n">
        <f aca="false">DK90</f>
        <v>1.64</v>
      </c>
      <c r="DM90" s="112" t="n">
        <f aca="false">DK90*TAN(RADIANS(DO$7))-(IF($B$4, 9.807, 32.174)*DK90^2)/(2*DN$7^2*COS(RADIANS(DO$7))^2)+$D$7</f>
        <v>4.00288239315115</v>
      </c>
      <c r="DN90" s="123" t="n">
        <f aca="false">MIN($V$5,DM90)</f>
        <v>4.00288239315115</v>
      </c>
      <c r="DO90" s="112"/>
      <c r="DP90" s="112" t="n">
        <f aca="false">DP89+DP$7/100</f>
        <v>1.64</v>
      </c>
      <c r="DQ90" s="122" t="n">
        <f aca="false">DP90-IF($I$3="Forward", $D$9, $G$9)</f>
        <v>1.64</v>
      </c>
      <c r="DR90" s="112" t="n">
        <f aca="false">DP90*TAN(RADIANS(DT$7))-(IF($B$4, 9.807, 32.174)*DP90^2)/(2*DS$7^2*COS(RADIANS(DT$7))^2)+$D$7</f>
        <v>4.00288239315115</v>
      </c>
      <c r="DS90" s="123" t="n">
        <f aca="false">MIN($V$5,DR90)</f>
        <v>4.00288239315115</v>
      </c>
      <c r="DT90" s="112"/>
      <c r="DU90" s="112" t="n">
        <f aca="false">DU89+DU$7/100</f>
        <v>1.64</v>
      </c>
      <c r="DV90" s="122" t="n">
        <f aca="false">DU90+IF($I$3="Forward", $D$9, $G$9)</f>
        <v>1.64</v>
      </c>
      <c r="DW90" s="112" t="n">
        <f aca="false">DU90*TAN(RADIANS(DY$7))-(IF($B$4, 9.807, 32.174)*DU90^2)/(2*DX$7^2*COS(RADIANS(DY$7))^2)+$D$7</f>
        <v>4.00288239315115</v>
      </c>
      <c r="DX90" s="123" t="n">
        <f aca="false">MIN($V$5,DW90)</f>
        <v>4.00288239315115</v>
      </c>
      <c r="DY90" s="112"/>
      <c r="DZ90" s="112" t="n">
        <f aca="false">DZ89+DZ$7/100</f>
        <v>1.64</v>
      </c>
      <c r="EA90" s="112" t="n">
        <f aca="false">DZ90</f>
        <v>1.64</v>
      </c>
      <c r="EB90" s="112" t="n">
        <f aca="false">DZ90*TAN(RADIANS(ED$7))-(IF($B$4, 9.807, 32.174)*DZ90^2)/(2*EC$7^2*COS(RADIANS(ED$7))^2)+$D$7</f>
        <v>4.00288239315115</v>
      </c>
      <c r="EC90" s="123" t="n">
        <f aca="false">MIN($V$5,EB90)</f>
        <v>4.00288239315115</v>
      </c>
      <c r="ED90" s="112"/>
      <c r="EE90" s="112" t="n">
        <f aca="false">EE89+EE$7/100</f>
        <v>1.64</v>
      </c>
      <c r="EF90" s="122" t="n">
        <f aca="false">EE90-IF($I$3="Forward", $D$9, $G$9)</f>
        <v>1.64</v>
      </c>
      <c r="EG90" s="112" t="n">
        <f aca="false">EE90*TAN(RADIANS(EI$7))-(IF($B$4, 9.807, 32.174)*EE90^2)/(2*EH$7^2*COS(RADIANS(EI$7))^2)+$D$7</f>
        <v>4.00288239315115</v>
      </c>
      <c r="EH90" s="123" t="n">
        <f aca="false">MIN($V$5,EG90)</f>
        <v>4.00288239315115</v>
      </c>
      <c r="EI90" s="112"/>
      <c r="EJ90" s="112" t="n">
        <f aca="false">EJ89+EJ$7/100</f>
        <v>1.64</v>
      </c>
      <c r="EK90" s="122" t="n">
        <f aca="false">EJ90+IF($I$3="Forward", $D$9, $G$9)</f>
        <v>1.64</v>
      </c>
      <c r="EL90" s="112" t="n">
        <f aca="false">EJ90*TAN(RADIANS(EN$7))-(IF($B$4, 9.807, 32.174)*EJ90^2)/(2*EM$7^2*COS(RADIANS(EN$7))^2)+$D$7</f>
        <v>4.00288239315115</v>
      </c>
      <c r="EM90" s="123" t="n">
        <f aca="false">MIN($V$5,EL90)</f>
        <v>4.00288239315115</v>
      </c>
      <c r="EN90" s="112"/>
      <c r="EO90" s="112" t="n">
        <f aca="false">EO89+EO$7/100</f>
        <v>1.64</v>
      </c>
      <c r="EP90" s="112" t="n">
        <f aca="false">EO90</f>
        <v>1.64</v>
      </c>
      <c r="EQ90" s="112" t="n">
        <f aca="false">EO90*TAN(RADIANS(ES$7))-(IF($B$4, 9.807, 32.174)*EO90^2)/(2*ER$7^2*COS(RADIANS(ES$7))^2)+$D$7</f>
        <v>4.00288239315115</v>
      </c>
      <c r="ER90" s="123" t="n">
        <f aca="false">MIN($V$5,EQ90)</f>
        <v>4.00288239315115</v>
      </c>
      <c r="ES90" s="112"/>
      <c r="ET90" s="112" t="n">
        <f aca="false">ET89+ET$7/100</f>
        <v>1.64</v>
      </c>
      <c r="EU90" s="122" t="n">
        <f aca="false">ET90-IF($I$3="Forward", $D$9, $G$9)</f>
        <v>1.64</v>
      </c>
      <c r="EV90" s="112" t="n">
        <f aca="false">ET90*TAN(RADIANS(EX$7))-(IF($B$4, 9.807, 32.174)*ET90^2)/(2*EW$7^2*COS(RADIANS(EX$7))^2)+$D$7</f>
        <v>4.00288239315115</v>
      </c>
      <c r="EW90" s="123" t="n">
        <f aca="false">MIN($V$5,EV90)</f>
        <v>4.00288239315115</v>
      </c>
      <c r="EX90" s="112"/>
    </row>
    <row r="91" s="131" customFormat="true" ht="15" hidden="false" customHeight="false" outlineLevel="0" collapsed="false">
      <c r="T91" s="112" t="n">
        <f aca="false">T90+T$7/100</f>
        <v>1.66</v>
      </c>
      <c r="U91" s="122" t="n">
        <f aca="false">T91+IF($I$3="Forward", $D$9, $G$9)</f>
        <v>1.66</v>
      </c>
      <c r="V91" s="112" t="n">
        <f aca="false">T91*TAN(RADIANS(X$7))-(IF($B$4, 9.807, 32.174)*T91^2)/(2*W$7^2*COS(RADIANS(X$7))^2)+$D$7</f>
        <v>3.93685572949611</v>
      </c>
      <c r="W91" s="123" t="n">
        <f aca="false">MIN($V$5,V91)</f>
        <v>3.93685572949611</v>
      </c>
      <c r="X91" s="112"/>
      <c r="Y91" s="112" t="n">
        <f aca="false">Y90+Y$7/100</f>
        <v>1.66</v>
      </c>
      <c r="Z91" s="112" t="n">
        <f aca="false">Y91</f>
        <v>1.66</v>
      </c>
      <c r="AA91" s="112" t="n">
        <f aca="false">Y91*TAN(RADIANS(AC$7))-(IF($B$4, 9.807, 32.174)*Y91^2)/(2*AB$7^2*COS(RADIANS(AC$7))^2)+$D$7</f>
        <v>3.93685572949611</v>
      </c>
      <c r="AB91" s="123" t="n">
        <f aca="false">MIN($V$5,AA91)</f>
        <v>3.93685572949611</v>
      </c>
      <c r="AC91" s="112"/>
      <c r="AD91" s="112" t="n">
        <f aca="false">AD90+AD$7/100</f>
        <v>1.66</v>
      </c>
      <c r="AE91" s="122" t="n">
        <f aca="false">AD91-IF($I$3="Forward", $D$9, $G$9)</f>
        <v>1.66</v>
      </c>
      <c r="AF91" s="112" t="n">
        <f aca="false">AD91*TAN(RADIANS(AH$7))-(IF($B$4, 9.807, 32.174)*AD91^2)/(2*AG$7^2*COS(RADIANS(AH$7))^2)+$D$7</f>
        <v>3.93685572949611</v>
      </c>
      <c r="AG91" s="123" t="n">
        <f aca="false">MIN($V$5,AF91)</f>
        <v>3.93685572949611</v>
      </c>
      <c r="AH91" s="112"/>
      <c r="AI91" s="112" t="n">
        <f aca="false">AI90+AI$7/100</f>
        <v>1.66</v>
      </c>
      <c r="AJ91" s="122" t="n">
        <f aca="false">AI91+IF($I$3="Forward", $D$9, $G$9)</f>
        <v>1.66</v>
      </c>
      <c r="AK91" s="112" t="n">
        <f aca="false">AI91*TAN(RADIANS(AM$7))-(IF($B$4, 9.807, 32.174)*AI91^2)/(2*AL$7^2*COS(RADIANS(AM$7))^2)+$D$7</f>
        <v>3.93685572949611</v>
      </c>
      <c r="AL91" s="123" t="n">
        <f aca="false">MIN($V$5,AK91)</f>
        <v>3.93685572949611</v>
      </c>
      <c r="AM91" s="112"/>
      <c r="AN91" s="112" t="n">
        <f aca="false">AN90+AN$7/100</f>
        <v>1.66</v>
      </c>
      <c r="AO91" s="112" t="n">
        <f aca="false">AN91</f>
        <v>1.66</v>
      </c>
      <c r="AP91" s="112" t="n">
        <f aca="false">AN91*TAN(RADIANS(AR$7))-(IF($B$4, 9.807, 32.174)*AN91^2)/(2*AQ$7^2*COS(RADIANS(AR$7))^2)+$D$7</f>
        <v>3.93685572949611</v>
      </c>
      <c r="AQ91" s="123" t="n">
        <f aca="false">MIN($V$5,AP91)</f>
        <v>3.93685572949611</v>
      </c>
      <c r="AR91" s="112"/>
      <c r="AS91" s="112" t="n">
        <f aca="false">AS90+AS$7/100</f>
        <v>1.66</v>
      </c>
      <c r="AT91" s="122" t="n">
        <f aca="false">AS91-IF($I$3="Forward", $D$9, $G$9)</f>
        <v>1.66</v>
      </c>
      <c r="AU91" s="112" t="n">
        <f aca="false">AS91*TAN(RADIANS(AW$7))-(IF($B$4, 9.807, 32.174)*AS91^2)/(2*AV$7^2*COS(RADIANS(AW$7))^2)+$D$7</f>
        <v>3.93685572949611</v>
      </c>
      <c r="AV91" s="123" t="n">
        <f aca="false">MIN($V$5,AU91)</f>
        <v>3.93685572949611</v>
      </c>
      <c r="AW91" s="112"/>
      <c r="AX91" s="112" t="n">
        <f aca="false">AX90+AX$7/100</f>
        <v>1.66</v>
      </c>
      <c r="AY91" s="122" t="n">
        <f aca="false">AX91+IF($I$3="Forward", $D$9, $G$9)</f>
        <v>1.66</v>
      </c>
      <c r="AZ91" s="112" t="n">
        <f aca="false">AX91*TAN(RADIANS(BB$7))-(IF($B$4, 9.807, 32.174)*AX91^2)/(2*BA$7^2*COS(RADIANS(BB$7))^2)+$D$7</f>
        <v>3.93685572949611</v>
      </c>
      <c r="BA91" s="123" t="n">
        <f aca="false">MIN($V$5,AZ91)</f>
        <v>3.93685572949611</v>
      </c>
      <c r="BB91" s="112"/>
      <c r="BC91" s="112" t="n">
        <f aca="false">BC90+BC$7/100</f>
        <v>1.66</v>
      </c>
      <c r="BD91" s="112" t="n">
        <f aca="false">BC91</f>
        <v>1.66</v>
      </c>
      <c r="BE91" s="112" t="n">
        <f aca="false">BC91*TAN(RADIANS(BG$7))-(IF($B$4, 9.807, 32.174)*BC91^2)/(2*BF$7^2*COS(RADIANS(BG$7))^2)+$D$7</f>
        <v>3.93685572949611</v>
      </c>
      <c r="BF91" s="123" t="n">
        <f aca="false">MIN($V$5,BE91)</f>
        <v>3.93685572949611</v>
      </c>
      <c r="BG91" s="112"/>
      <c r="BH91" s="112" t="n">
        <f aca="false">BH90+BH$7/100</f>
        <v>1.66</v>
      </c>
      <c r="BI91" s="122" t="n">
        <f aca="false">BH91-IF($I$3="Forward", $D$9, $G$9)</f>
        <v>1.66</v>
      </c>
      <c r="BJ91" s="112" t="n">
        <f aca="false">BH91*TAN(RADIANS(BL$7))-(IF($B$4, 9.807, 32.174)*BH91^2)/(2*BK$7^2*COS(RADIANS(BL$7))^2)+$D$7</f>
        <v>3.93685572949611</v>
      </c>
      <c r="BK91" s="123" t="n">
        <f aca="false">MIN($V$5,BJ91)</f>
        <v>3.93685572949611</v>
      </c>
      <c r="BL91" s="112"/>
      <c r="BM91" s="112" t="n">
        <f aca="false">BM90+BM$7/100</f>
        <v>1.66</v>
      </c>
      <c r="BN91" s="122" t="n">
        <f aca="false">BM91+IF($I$3="Forward", $D$9, $G$9)</f>
        <v>1.66</v>
      </c>
      <c r="BO91" s="112" t="n">
        <f aca="false">BM91*TAN(RADIANS(BQ$7))-(IF($B$4, 9.807, 32.174)*BM91^2)/(2*BP$7^2*COS(RADIANS(BQ$7))^2)+$D$7</f>
        <v>3.93685572949611</v>
      </c>
      <c r="BP91" s="123" t="n">
        <f aca="false">MIN($V$5,BO91)</f>
        <v>3.93685572949611</v>
      </c>
      <c r="BQ91" s="112"/>
      <c r="BR91" s="112" t="n">
        <f aca="false">BR90+BR$7/100</f>
        <v>1.66</v>
      </c>
      <c r="BS91" s="112" t="n">
        <f aca="false">BR91</f>
        <v>1.66</v>
      </c>
      <c r="BT91" s="112" t="n">
        <f aca="false">BR91*TAN(RADIANS(BV$7))-(IF($B$4, 9.807, 32.174)*BR91^2)/(2*BU$7^2*COS(RADIANS(BV$7))^2)+$D$7</f>
        <v>3.93685572949611</v>
      </c>
      <c r="BU91" s="123" t="n">
        <f aca="false">MIN($V$5,BT91)</f>
        <v>3.93685572949611</v>
      </c>
      <c r="BV91" s="112"/>
      <c r="BW91" s="112" t="n">
        <f aca="false">BW90+BW$7/100</f>
        <v>1.66</v>
      </c>
      <c r="BX91" s="122" t="n">
        <f aca="false">BW91-IF($I$3="Forward", $D$9, $G$9)</f>
        <v>1.66</v>
      </c>
      <c r="BY91" s="112" t="n">
        <f aca="false">BW91*TAN(RADIANS(CA$7))-(IF($B$4, 9.807, 32.174)*BW91^2)/(2*BZ$7^2*COS(RADIANS(CA$7))^2)+$D$7</f>
        <v>3.93685572949611</v>
      </c>
      <c r="BZ91" s="123" t="n">
        <f aca="false">MIN($V$5,BY91)</f>
        <v>3.93685572949611</v>
      </c>
      <c r="CA91" s="112"/>
      <c r="CB91" s="112" t="n">
        <f aca="false">CB90+CB$7/100</f>
        <v>1.66</v>
      </c>
      <c r="CC91" s="122" t="n">
        <f aca="false">CB91+IF($I$3="Forward", $D$9, $G$9)</f>
        <v>1.66</v>
      </c>
      <c r="CD91" s="112" t="n">
        <f aca="false">CB91*TAN(RADIANS(CF$7))-(IF($B$4, 9.807, 32.174)*CB91^2)/(2*CE$7^2*COS(RADIANS(CF$7))^2)+$D$7</f>
        <v>3.93685572949611</v>
      </c>
      <c r="CE91" s="123" t="n">
        <f aca="false">MIN($V$5,CD91)</f>
        <v>3.93685572949611</v>
      </c>
      <c r="CF91" s="112"/>
      <c r="CG91" s="124" t="n">
        <f aca="false">CG90+CG$7/100</f>
        <v>1.66</v>
      </c>
      <c r="CH91" s="124" t="n">
        <f aca="false">CG91</f>
        <v>1.66</v>
      </c>
      <c r="CI91" s="124" t="n">
        <f aca="false">CG91*TAN(RADIANS(CK$7))-(IF($B$4, 9.807, 32.174)*CG91^2)/(2*CJ$7^2*COS(RADIANS(CK$7))^2)+$D$7</f>
        <v>3.93685572949611</v>
      </c>
      <c r="CJ91" s="123" t="n">
        <f aca="false">MIN($V$5,CI91)</f>
        <v>3.93685572949611</v>
      </c>
      <c r="CK91" s="124"/>
      <c r="CL91" s="112" t="n">
        <f aca="false">CL90+CL$7/100</f>
        <v>1.66</v>
      </c>
      <c r="CM91" s="122" t="n">
        <f aca="false">CL91-IF($I$3="Forward", $D$9, $G$9)</f>
        <v>1.66</v>
      </c>
      <c r="CN91" s="112" t="n">
        <f aca="false">CL91*TAN(RADIANS(CP$7))-(IF($B$4, 9.807, 32.174)*CL91^2)/(2*CO$7^2*COS(RADIANS(CP$7))^2)+$D$7</f>
        <v>3.93685572949611</v>
      </c>
      <c r="CO91" s="123" t="n">
        <f aca="false">MIN($V$5,CN91)</f>
        <v>3.93685572949611</v>
      </c>
      <c r="CP91" s="112"/>
      <c r="CQ91" s="112" t="n">
        <f aca="false">CQ90+CQ$7/100</f>
        <v>1.66</v>
      </c>
      <c r="CR91" s="122" t="n">
        <f aca="false">CQ91+IF($I$3="Forward", $D$9, $G$9)</f>
        <v>1.66</v>
      </c>
      <c r="CS91" s="112" t="n">
        <f aca="false">CQ91*TAN(RADIANS(CU$7))-(IF($B$4, 9.807, 32.174)*CQ91^2)/(2*CT$7^2*COS(RADIANS(CU$7))^2)+$D$7</f>
        <v>3.93685572949611</v>
      </c>
      <c r="CT91" s="123" t="n">
        <f aca="false">MIN($V$5,CS91)</f>
        <v>3.93685572949611</v>
      </c>
      <c r="CU91" s="112"/>
      <c r="CV91" s="112" t="n">
        <f aca="false">CV90+CV$7/100</f>
        <v>1.66</v>
      </c>
      <c r="CW91" s="112" t="n">
        <f aca="false">CV91</f>
        <v>1.66</v>
      </c>
      <c r="CX91" s="112" t="n">
        <f aca="false">CV91*TAN(RADIANS(CZ$7))-(IF($B$4, 9.807, 32.174)*CV91^2)/(2*CY$7^2*COS(RADIANS(CZ$7))^2)+$D$7</f>
        <v>3.93685572949611</v>
      </c>
      <c r="CY91" s="123" t="n">
        <f aca="false">MIN($V$5,CX91)</f>
        <v>3.93685572949611</v>
      </c>
      <c r="CZ91" s="112"/>
      <c r="DA91" s="112" t="n">
        <f aca="false">DA90+DA$7/100</f>
        <v>1.66</v>
      </c>
      <c r="DB91" s="122" t="n">
        <f aca="false">DA91-IF($I$3="Forward", $D$9, $G$9)</f>
        <v>1.66</v>
      </c>
      <c r="DC91" s="112" t="n">
        <f aca="false">DA91*TAN(RADIANS(DE$7))-(IF($B$4, 9.807, 32.174)*DA91^2)/(2*DD$7^2*COS(RADIANS(DE$7))^2)+$D$7</f>
        <v>3.93685572949611</v>
      </c>
      <c r="DD91" s="123" t="n">
        <f aca="false">MIN($V$5,DC91)</f>
        <v>3.93685572949611</v>
      </c>
      <c r="DE91" s="112"/>
      <c r="DF91" s="112" t="n">
        <f aca="false">DF90+DF$7/100</f>
        <v>1.66</v>
      </c>
      <c r="DG91" s="122" t="n">
        <f aca="false">DF91+IF($I$3="Forward", $D$9, $G$9)</f>
        <v>1.66</v>
      </c>
      <c r="DH91" s="112" t="n">
        <f aca="false">DF91*TAN(RADIANS(DJ$7))-(IF($B$4, 9.807, 32.174)*DF91^2)/(2*DI$7^2*COS(RADIANS(DJ$7))^2)+$D$7</f>
        <v>3.93685572949611</v>
      </c>
      <c r="DI91" s="123" t="n">
        <f aca="false">MIN($V$5,DH91)</f>
        <v>3.93685572949611</v>
      </c>
      <c r="DJ91" s="112"/>
      <c r="DK91" s="112" t="n">
        <f aca="false">DK90+DK$7/100</f>
        <v>1.66</v>
      </c>
      <c r="DL91" s="112" t="n">
        <f aca="false">DK91</f>
        <v>1.66</v>
      </c>
      <c r="DM91" s="112" t="n">
        <f aca="false">DK91*TAN(RADIANS(DO$7))-(IF($B$4, 9.807, 32.174)*DK91^2)/(2*DN$7^2*COS(RADIANS(DO$7))^2)+$D$7</f>
        <v>3.93685572949611</v>
      </c>
      <c r="DN91" s="123" t="n">
        <f aca="false">MIN($V$5,DM91)</f>
        <v>3.93685572949611</v>
      </c>
      <c r="DO91" s="112"/>
      <c r="DP91" s="112" t="n">
        <f aca="false">DP90+DP$7/100</f>
        <v>1.66</v>
      </c>
      <c r="DQ91" s="122" t="n">
        <f aca="false">DP91-IF($I$3="Forward", $D$9, $G$9)</f>
        <v>1.66</v>
      </c>
      <c r="DR91" s="112" t="n">
        <f aca="false">DP91*TAN(RADIANS(DT$7))-(IF($B$4, 9.807, 32.174)*DP91^2)/(2*DS$7^2*COS(RADIANS(DT$7))^2)+$D$7</f>
        <v>3.93685572949611</v>
      </c>
      <c r="DS91" s="123" t="n">
        <f aca="false">MIN($V$5,DR91)</f>
        <v>3.93685572949611</v>
      </c>
      <c r="DT91" s="112"/>
      <c r="DU91" s="112" t="n">
        <f aca="false">DU90+DU$7/100</f>
        <v>1.66</v>
      </c>
      <c r="DV91" s="122" t="n">
        <f aca="false">DU91+IF($I$3="Forward", $D$9, $G$9)</f>
        <v>1.66</v>
      </c>
      <c r="DW91" s="112" t="n">
        <f aca="false">DU91*TAN(RADIANS(DY$7))-(IF($B$4, 9.807, 32.174)*DU91^2)/(2*DX$7^2*COS(RADIANS(DY$7))^2)+$D$7</f>
        <v>3.93685572949611</v>
      </c>
      <c r="DX91" s="123" t="n">
        <f aca="false">MIN($V$5,DW91)</f>
        <v>3.93685572949611</v>
      </c>
      <c r="DY91" s="112"/>
      <c r="DZ91" s="112" t="n">
        <f aca="false">DZ90+DZ$7/100</f>
        <v>1.66</v>
      </c>
      <c r="EA91" s="112" t="n">
        <f aca="false">DZ91</f>
        <v>1.66</v>
      </c>
      <c r="EB91" s="112" t="n">
        <f aca="false">DZ91*TAN(RADIANS(ED$7))-(IF($B$4, 9.807, 32.174)*DZ91^2)/(2*EC$7^2*COS(RADIANS(ED$7))^2)+$D$7</f>
        <v>3.93685572949611</v>
      </c>
      <c r="EC91" s="123" t="n">
        <f aca="false">MIN($V$5,EB91)</f>
        <v>3.93685572949611</v>
      </c>
      <c r="ED91" s="112"/>
      <c r="EE91" s="112" t="n">
        <f aca="false">EE90+EE$7/100</f>
        <v>1.66</v>
      </c>
      <c r="EF91" s="122" t="n">
        <f aca="false">EE91-IF($I$3="Forward", $D$9, $G$9)</f>
        <v>1.66</v>
      </c>
      <c r="EG91" s="112" t="n">
        <f aca="false">EE91*TAN(RADIANS(EI$7))-(IF($B$4, 9.807, 32.174)*EE91^2)/(2*EH$7^2*COS(RADIANS(EI$7))^2)+$D$7</f>
        <v>3.93685572949611</v>
      </c>
      <c r="EH91" s="123" t="n">
        <f aca="false">MIN($V$5,EG91)</f>
        <v>3.93685572949611</v>
      </c>
      <c r="EI91" s="112"/>
      <c r="EJ91" s="112" t="n">
        <f aca="false">EJ90+EJ$7/100</f>
        <v>1.66</v>
      </c>
      <c r="EK91" s="122" t="n">
        <f aca="false">EJ91+IF($I$3="Forward", $D$9, $G$9)</f>
        <v>1.66</v>
      </c>
      <c r="EL91" s="112" t="n">
        <f aca="false">EJ91*TAN(RADIANS(EN$7))-(IF($B$4, 9.807, 32.174)*EJ91^2)/(2*EM$7^2*COS(RADIANS(EN$7))^2)+$D$7</f>
        <v>3.93685572949611</v>
      </c>
      <c r="EM91" s="123" t="n">
        <f aca="false">MIN($V$5,EL91)</f>
        <v>3.93685572949611</v>
      </c>
      <c r="EN91" s="112"/>
      <c r="EO91" s="112" t="n">
        <f aca="false">EO90+EO$7/100</f>
        <v>1.66</v>
      </c>
      <c r="EP91" s="112" t="n">
        <f aca="false">EO91</f>
        <v>1.66</v>
      </c>
      <c r="EQ91" s="112" t="n">
        <f aca="false">EO91*TAN(RADIANS(ES$7))-(IF($B$4, 9.807, 32.174)*EO91^2)/(2*ER$7^2*COS(RADIANS(ES$7))^2)+$D$7</f>
        <v>3.93685572949611</v>
      </c>
      <c r="ER91" s="123" t="n">
        <f aca="false">MIN($V$5,EQ91)</f>
        <v>3.93685572949611</v>
      </c>
      <c r="ES91" s="112"/>
      <c r="ET91" s="112" t="n">
        <f aca="false">ET90+ET$7/100</f>
        <v>1.66</v>
      </c>
      <c r="EU91" s="122" t="n">
        <f aca="false">ET91-IF($I$3="Forward", $D$9, $G$9)</f>
        <v>1.66</v>
      </c>
      <c r="EV91" s="112" t="n">
        <f aca="false">ET91*TAN(RADIANS(EX$7))-(IF($B$4, 9.807, 32.174)*ET91^2)/(2*EW$7^2*COS(RADIANS(EX$7))^2)+$D$7</f>
        <v>3.93685572949611</v>
      </c>
      <c r="EW91" s="123" t="n">
        <f aca="false">MIN($V$5,EV91)</f>
        <v>3.93685572949611</v>
      </c>
      <c r="EX91" s="112"/>
    </row>
    <row r="92" s="131" customFormat="true" ht="15" hidden="false" customHeight="false" outlineLevel="0" collapsed="false">
      <c r="T92" s="112" t="n">
        <f aca="false">T91+T$7/100</f>
        <v>1.68</v>
      </c>
      <c r="U92" s="122" t="n">
        <f aca="false">T92+IF($I$3="Forward", $D$9, $G$9)</f>
        <v>1.68</v>
      </c>
      <c r="V92" s="112" t="n">
        <f aca="false">T92*TAN(RADIANS(X$7))-(IF($B$4, 9.807, 32.174)*T92^2)/(2*W$7^2*COS(RADIANS(X$7))^2)+$D$7</f>
        <v>3.86812055311324</v>
      </c>
      <c r="W92" s="123" t="n">
        <f aca="false">MIN($V$5,V92)</f>
        <v>3.86812055311324</v>
      </c>
      <c r="X92" s="112"/>
      <c r="Y92" s="112" t="n">
        <f aca="false">Y91+Y$7/100</f>
        <v>1.68</v>
      </c>
      <c r="Z92" s="112" t="n">
        <f aca="false">Y92</f>
        <v>1.68</v>
      </c>
      <c r="AA92" s="112" t="n">
        <f aca="false">Y92*TAN(RADIANS(AC$7))-(IF($B$4, 9.807, 32.174)*Y92^2)/(2*AB$7^2*COS(RADIANS(AC$7))^2)+$D$7</f>
        <v>3.86812055311324</v>
      </c>
      <c r="AB92" s="123" t="n">
        <f aca="false">MIN($V$5,AA92)</f>
        <v>3.86812055311324</v>
      </c>
      <c r="AC92" s="112"/>
      <c r="AD92" s="112" t="n">
        <f aca="false">AD91+AD$7/100</f>
        <v>1.68</v>
      </c>
      <c r="AE92" s="122" t="n">
        <f aca="false">AD92-IF($I$3="Forward", $D$9, $G$9)</f>
        <v>1.68</v>
      </c>
      <c r="AF92" s="112" t="n">
        <f aca="false">AD92*TAN(RADIANS(AH$7))-(IF($B$4, 9.807, 32.174)*AD92^2)/(2*AG$7^2*COS(RADIANS(AH$7))^2)+$D$7</f>
        <v>3.86812055311324</v>
      </c>
      <c r="AG92" s="123" t="n">
        <f aca="false">MIN($V$5,AF92)</f>
        <v>3.86812055311324</v>
      </c>
      <c r="AH92" s="112"/>
      <c r="AI92" s="112" t="n">
        <f aca="false">AI91+AI$7/100</f>
        <v>1.68</v>
      </c>
      <c r="AJ92" s="122" t="n">
        <f aca="false">AI92+IF($I$3="Forward", $D$9, $G$9)</f>
        <v>1.68</v>
      </c>
      <c r="AK92" s="112" t="n">
        <f aca="false">AI92*TAN(RADIANS(AM$7))-(IF($B$4, 9.807, 32.174)*AI92^2)/(2*AL$7^2*COS(RADIANS(AM$7))^2)+$D$7</f>
        <v>3.86812055311324</v>
      </c>
      <c r="AL92" s="123" t="n">
        <f aca="false">MIN($V$5,AK92)</f>
        <v>3.86812055311324</v>
      </c>
      <c r="AM92" s="112"/>
      <c r="AN92" s="112" t="n">
        <f aca="false">AN91+AN$7/100</f>
        <v>1.68</v>
      </c>
      <c r="AO92" s="112" t="n">
        <f aca="false">AN92</f>
        <v>1.68</v>
      </c>
      <c r="AP92" s="112" t="n">
        <f aca="false">AN92*TAN(RADIANS(AR$7))-(IF($B$4, 9.807, 32.174)*AN92^2)/(2*AQ$7^2*COS(RADIANS(AR$7))^2)+$D$7</f>
        <v>3.86812055311324</v>
      </c>
      <c r="AQ92" s="123" t="n">
        <f aca="false">MIN($V$5,AP92)</f>
        <v>3.86812055311324</v>
      </c>
      <c r="AR92" s="112"/>
      <c r="AS92" s="112" t="n">
        <f aca="false">AS91+AS$7/100</f>
        <v>1.68</v>
      </c>
      <c r="AT92" s="122" t="n">
        <f aca="false">AS92-IF($I$3="Forward", $D$9, $G$9)</f>
        <v>1.68</v>
      </c>
      <c r="AU92" s="112" t="n">
        <f aca="false">AS92*TAN(RADIANS(AW$7))-(IF($B$4, 9.807, 32.174)*AS92^2)/(2*AV$7^2*COS(RADIANS(AW$7))^2)+$D$7</f>
        <v>3.86812055311324</v>
      </c>
      <c r="AV92" s="123" t="n">
        <f aca="false">MIN($V$5,AU92)</f>
        <v>3.86812055311324</v>
      </c>
      <c r="AW92" s="112"/>
      <c r="AX92" s="112" t="n">
        <f aca="false">AX91+AX$7/100</f>
        <v>1.68</v>
      </c>
      <c r="AY92" s="122" t="n">
        <f aca="false">AX92+IF($I$3="Forward", $D$9, $G$9)</f>
        <v>1.68</v>
      </c>
      <c r="AZ92" s="112" t="n">
        <f aca="false">AX92*TAN(RADIANS(BB$7))-(IF($B$4, 9.807, 32.174)*AX92^2)/(2*BA$7^2*COS(RADIANS(BB$7))^2)+$D$7</f>
        <v>3.86812055311324</v>
      </c>
      <c r="BA92" s="123" t="n">
        <f aca="false">MIN($V$5,AZ92)</f>
        <v>3.86812055311324</v>
      </c>
      <c r="BB92" s="112"/>
      <c r="BC92" s="112" t="n">
        <f aca="false">BC91+BC$7/100</f>
        <v>1.68</v>
      </c>
      <c r="BD92" s="112" t="n">
        <f aca="false">BC92</f>
        <v>1.68</v>
      </c>
      <c r="BE92" s="112" t="n">
        <f aca="false">BC92*TAN(RADIANS(BG$7))-(IF($B$4, 9.807, 32.174)*BC92^2)/(2*BF$7^2*COS(RADIANS(BG$7))^2)+$D$7</f>
        <v>3.86812055311324</v>
      </c>
      <c r="BF92" s="123" t="n">
        <f aca="false">MIN($V$5,BE92)</f>
        <v>3.86812055311324</v>
      </c>
      <c r="BG92" s="112"/>
      <c r="BH92" s="112" t="n">
        <f aca="false">BH91+BH$7/100</f>
        <v>1.68</v>
      </c>
      <c r="BI92" s="122" t="n">
        <f aca="false">BH92-IF($I$3="Forward", $D$9, $G$9)</f>
        <v>1.68</v>
      </c>
      <c r="BJ92" s="112" t="n">
        <f aca="false">BH92*TAN(RADIANS(BL$7))-(IF($B$4, 9.807, 32.174)*BH92^2)/(2*BK$7^2*COS(RADIANS(BL$7))^2)+$D$7</f>
        <v>3.86812055311324</v>
      </c>
      <c r="BK92" s="123" t="n">
        <f aca="false">MIN($V$5,BJ92)</f>
        <v>3.86812055311324</v>
      </c>
      <c r="BL92" s="112"/>
      <c r="BM92" s="112" t="n">
        <f aca="false">BM91+BM$7/100</f>
        <v>1.68</v>
      </c>
      <c r="BN92" s="122" t="n">
        <f aca="false">BM92+IF($I$3="Forward", $D$9, $G$9)</f>
        <v>1.68</v>
      </c>
      <c r="BO92" s="112" t="n">
        <f aca="false">BM92*TAN(RADIANS(BQ$7))-(IF($B$4, 9.807, 32.174)*BM92^2)/(2*BP$7^2*COS(RADIANS(BQ$7))^2)+$D$7</f>
        <v>3.86812055311324</v>
      </c>
      <c r="BP92" s="123" t="n">
        <f aca="false">MIN($V$5,BO92)</f>
        <v>3.86812055311324</v>
      </c>
      <c r="BQ92" s="112"/>
      <c r="BR92" s="112" t="n">
        <f aca="false">BR91+BR$7/100</f>
        <v>1.68</v>
      </c>
      <c r="BS92" s="112" t="n">
        <f aca="false">BR92</f>
        <v>1.68</v>
      </c>
      <c r="BT92" s="112" t="n">
        <f aca="false">BR92*TAN(RADIANS(BV$7))-(IF($B$4, 9.807, 32.174)*BR92^2)/(2*BU$7^2*COS(RADIANS(BV$7))^2)+$D$7</f>
        <v>3.86812055311324</v>
      </c>
      <c r="BU92" s="123" t="n">
        <f aca="false">MIN($V$5,BT92)</f>
        <v>3.86812055311324</v>
      </c>
      <c r="BV92" s="112"/>
      <c r="BW92" s="112" t="n">
        <f aca="false">BW91+BW$7/100</f>
        <v>1.68</v>
      </c>
      <c r="BX92" s="122" t="n">
        <f aca="false">BW92-IF($I$3="Forward", $D$9, $G$9)</f>
        <v>1.68</v>
      </c>
      <c r="BY92" s="112" t="n">
        <f aca="false">BW92*TAN(RADIANS(CA$7))-(IF($B$4, 9.807, 32.174)*BW92^2)/(2*BZ$7^2*COS(RADIANS(CA$7))^2)+$D$7</f>
        <v>3.86812055311324</v>
      </c>
      <c r="BZ92" s="123" t="n">
        <f aca="false">MIN($V$5,BY92)</f>
        <v>3.86812055311324</v>
      </c>
      <c r="CA92" s="112"/>
      <c r="CB92" s="112" t="n">
        <f aca="false">CB91+CB$7/100</f>
        <v>1.68</v>
      </c>
      <c r="CC92" s="122" t="n">
        <f aca="false">CB92+IF($I$3="Forward", $D$9, $G$9)</f>
        <v>1.68</v>
      </c>
      <c r="CD92" s="112" t="n">
        <f aca="false">CB92*TAN(RADIANS(CF$7))-(IF($B$4, 9.807, 32.174)*CB92^2)/(2*CE$7^2*COS(RADIANS(CF$7))^2)+$D$7</f>
        <v>3.86812055311324</v>
      </c>
      <c r="CE92" s="123" t="n">
        <f aca="false">MIN($V$5,CD92)</f>
        <v>3.86812055311324</v>
      </c>
      <c r="CF92" s="112"/>
      <c r="CG92" s="124" t="n">
        <f aca="false">CG91+CG$7/100</f>
        <v>1.68</v>
      </c>
      <c r="CH92" s="124" t="n">
        <f aca="false">CG92</f>
        <v>1.68</v>
      </c>
      <c r="CI92" s="124" t="n">
        <f aca="false">CG92*TAN(RADIANS(CK$7))-(IF($B$4, 9.807, 32.174)*CG92^2)/(2*CJ$7^2*COS(RADIANS(CK$7))^2)+$D$7</f>
        <v>3.86812055311324</v>
      </c>
      <c r="CJ92" s="123" t="n">
        <f aca="false">MIN($V$5,CI92)</f>
        <v>3.86812055311324</v>
      </c>
      <c r="CK92" s="124"/>
      <c r="CL92" s="112" t="n">
        <f aca="false">CL91+CL$7/100</f>
        <v>1.68</v>
      </c>
      <c r="CM92" s="122" t="n">
        <f aca="false">CL92-IF($I$3="Forward", $D$9, $G$9)</f>
        <v>1.68</v>
      </c>
      <c r="CN92" s="112" t="n">
        <f aca="false">CL92*TAN(RADIANS(CP$7))-(IF($B$4, 9.807, 32.174)*CL92^2)/(2*CO$7^2*COS(RADIANS(CP$7))^2)+$D$7</f>
        <v>3.86812055311324</v>
      </c>
      <c r="CO92" s="123" t="n">
        <f aca="false">MIN($V$5,CN92)</f>
        <v>3.86812055311324</v>
      </c>
      <c r="CP92" s="112"/>
      <c r="CQ92" s="112" t="n">
        <f aca="false">CQ91+CQ$7/100</f>
        <v>1.68</v>
      </c>
      <c r="CR92" s="122" t="n">
        <f aca="false">CQ92+IF($I$3="Forward", $D$9, $G$9)</f>
        <v>1.68</v>
      </c>
      <c r="CS92" s="112" t="n">
        <f aca="false">CQ92*TAN(RADIANS(CU$7))-(IF($B$4, 9.807, 32.174)*CQ92^2)/(2*CT$7^2*COS(RADIANS(CU$7))^2)+$D$7</f>
        <v>3.86812055311324</v>
      </c>
      <c r="CT92" s="123" t="n">
        <f aca="false">MIN($V$5,CS92)</f>
        <v>3.86812055311324</v>
      </c>
      <c r="CU92" s="112"/>
      <c r="CV92" s="112" t="n">
        <f aca="false">CV91+CV$7/100</f>
        <v>1.68</v>
      </c>
      <c r="CW92" s="112" t="n">
        <f aca="false">CV92</f>
        <v>1.68</v>
      </c>
      <c r="CX92" s="112" t="n">
        <f aca="false">CV92*TAN(RADIANS(CZ$7))-(IF($B$4, 9.807, 32.174)*CV92^2)/(2*CY$7^2*COS(RADIANS(CZ$7))^2)+$D$7</f>
        <v>3.86812055311324</v>
      </c>
      <c r="CY92" s="123" t="n">
        <f aca="false">MIN($V$5,CX92)</f>
        <v>3.86812055311324</v>
      </c>
      <c r="CZ92" s="112"/>
      <c r="DA92" s="112" t="n">
        <f aca="false">DA91+DA$7/100</f>
        <v>1.68</v>
      </c>
      <c r="DB92" s="122" t="n">
        <f aca="false">DA92-IF($I$3="Forward", $D$9, $G$9)</f>
        <v>1.68</v>
      </c>
      <c r="DC92" s="112" t="n">
        <f aca="false">DA92*TAN(RADIANS(DE$7))-(IF($B$4, 9.807, 32.174)*DA92^2)/(2*DD$7^2*COS(RADIANS(DE$7))^2)+$D$7</f>
        <v>3.86812055311324</v>
      </c>
      <c r="DD92" s="123" t="n">
        <f aca="false">MIN($V$5,DC92)</f>
        <v>3.86812055311324</v>
      </c>
      <c r="DE92" s="112"/>
      <c r="DF92" s="112" t="n">
        <f aca="false">DF91+DF$7/100</f>
        <v>1.68</v>
      </c>
      <c r="DG92" s="122" t="n">
        <f aca="false">DF92+IF($I$3="Forward", $D$9, $G$9)</f>
        <v>1.68</v>
      </c>
      <c r="DH92" s="112" t="n">
        <f aca="false">DF92*TAN(RADIANS(DJ$7))-(IF($B$4, 9.807, 32.174)*DF92^2)/(2*DI$7^2*COS(RADIANS(DJ$7))^2)+$D$7</f>
        <v>3.86812055311324</v>
      </c>
      <c r="DI92" s="123" t="n">
        <f aca="false">MIN($V$5,DH92)</f>
        <v>3.86812055311324</v>
      </c>
      <c r="DJ92" s="112"/>
      <c r="DK92" s="112" t="n">
        <f aca="false">DK91+DK$7/100</f>
        <v>1.68</v>
      </c>
      <c r="DL92" s="112" t="n">
        <f aca="false">DK92</f>
        <v>1.68</v>
      </c>
      <c r="DM92" s="112" t="n">
        <f aca="false">DK92*TAN(RADIANS(DO$7))-(IF($B$4, 9.807, 32.174)*DK92^2)/(2*DN$7^2*COS(RADIANS(DO$7))^2)+$D$7</f>
        <v>3.86812055311324</v>
      </c>
      <c r="DN92" s="123" t="n">
        <f aca="false">MIN($V$5,DM92)</f>
        <v>3.86812055311324</v>
      </c>
      <c r="DO92" s="112"/>
      <c r="DP92" s="112" t="n">
        <f aca="false">DP91+DP$7/100</f>
        <v>1.68</v>
      </c>
      <c r="DQ92" s="122" t="n">
        <f aca="false">DP92-IF($I$3="Forward", $D$9, $G$9)</f>
        <v>1.68</v>
      </c>
      <c r="DR92" s="112" t="n">
        <f aca="false">DP92*TAN(RADIANS(DT$7))-(IF($B$4, 9.807, 32.174)*DP92^2)/(2*DS$7^2*COS(RADIANS(DT$7))^2)+$D$7</f>
        <v>3.86812055311324</v>
      </c>
      <c r="DS92" s="123" t="n">
        <f aca="false">MIN($V$5,DR92)</f>
        <v>3.86812055311324</v>
      </c>
      <c r="DT92" s="112"/>
      <c r="DU92" s="112" t="n">
        <f aca="false">DU91+DU$7/100</f>
        <v>1.68</v>
      </c>
      <c r="DV92" s="122" t="n">
        <f aca="false">DU92+IF($I$3="Forward", $D$9, $G$9)</f>
        <v>1.68</v>
      </c>
      <c r="DW92" s="112" t="n">
        <f aca="false">DU92*TAN(RADIANS(DY$7))-(IF($B$4, 9.807, 32.174)*DU92^2)/(2*DX$7^2*COS(RADIANS(DY$7))^2)+$D$7</f>
        <v>3.86812055311324</v>
      </c>
      <c r="DX92" s="123" t="n">
        <f aca="false">MIN($V$5,DW92)</f>
        <v>3.86812055311324</v>
      </c>
      <c r="DY92" s="112"/>
      <c r="DZ92" s="112" t="n">
        <f aca="false">DZ91+DZ$7/100</f>
        <v>1.68</v>
      </c>
      <c r="EA92" s="112" t="n">
        <f aca="false">DZ92</f>
        <v>1.68</v>
      </c>
      <c r="EB92" s="112" t="n">
        <f aca="false">DZ92*TAN(RADIANS(ED$7))-(IF($B$4, 9.807, 32.174)*DZ92^2)/(2*EC$7^2*COS(RADIANS(ED$7))^2)+$D$7</f>
        <v>3.86812055311324</v>
      </c>
      <c r="EC92" s="123" t="n">
        <f aca="false">MIN($V$5,EB92)</f>
        <v>3.86812055311324</v>
      </c>
      <c r="ED92" s="112"/>
      <c r="EE92" s="112" t="n">
        <f aca="false">EE91+EE$7/100</f>
        <v>1.68</v>
      </c>
      <c r="EF92" s="122" t="n">
        <f aca="false">EE92-IF($I$3="Forward", $D$9, $G$9)</f>
        <v>1.68</v>
      </c>
      <c r="EG92" s="112" t="n">
        <f aca="false">EE92*TAN(RADIANS(EI$7))-(IF($B$4, 9.807, 32.174)*EE92^2)/(2*EH$7^2*COS(RADIANS(EI$7))^2)+$D$7</f>
        <v>3.86812055311324</v>
      </c>
      <c r="EH92" s="123" t="n">
        <f aca="false">MIN($V$5,EG92)</f>
        <v>3.86812055311324</v>
      </c>
      <c r="EI92" s="112"/>
      <c r="EJ92" s="112" t="n">
        <f aca="false">EJ91+EJ$7/100</f>
        <v>1.68</v>
      </c>
      <c r="EK92" s="122" t="n">
        <f aca="false">EJ92+IF($I$3="Forward", $D$9, $G$9)</f>
        <v>1.68</v>
      </c>
      <c r="EL92" s="112" t="n">
        <f aca="false">EJ92*TAN(RADIANS(EN$7))-(IF($B$4, 9.807, 32.174)*EJ92^2)/(2*EM$7^2*COS(RADIANS(EN$7))^2)+$D$7</f>
        <v>3.86812055311324</v>
      </c>
      <c r="EM92" s="123" t="n">
        <f aca="false">MIN($V$5,EL92)</f>
        <v>3.86812055311324</v>
      </c>
      <c r="EN92" s="112"/>
      <c r="EO92" s="112" t="n">
        <f aca="false">EO91+EO$7/100</f>
        <v>1.68</v>
      </c>
      <c r="EP92" s="112" t="n">
        <f aca="false">EO92</f>
        <v>1.68</v>
      </c>
      <c r="EQ92" s="112" t="n">
        <f aca="false">EO92*TAN(RADIANS(ES$7))-(IF($B$4, 9.807, 32.174)*EO92^2)/(2*ER$7^2*COS(RADIANS(ES$7))^2)+$D$7</f>
        <v>3.86812055311324</v>
      </c>
      <c r="ER92" s="123" t="n">
        <f aca="false">MIN($V$5,EQ92)</f>
        <v>3.86812055311324</v>
      </c>
      <c r="ES92" s="112"/>
      <c r="ET92" s="112" t="n">
        <f aca="false">ET91+ET$7/100</f>
        <v>1.68</v>
      </c>
      <c r="EU92" s="122" t="n">
        <f aca="false">ET92-IF($I$3="Forward", $D$9, $G$9)</f>
        <v>1.68</v>
      </c>
      <c r="EV92" s="112" t="n">
        <f aca="false">ET92*TAN(RADIANS(EX$7))-(IF($B$4, 9.807, 32.174)*ET92^2)/(2*EW$7^2*COS(RADIANS(EX$7))^2)+$D$7</f>
        <v>3.86812055311324</v>
      </c>
      <c r="EW92" s="123" t="n">
        <f aca="false">MIN($V$5,EV92)</f>
        <v>3.86812055311324</v>
      </c>
      <c r="EX92" s="112"/>
    </row>
    <row r="93" s="131" customFormat="true" ht="15" hidden="false" customHeight="false" outlineLevel="0" collapsed="false">
      <c r="T93" s="112" t="n">
        <f aca="false">T92+T$7/100</f>
        <v>1.7</v>
      </c>
      <c r="U93" s="122" t="n">
        <f aca="false">T93+IF($I$3="Forward", $D$9, $G$9)</f>
        <v>1.7</v>
      </c>
      <c r="V93" s="112" t="n">
        <f aca="false">T93*TAN(RADIANS(X$7))-(IF($B$4, 9.807, 32.174)*T93^2)/(2*W$7^2*COS(RADIANS(X$7))^2)+$D$7</f>
        <v>3.79667686400251</v>
      </c>
      <c r="W93" s="123" t="n">
        <f aca="false">MIN($V$5,V93)</f>
        <v>3.79667686400251</v>
      </c>
      <c r="X93" s="112"/>
      <c r="Y93" s="112" t="n">
        <f aca="false">Y92+Y$7/100</f>
        <v>1.7</v>
      </c>
      <c r="Z93" s="112" t="n">
        <f aca="false">Y93</f>
        <v>1.7</v>
      </c>
      <c r="AA93" s="112" t="n">
        <f aca="false">Y93*TAN(RADIANS(AC$7))-(IF($B$4, 9.807, 32.174)*Y93^2)/(2*AB$7^2*COS(RADIANS(AC$7))^2)+$D$7</f>
        <v>3.79667686400251</v>
      </c>
      <c r="AB93" s="123" t="n">
        <f aca="false">MIN($V$5,AA93)</f>
        <v>3.79667686400251</v>
      </c>
      <c r="AC93" s="112"/>
      <c r="AD93" s="112" t="n">
        <f aca="false">AD92+AD$7/100</f>
        <v>1.7</v>
      </c>
      <c r="AE93" s="122" t="n">
        <f aca="false">AD93-IF($I$3="Forward", $D$9, $G$9)</f>
        <v>1.7</v>
      </c>
      <c r="AF93" s="112" t="n">
        <f aca="false">AD93*TAN(RADIANS(AH$7))-(IF($B$4, 9.807, 32.174)*AD93^2)/(2*AG$7^2*COS(RADIANS(AH$7))^2)+$D$7</f>
        <v>3.79667686400251</v>
      </c>
      <c r="AG93" s="123" t="n">
        <f aca="false">MIN($V$5,AF93)</f>
        <v>3.79667686400251</v>
      </c>
      <c r="AH93" s="112"/>
      <c r="AI93" s="112" t="n">
        <f aca="false">AI92+AI$7/100</f>
        <v>1.7</v>
      </c>
      <c r="AJ93" s="122" t="n">
        <f aca="false">AI93+IF($I$3="Forward", $D$9, $G$9)</f>
        <v>1.7</v>
      </c>
      <c r="AK93" s="112" t="n">
        <f aca="false">AI93*TAN(RADIANS(AM$7))-(IF($B$4, 9.807, 32.174)*AI93^2)/(2*AL$7^2*COS(RADIANS(AM$7))^2)+$D$7</f>
        <v>3.79667686400251</v>
      </c>
      <c r="AL93" s="123" t="n">
        <f aca="false">MIN($V$5,AK93)</f>
        <v>3.79667686400251</v>
      </c>
      <c r="AM93" s="112"/>
      <c r="AN93" s="112" t="n">
        <f aca="false">AN92+AN$7/100</f>
        <v>1.7</v>
      </c>
      <c r="AO93" s="112" t="n">
        <f aca="false">AN93</f>
        <v>1.7</v>
      </c>
      <c r="AP93" s="112" t="n">
        <f aca="false">AN93*TAN(RADIANS(AR$7))-(IF($B$4, 9.807, 32.174)*AN93^2)/(2*AQ$7^2*COS(RADIANS(AR$7))^2)+$D$7</f>
        <v>3.79667686400251</v>
      </c>
      <c r="AQ93" s="123" t="n">
        <f aca="false">MIN($V$5,AP93)</f>
        <v>3.79667686400251</v>
      </c>
      <c r="AR93" s="112"/>
      <c r="AS93" s="112" t="n">
        <f aca="false">AS92+AS$7/100</f>
        <v>1.7</v>
      </c>
      <c r="AT93" s="122" t="n">
        <f aca="false">AS93-IF($I$3="Forward", $D$9, $G$9)</f>
        <v>1.7</v>
      </c>
      <c r="AU93" s="112" t="n">
        <f aca="false">AS93*TAN(RADIANS(AW$7))-(IF($B$4, 9.807, 32.174)*AS93^2)/(2*AV$7^2*COS(RADIANS(AW$7))^2)+$D$7</f>
        <v>3.79667686400251</v>
      </c>
      <c r="AV93" s="123" t="n">
        <f aca="false">MIN($V$5,AU93)</f>
        <v>3.79667686400251</v>
      </c>
      <c r="AW93" s="112"/>
      <c r="AX93" s="112" t="n">
        <f aca="false">AX92+AX$7/100</f>
        <v>1.7</v>
      </c>
      <c r="AY93" s="122" t="n">
        <f aca="false">AX93+IF($I$3="Forward", $D$9, $G$9)</f>
        <v>1.7</v>
      </c>
      <c r="AZ93" s="112" t="n">
        <f aca="false">AX93*TAN(RADIANS(BB$7))-(IF($B$4, 9.807, 32.174)*AX93^2)/(2*BA$7^2*COS(RADIANS(BB$7))^2)+$D$7</f>
        <v>3.79667686400251</v>
      </c>
      <c r="BA93" s="123" t="n">
        <f aca="false">MIN($V$5,AZ93)</f>
        <v>3.79667686400251</v>
      </c>
      <c r="BB93" s="112"/>
      <c r="BC93" s="112" t="n">
        <f aca="false">BC92+BC$7/100</f>
        <v>1.7</v>
      </c>
      <c r="BD93" s="112" t="n">
        <f aca="false">BC93</f>
        <v>1.7</v>
      </c>
      <c r="BE93" s="112" t="n">
        <f aca="false">BC93*TAN(RADIANS(BG$7))-(IF($B$4, 9.807, 32.174)*BC93^2)/(2*BF$7^2*COS(RADIANS(BG$7))^2)+$D$7</f>
        <v>3.79667686400251</v>
      </c>
      <c r="BF93" s="123" t="n">
        <f aca="false">MIN($V$5,BE93)</f>
        <v>3.79667686400251</v>
      </c>
      <c r="BG93" s="112"/>
      <c r="BH93" s="112" t="n">
        <f aca="false">BH92+BH$7/100</f>
        <v>1.7</v>
      </c>
      <c r="BI93" s="122" t="n">
        <f aca="false">BH93-IF($I$3="Forward", $D$9, $G$9)</f>
        <v>1.7</v>
      </c>
      <c r="BJ93" s="112" t="n">
        <f aca="false">BH93*TAN(RADIANS(BL$7))-(IF($B$4, 9.807, 32.174)*BH93^2)/(2*BK$7^2*COS(RADIANS(BL$7))^2)+$D$7</f>
        <v>3.79667686400251</v>
      </c>
      <c r="BK93" s="123" t="n">
        <f aca="false">MIN($V$5,BJ93)</f>
        <v>3.79667686400251</v>
      </c>
      <c r="BL93" s="112"/>
      <c r="BM93" s="112" t="n">
        <f aca="false">BM92+BM$7/100</f>
        <v>1.7</v>
      </c>
      <c r="BN93" s="122" t="n">
        <f aca="false">BM93+IF($I$3="Forward", $D$9, $G$9)</f>
        <v>1.7</v>
      </c>
      <c r="BO93" s="112" t="n">
        <f aca="false">BM93*TAN(RADIANS(BQ$7))-(IF($B$4, 9.807, 32.174)*BM93^2)/(2*BP$7^2*COS(RADIANS(BQ$7))^2)+$D$7</f>
        <v>3.79667686400251</v>
      </c>
      <c r="BP93" s="123" t="n">
        <f aca="false">MIN($V$5,BO93)</f>
        <v>3.79667686400251</v>
      </c>
      <c r="BQ93" s="112"/>
      <c r="BR93" s="112" t="n">
        <f aca="false">BR92+BR$7/100</f>
        <v>1.7</v>
      </c>
      <c r="BS93" s="112" t="n">
        <f aca="false">BR93</f>
        <v>1.7</v>
      </c>
      <c r="BT93" s="112" t="n">
        <f aca="false">BR93*TAN(RADIANS(BV$7))-(IF($B$4, 9.807, 32.174)*BR93^2)/(2*BU$7^2*COS(RADIANS(BV$7))^2)+$D$7</f>
        <v>3.79667686400251</v>
      </c>
      <c r="BU93" s="123" t="n">
        <f aca="false">MIN($V$5,BT93)</f>
        <v>3.79667686400251</v>
      </c>
      <c r="BV93" s="112"/>
      <c r="BW93" s="112" t="n">
        <f aca="false">BW92+BW$7/100</f>
        <v>1.7</v>
      </c>
      <c r="BX93" s="122" t="n">
        <f aca="false">BW93-IF($I$3="Forward", $D$9, $G$9)</f>
        <v>1.7</v>
      </c>
      <c r="BY93" s="112" t="n">
        <f aca="false">BW93*TAN(RADIANS(CA$7))-(IF($B$4, 9.807, 32.174)*BW93^2)/(2*BZ$7^2*COS(RADIANS(CA$7))^2)+$D$7</f>
        <v>3.79667686400251</v>
      </c>
      <c r="BZ93" s="123" t="n">
        <f aca="false">MIN($V$5,BY93)</f>
        <v>3.79667686400251</v>
      </c>
      <c r="CA93" s="112"/>
      <c r="CB93" s="112" t="n">
        <f aca="false">CB92+CB$7/100</f>
        <v>1.7</v>
      </c>
      <c r="CC93" s="122" t="n">
        <f aca="false">CB93+IF($I$3="Forward", $D$9, $G$9)</f>
        <v>1.7</v>
      </c>
      <c r="CD93" s="112" t="n">
        <f aca="false">CB93*TAN(RADIANS(CF$7))-(IF($B$4, 9.807, 32.174)*CB93^2)/(2*CE$7^2*COS(RADIANS(CF$7))^2)+$D$7</f>
        <v>3.79667686400251</v>
      </c>
      <c r="CE93" s="123" t="n">
        <f aca="false">MIN($V$5,CD93)</f>
        <v>3.79667686400251</v>
      </c>
      <c r="CF93" s="112"/>
      <c r="CG93" s="124" t="n">
        <f aca="false">CG92+CG$7/100</f>
        <v>1.7</v>
      </c>
      <c r="CH93" s="124" t="n">
        <f aca="false">CG93</f>
        <v>1.7</v>
      </c>
      <c r="CI93" s="124" t="n">
        <f aca="false">CG93*TAN(RADIANS(CK$7))-(IF($B$4, 9.807, 32.174)*CG93^2)/(2*CJ$7^2*COS(RADIANS(CK$7))^2)+$D$7</f>
        <v>3.79667686400251</v>
      </c>
      <c r="CJ93" s="123" t="n">
        <f aca="false">MIN($V$5,CI93)</f>
        <v>3.79667686400251</v>
      </c>
      <c r="CK93" s="124"/>
      <c r="CL93" s="112" t="n">
        <f aca="false">CL92+CL$7/100</f>
        <v>1.7</v>
      </c>
      <c r="CM93" s="122" t="n">
        <f aca="false">CL93-IF($I$3="Forward", $D$9, $G$9)</f>
        <v>1.7</v>
      </c>
      <c r="CN93" s="112" t="n">
        <f aca="false">CL93*TAN(RADIANS(CP$7))-(IF($B$4, 9.807, 32.174)*CL93^2)/(2*CO$7^2*COS(RADIANS(CP$7))^2)+$D$7</f>
        <v>3.79667686400251</v>
      </c>
      <c r="CO93" s="123" t="n">
        <f aca="false">MIN($V$5,CN93)</f>
        <v>3.79667686400251</v>
      </c>
      <c r="CP93" s="112"/>
      <c r="CQ93" s="112" t="n">
        <f aca="false">CQ92+CQ$7/100</f>
        <v>1.7</v>
      </c>
      <c r="CR93" s="122" t="n">
        <f aca="false">CQ93+IF($I$3="Forward", $D$9, $G$9)</f>
        <v>1.7</v>
      </c>
      <c r="CS93" s="112" t="n">
        <f aca="false">CQ93*TAN(RADIANS(CU$7))-(IF($B$4, 9.807, 32.174)*CQ93^2)/(2*CT$7^2*COS(RADIANS(CU$7))^2)+$D$7</f>
        <v>3.79667686400251</v>
      </c>
      <c r="CT93" s="123" t="n">
        <f aca="false">MIN($V$5,CS93)</f>
        <v>3.79667686400251</v>
      </c>
      <c r="CU93" s="112"/>
      <c r="CV93" s="112" t="n">
        <f aca="false">CV92+CV$7/100</f>
        <v>1.7</v>
      </c>
      <c r="CW93" s="112" t="n">
        <f aca="false">CV93</f>
        <v>1.7</v>
      </c>
      <c r="CX93" s="112" t="n">
        <f aca="false">CV93*TAN(RADIANS(CZ$7))-(IF($B$4, 9.807, 32.174)*CV93^2)/(2*CY$7^2*COS(RADIANS(CZ$7))^2)+$D$7</f>
        <v>3.79667686400251</v>
      </c>
      <c r="CY93" s="123" t="n">
        <f aca="false">MIN($V$5,CX93)</f>
        <v>3.79667686400251</v>
      </c>
      <c r="CZ93" s="112"/>
      <c r="DA93" s="112" t="n">
        <f aca="false">DA92+DA$7/100</f>
        <v>1.7</v>
      </c>
      <c r="DB93" s="122" t="n">
        <f aca="false">DA93-IF($I$3="Forward", $D$9, $G$9)</f>
        <v>1.7</v>
      </c>
      <c r="DC93" s="112" t="n">
        <f aca="false">DA93*TAN(RADIANS(DE$7))-(IF($B$4, 9.807, 32.174)*DA93^2)/(2*DD$7^2*COS(RADIANS(DE$7))^2)+$D$7</f>
        <v>3.79667686400251</v>
      </c>
      <c r="DD93" s="123" t="n">
        <f aca="false">MIN($V$5,DC93)</f>
        <v>3.79667686400251</v>
      </c>
      <c r="DE93" s="112"/>
      <c r="DF93" s="112" t="n">
        <f aca="false">DF92+DF$7/100</f>
        <v>1.7</v>
      </c>
      <c r="DG93" s="122" t="n">
        <f aca="false">DF93+IF($I$3="Forward", $D$9, $G$9)</f>
        <v>1.7</v>
      </c>
      <c r="DH93" s="112" t="n">
        <f aca="false">DF93*TAN(RADIANS(DJ$7))-(IF($B$4, 9.807, 32.174)*DF93^2)/(2*DI$7^2*COS(RADIANS(DJ$7))^2)+$D$7</f>
        <v>3.79667686400251</v>
      </c>
      <c r="DI93" s="123" t="n">
        <f aca="false">MIN($V$5,DH93)</f>
        <v>3.79667686400251</v>
      </c>
      <c r="DJ93" s="112"/>
      <c r="DK93" s="112" t="n">
        <f aca="false">DK92+DK$7/100</f>
        <v>1.7</v>
      </c>
      <c r="DL93" s="112" t="n">
        <f aca="false">DK93</f>
        <v>1.7</v>
      </c>
      <c r="DM93" s="112" t="n">
        <f aca="false">DK93*TAN(RADIANS(DO$7))-(IF($B$4, 9.807, 32.174)*DK93^2)/(2*DN$7^2*COS(RADIANS(DO$7))^2)+$D$7</f>
        <v>3.79667686400251</v>
      </c>
      <c r="DN93" s="123" t="n">
        <f aca="false">MIN($V$5,DM93)</f>
        <v>3.79667686400251</v>
      </c>
      <c r="DO93" s="112"/>
      <c r="DP93" s="112" t="n">
        <f aca="false">DP92+DP$7/100</f>
        <v>1.7</v>
      </c>
      <c r="DQ93" s="122" t="n">
        <f aca="false">DP93-IF($I$3="Forward", $D$9, $G$9)</f>
        <v>1.7</v>
      </c>
      <c r="DR93" s="112" t="n">
        <f aca="false">DP93*TAN(RADIANS(DT$7))-(IF($B$4, 9.807, 32.174)*DP93^2)/(2*DS$7^2*COS(RADIANS(DT$7))^2)+$D$7</f>
        <v>3.79667686400251</v>
      </c>
      <c r="DS93" s="123" t="n">
        <f aca="false">MIN($V$5,DR93)</f>
        <v>3.79667686400251</v>
      </c>
      <c r="DT93" s="112"/>
      <c r="DU93" s="112" t="n">
        <f aca="false">DU92+DU$7/100</f>
        <v>1.7</v>
      </c>
      <c r="DV93" s="122" t="n">
        <f aca="false">DU93+IF($I$3="Forward", $D$9, $G$9)</f>
        <v>1.7</v>
      </c>
      <c r="DW93" s="112" t="n">
        <f aca="false">DU93*TAN(RADIANS(DY$7))-(IF($B$4, 9.807, 32.174)*DU93^2)/(2*DX$7^2*COS(RADIANS(DY$7))^2)+$D$7</f>
        <v>3.79667686400251</v>
      </c>
      <c r="DX93" s="123" t="n">
        <f aca="false">MIN($V$5,DW93)</f>
        <v>3.79667686400251</v>
      </c>
      <c r="DY93" s="112"/>
      <c r="DZ93" s="112" t="n">
        <f aca="false">DZ92+DZ$7/100</f>
        <v>1.7</v>
      </c>
      <c r="EA93" s="112" t="n">
        <f aca="false">DZ93</f>
        <v>1.7</v>
      </c>
      <c r="EB93" s="112" t="n">
        <f aca="false">DZ93*TAN(RADIANS(ED$7))-(IF($B$4, 9.807, 32.174)*DZ93^2)/(2*EC$7^2*COS(RADIANS(ED$7))^2)+$D$7</f>
        <v>3.79667686400251</v>
      </c>
      <c r="EC93" s="123" t="n">
        <f aca="false">MIN($V$5,EB93)</f>
        <v>3.79667686400251</v>
      </c>
      <c r="ED93" s="112"/>
      <c r="EE93" s="112" t="n">
        <f aca="false">EE92+EE$7/100</f>
        <v>1.7</v>
      </c>
      <c r="EF93" s="122" t="n">
        <f aca="false">EE93-IF($I$3="Forward", $D$9, $G$9)</f>
        <v>1.7</v>
      </c>
      <c r="EG93" s="112" t="n">
        <f aca="false">EE93*TAN(RADIANS(EI$7))-(IF($B$4, 9.807, 32.174)*EE93^2)/(2*EH$7^2*COS(RADIANS(EI$7))^2)+$D$7</f>
        <v>3.79667686400251</v>
      </c>
      <c r="EH93" s="123" t="n">
        <f aca="false">MIN($V$5,EG93)</f>
        <v>3.79667686400251</v>
      </c>
      <c r="EI93" s="112"/>
      <c r="EJ93" s="112" t="n">
        <f aca="false">EJ92+EJ$7/100</f>
        <v>1.7</v>
      </c>
      <c r="EK93" s="122" t="n">
        <f aca="false">EJ93+IF($I$3="Forward", $D$9, $G$9)</f>
        <v>1.7</v>
      </c>
      <c r="EL93" s="112" t="n">
        <f aca="false">EJ93*TAN(RADIANS(EN$7))-(IF($B$4, 9.807, 32.174)*EJ93^2)/(2*EM$7^2*COS(RADIANS(EN$7))^2)+$D$7</f>
        <v>3.79667686400251</v>
      </c>
      <c r="EM93" s="123" t="n">
        <f aca="false">MIN($V$5,EL93)</f>
        <v>3.79667686400251</v>
      </c>
      <c r="EN93" s="112"/>
      <c r="EO93" s="112" t="n">
        <f aca="false">EO92+EO$7/100</f>
        <v>1.7</v>
      </c>
      <c r="EP93" s="112" t="n">
        <f aca="false">EO93</f>
        <v>1.7</v>
      </c>
      <c r="EQ93" s="112" t="n">
        <f aca="false">EO93*TAN(RADIANS(ES$7))-(IF($B$4, 9.807, 32.174)*EO93^2)/(2*ER$7^2*COS(RADIANS(ES$7))^2)+$D$7</f>
        <v>3.79667686400251</v>
      </c>
      <c r="ER93" s="123" t="n">
        <f aca="false">MIN($V$5,EQ93)</f>
        <v>3.79667686400251</v>
      </c>
      <c r="ES93" s="112"/>
      <c r="ET93" s="112" t="n">
        <f aca="false">ET92+ET$7/100</f>
        <v>1.7</v>
      </c>
      <c r="EU93" s="122" t="n">
        <f aca="false">ET93-IF($I$3="Forward", $D$9, $G$9)</f>
        <v>1.7</v>
      </c>
      <c r="EV93" s="112" t="n">
        <f aca="false">ET93*TAN(RADIANS(EX$7))-(IF($B$4, 9.807, 32.174)*ET93^2)/(2*EW$7^2*COS(RADIANS(EX$7))^2)+$D$7</f>
        <v>3.79667686400251</v>
      </c>
      <c r="EW93" s="123" t="n">
        <f aca="false">MIN($V$5,EV93)</f>
        <v>3.79667686400251</v>
      </c>
      <c r="EX93" s="112"/>
    </row>
    <row r="94" s="131" customFormat="true" ht="15" hidden="false" customHeight="false" outlineLevel="0" collapsed="false">
      <c r="T94" s="112" t="n">
        <f aca="false">T93+T$7/100</f>
        <v>1.72</v>
      </c>
      <c r="U94" s="122" t="n">
        <f aca="false">T94+IF($I$3="Forward", $D$9, $G$9)</f>
        <v>1.72</v>
      </c>
      <c r="V94" s="112" t="n">
        <f aca="false">T94*TAN(RADIANS(X$7))-(IF($B$4, 9.807, 32.174)*T94^2)/(2*W$7^2*COS(RADIANS(X$7))^2)+$D$7</f>
        <v>3.72252466216394</v>
      </c>
      <c r="W94" s="123" t="n">
        <f aca="false">MIN($V$5,V94)</f>
        <v>3.72252466216394</v>
      </c>
      <c r="X94" s="112"/>
      <c r="Y94" s="112" t="n">
        <f aca="false">Y93+Y$7/100</f>
        <v>1.72</v>
      </c>
      <c r="Z94" s="112" t="n">
        <f aca="false">Y94</f>
        <v>1.72</v>
      </c>
      <c r="AA94" s="112" t="n">
        <f aca="false">Y94*TAN(RADIANS(AC$7))-(IF($B$4, 9.807, 32.174)*Y94^2)/(2*AB$7^2*COS(RADIANS(AC$7))^2)+$D$7</f>
        <v>3.72252466216394</v>
      </c>
      <c r="AB94" s="123" t="n">
        <f aca="false">MIN($V$5,AA94)</f>
        <v>3.72252466216394</v>
      </c>
      <c r="AC94" s="112"/>
      <c r="AD94" s="112" t="n">
        <f aca="false">AD93+AD$7/100</f>
        <v>1.72</v>
      </c>
      <c r="AE94" s="122" t="n">
        <f aca="false">AD94-IF($I$3="Forward", $D$9, $G$9)</f>
        <v>1.72</v>
      </c>
      <c r="AF94" s="112" t="n">
        <f aca="false">AD94*TAN(RADIANS(AH$7))-(IF($B$4, 9.807, 32.174)*AD94^2)/(2*AG$7^2*COS(RADIANS(AH$7))^2)+$D$7</f>
        <v>3.72252466216394</v>
      </c>
      <c r="AG94" s="123" t="n">
        <f aca="false">MIN($V$5,AF94)</f>
        <v>3.72252466216394</v>
      </c>
      <c r="AH94" s="112"/>
      <c r="AI94" s="112" t="n">
        <f aca="false">AI93+AI$7/100</f>
        <v>1.72</v>
      </c>
      <c r="AJ94" s="122" t="n">
        <f aca="false">AI94+IF($I$3="Forward", $D$9, $G$9)</f>
        <v>1.72</v>
      </c>
      <c r="AK94" s="112" t="n">
        <f aca="false">AI94*TAN(RADIANS(AM$7))-(IF($B$4, 9.807, 32.174)*AI94^2)/(2*AL$7^2*COS(RADIANS(AM$7))^2)+$D$7</f>
        <v>3.72252466216394</v>
      </c>
      <c r="AL94" s="123" t="n">
        <f aca="false">MIN($V$5,AK94)</f>
        <v>3.72252466216394</v>
      </c>
      <c r="AM94" s="112"/>
      <c r="AN94" s="112" t="n">
        <f aca="false">AN93+AN$7/100</f>
        <v>1.72</v>
      </c>
      <c r="AO94" s="112" t="n">
        <f aca="false">AN94</f>
        <v>1.72</v>
      </c>
      <c r="AP94" s="112" t="n">
        <f aca="false">AN94*TAN(RADIANS(AR$7))-(IF($B$4, 9.807, 32.174)*AN94^2)/(2*AQ$7^2*COS(RADIANS(AR$7))^2)+$D$7</f>
        <v>3.72252466216394</v>
      </c>
      <c r="AQ94" s="123" t="n">
        <f aca="false">MIN($V$5,AP94)</f>
        <v>3.72252466216394</v>
      </c>
      <c r="AR94" s="112"/>
      <c r="AS94" s="112" t="n">
        <f aca="false">AS93+AS$7/100</f>
        <v>1.72</v>
      </c>
      <c r="AT94" s="122" t="n">
        <f aca="false">AS94-IF($I$3="Forward", $D$9, $G$9)</f>
        <v>1.72</v>
      </c>
      <c r="AU94" s="112" t="n">
        <f aca="false">AS94*TAN(RADIANS(AW$7))-(IF($B$4, 9.807, 32.174)*AS94^2)/(2*AV$7^2*COS(RADIANS(AW$7))^2)+$D$7</f>
        <v>3.72252466216394</v>
      </c>
      <c r="AV94" s="123" t="n">
        <f aca="false">MIN($V$5,AU94)</f>
        <v>3.72252466216394</v>
      </c>
      <c r="AW94" s="112"/>
      <c r="AX94" s="112" t="n">
        <f aca="false">AX93+AX$7/100</f>
        <v>1.72</v>
      </c>
      <c r="AY94" s="122" t="n">
        <f aca="false">AX94+IF($I$3="Forward", $D$9, $G$9)</f>
        <v>1.72</v>
      </c>
      <c r="AZ94" s="112" t="n">
        <f aca="false">AX94*TAN(RADIANS(BB$7))-(IF($B$4, 9.807, 32.174)*AX94^2)/(2*BA$7^2*COS(RADIANS(BB$7))^2)+$D$7</f>
        <v>3.72252466216394</v>
      </c>
      <c r="BA94" s="123" t="n">
        <f aca="false">MIN($V$5,AZ94)</f>
        <v>3.72252466216394</v>
      </c>
      <c r="BB94" s="112"/>
      <c r="BC94" s="112" t="n">
        <f aca="false">BC93+BC$7/100</f>
        <v>1.72</v>
      </c>
      <c r="BD94" s="112" t="n">
        <f aca="false">BC94</f>
        <v>1.72</v>
      </c>
      <c r="BE94" s="112" t="n">
        <f aca="false">BC94*TAN(RADIANS(BG$7))-(IF($B$4, 9.807, 32.174)*BC94^2)/(2*BF$7^2*COS(RADIANS(BG$7))^2)+$D$7</f>
        <v>3.72252466216394</v>
      </c>
      <c r="BF94" s="123" t="n">
        <f aca="false">MIN($V$5,BE94)</f>
        <v>3.72252466216394</v>
      </c>
      <c r="BG94" s="112"/>
      <c r="BH94" s="112" t="n">
        <f aca="false">BH93+BH$7/100</f>
        <v>1.72</v>
      </c>
      <c r="BI94" s="122" t="n">
        <f aca="false">BH94-IF($I$3="Forward", $D$9, $G$9)</f>
        <v>1.72</v>
      </c>
      <c r="BJ94" s="112" t="n">
        <f aca="false">BH94*TAN(RADIANS(BL$7))-(IF($B$4, 9.807, 32.174)*BH94^2)/(2*BK$7^2*COS(RADIANS(BL$7))^2)+$D$7</f>
        <v>3.72252466216394</v>
      </c>
      <c r="BK94" s="123" t="n">
        <f aca="false">MIN($V$5,BJ94)</f>
        <v>3.72252466216394</v>
      </c>
      <c r="BL94" s="112"/>
      <c r="BM94" s="112" t="n">
        <f aca="false">BM93+BM$7/100</f>
        <v>1.72</v>
      </c>
      <c r="BN94" s="122" t="n">
        <f aca="false">BM94+IF($I$3="Forward", $D$9, $G$9)</f>
        <v>1.72</v>
      </c>
      <c r="BO94" s="112" t="n">
        <f aca="false">BM94*TAN(RADIANS(BQ$7))-(IF($B$4, 9.807, 32.174)*BM94^2)/(2*BP$7^2*COS(RADIANS(BQ$7))^2)+$D$7</f>
        <v>3.72252466216394</v>
      </c>
      <c r="BP94" s="123" t="n">
        <f aca="false">MIN($V$5,BO94)</f>
        <v>3.72252466216394</v>
      </c>
      <c r="BQ94" s="112"/>
      <c r="BR94" s="112" t="n">
        <f aca="false">BR93+BR$7/100</f>
        <v>1.72</v>
      </c>
      <c r="BS94" s="112" t="n">
        <f aca="false">BR94</f>
        <v>1.72</v>
      </c>
      <c r="BT94" s="112" t="n">
        <f aca="false">BR94*TAN(RADIANS(BV$7))-(IF($B$4, 9.807, 32.174)*BR94^2)/(2*BU$7^2*COS(RADIANS(BV$7))^2)+$D$7</f>
        <v>3.72252466216394</v>
      </c>
      <c r="BU94" s="123" t="n">
        <f aca="false">MIN($V$5,BT94)</f>
        <v>3.72252466216394</v>
      </c>
      <c r="BV94" s="112"/>
      <c r="BW94" s="112" t="n">
        <f aca="false">BW93+BW$7/100</f>
        <v>1.72</v>
      </c>
      <c r="BX94" s="122" t="n">
        <f aca="false">BW94-IF($I$3="Forward", $D$9, $G$9)</f>
        <v>1.72</v>
      </c>
      <c r="BY94" s="112" t="n">
        <f aca="false">BW94*TAN(RADIANS(CA$7))-(IF($B$4, 9.807, 32.174)*BW94^2)/(2*BZ$7^2*COS(RADIANS(CA$7))^2)+$D$7</f>
        <v>3.72252466216394</v>
      </c>
      <c r="BZ94" s="123" t="n">
        <f aca="false">MIN($V$5,BY94)</f>
        <v>3.72252466216394</v>
      </c>
      <c r="CA94" s="112"/>
      <c r="CB94" s="112" t="n">
        <f aca="false">CB93+CB$7/100</f>
        <v>1.72</v>
      </c>
      <c r="CC94" s="122" t="n">
        <f aca="false">CB94+IF($I$3="Forward", $D$9, $G$9)</f>
        <v>1.72</v>
      </c>
      <c r="CD94" s="112" t="n">
        <f aca="false">CB94*TAN(RADIANS(CF$7))-(IF($B$4, 9.807, 32.174)*CB94^2)/(2*CE$7^2*COS(RADIANS(CF$7))^2)+$D$7</f>
        <v>3.72252466216394</v>
      </c>
      <c r="CE94" s="123" t="n">
        <f aca="false">MIN($V$5,CD94)</f>
        <v>3.72252466216394</v>
      </c>
      <c r="CF94" s="112"/>
      <c r="CG94" s="124" t="n">
        <f aca="false">CG93+CG$7/100</f>
        <v>1.72</v>
      </c>
      <c r="CH94" s="124" t="n">
        <f aca="false">CG94</f>
        <v>1.72</v>
      </c>
      <c r="CI94" s="124" t="n">
        <f aca="false">CG94*TAN(RADIANS(CK$7))-(IF($B$4, 9.807, 32.174)*CG94^2)/(2*CJ$7^2*COS(RADIANS(CK$7))^2)+$D$7</f>
        <v>3.72252466216394</v>
      </c>
      <c r="CJ94" s="123" t="n">
        <f aca="false">MIN($V$5,CI94)</f>
        <v>3.72252466216394</v>
      </c>
      <c r="CK94" s="124"/>
      <c r="CL94" s="112" t="n">
        <f aca="false">CL93+CL$7/100</f>
        <v>1.72</v>
      </c>
      <c r="CM94" s="122" t="n">
        <f aca="false">CL94-IF($I$3="Forward", $D$9, $G$9)</f>
        <v>1.72</v>
      </c>
      <c r="CN94" s="112" t="n">
        <f aca="false">CL94*TAN(RADIANS(CP$7))-(IF($B$4, 9.807, 32.174)*CL94^2)/(2*CO$7^2*COS(RADIANS(CP$7))^2)+$D$7</f>
        <v>3.72252466216394</v>
      </c>
      <c r="CO94" s="123" t="n">
        <f aca="false">MIN($V$5,CN94)</f>
        <v>3.72252466216394</v>
      </c>
      <c r="CP94" s="112"/>
      <c r="CQ94" s="112" t="n">
        <f aca="false">CQ93+CQ$7/100</f>
        <v>1.72</v>
      </c>
      <c r="CR94" s="122" t="n">
        <f aca="false">CQ94+IF($I$3="Forward", $D$9, $G$9)</f>
        <v>1.72</v>
      </c>
      <c r="CS94" s="112" t="n">
        <f aca="false">CQ94*TAN(RADIANS(CU$7))-(IF($B$4, 9.807, 32.174)*CQ94^2)/(2*CT$7^2*COS(RADIANS(CU$7))^2)+$D$7</f>
        <v>3.72252466216394</v>
      </c>
      <c r="CT94" s="123" t="n">
        <f aca="false">MIN($V$5,CS94)</f>
        <v>3.72252466216394</v>
      </c>
      <c r="CU94" s="112"/>
      <c r="CV94" s="112" t="n">
        <f aca="false">CV93+CV$7/100</f>
        <v>1.72</v>
      </c>
      <c r="CW94" s="112" t="n">
        <f aca="false">CV94</f>
        <v>1.72</v>
      </c>
      <c r="CX94" s="112" t="n">
        <f aca="false">CV94*TAN(RADIANS(CZ$7))-(IF($B$4, 9.807, 32.174)*CV94^2)/(2*CY$7^2*COS(RADIANS(CZ$7))^2)+$D$7</f>
        <v>3.72252466216394</v>
      </c>
      <c r="CY94" s="123" t="n">
        <f aca="false">MIN($V$5,CX94)</f>
        <v>3.72252466216394</v>
      </c>
      <c r="CZ94" s="112"/>
      <c r="DA94" s="112" t="n">
        <f aca="false">DA93+DA$7/100</f>
        <v>1.72</v>
      </c>
      <c r="DB94" s="122" t="n">
        <f aca="false">DA94-IF($I$3="Forward", $D$9, $G$9)</f>
        <v>1.72</v>
      </c>
      <c r="DC94" s="112" t="n">
        <f aca="false">DA94*TAN(RADIANS(DE$7))-(IF($B$4, 9.807, 32.174)*DA94^2)/(2*DD$7^2*COS(RADIANS(DE$7))^2)+$D$7</f>
        <v>3.72252466216394</v>
      </c>
      <c r="DD94" s="123" t="n">
        <f aca="false">MIN($V$5,DC94)</f>
        <v>3.72252466216394</v>
      </c>
      <c r="DE94" s="112"/>
      <c r="DF94" s="112" t="n">
        <f aca="false">DF93+DF$7/100</f>
        <v>1.72</v>
      </c>
      <c r="DG94" s="122" t="n">
        <f aca="false">DF94+IF($I$3="Forward", $D$9, $G$9)</f>
        <v>1.72</v>
      </c>
      <c r="DH94" s="112" t="n">
        <f aca="false">DF94*TAN(RADIANS(DJ$7))-(IF($B$4, 9.807, 32.174)*DF94^2)/(2*DI$7^2*COS(RADIANS(DJ$7))^2)+$D$7</f>
        <v>3.72252466216394</v>
      </c>
      <c r="DI94" s="123" t="n">
        <f aca="false">MIN($V$5,DH94)</f>
        <v>3.72252466216394</v>
      </c>
      <c r="DJ94" s="112"/>
      <c r="DK94" s="112" t="n">
        <f aca="false">DK93+DK$7/100</f>
        <v>1.72</v>
      </c>
      <c r="DL94" s="112" t="n">
        <f aca="false">DK94</f>
        <v>1.72</v>
      </c>
      <c r="DM94" s="112" t="n">
        <f aca="false">DK94*TAN(RADIANS(DO$7))-(IF($B$4, 9.807, 32.174)*DK94^2)/(2*DN$7^2*COS(RADIANS(DO$7))^2)+$D$7</f>
        <v>3.72252466216394</v>
      </c>
      <c r="DN94" s="123" t="n">
        <f aca="false">MIN($V$5,DM94)</f>
        <v>3.72252466216394</v>
      </c>
      <c r="DO94" s="112"/>
      <c r="DP94" s="112" t="n">
        <f aca="false">DP93+DP$7/100</f>
        <v>1.72</v>
      </c>
      <c r="DQ94" s="122" t="n">
        <f aca="false">DP94-IF($I$3="Forward", $D$9, $G$9)</f>
        <v>1.72</v>
      </c>
      <c r="DR94" s="112" t="n">
        <f aca="false">DP94*TAN(RADIANS(DT$7))-(IF($B$4, 9.807, 32.174)*DP94^2)/(2*DS$7^2*COS(RADIANS(DT$7))^2)+$D$7</f>
        <v>3.72252466216394</v>
      </c>
      <c r="DS94" s="123" t="n">
        <f aca="false">MIN($V$5,DR94)</f>
        <v>3.72252466216394</v>
      </c>
      <c r="DT94" s="112"/>
      <c r="DU94" s="112" t="n">
        <f aca="false">DU93+DU$7/100</f>
        <v>1.72</v>
      </c>
      <c r="DV94" s="122" t="n">
        <f aca="false">DU94+IF($I$3="Forward", $D$9, $G$9)</f>
        <v>1.72</v>
      </c>
      <c r="DW94" s="112" t="n">
        <f aca="false">DU94*TAN(RADIANS(DY$7))-(IF($B$4, 9.807, 32.174)*DU94^2)/(2*DX$7^2*COS(RADIANS(DY$7))^2)+$D$7</f>
        <v>3.72252466216394</v>
      </c>
      <c r="DX94" s="123" t="n">
        <f aca="false">MIN($V$5,DW94)</f>
        <v>3.72252466216394</v>
      </c>
      <c r="DY94" s="112"/>
      <c r="DZ94" s="112" t="n">
        <f aca="false">DZ93+DZ$7/100</f>
        <v>1.72</v>
      </c>
      <c r="EA94" s="112" t="n">
        <f aca="false">DZ94</f>
        <v>1.72</v>
      </c>
      <c r="EB94" s="112" t="n">
        <f aca="false">DZ94*TAN(RADIANS(ED$7))-(IF($B$4, 9.807, 32.174)*DZ94^2)/(2*EC$7^2*COS(RADIANS(ED$7))^2)+$D$7</f>
        <v>3.72252466216394</v>
      </c>
      <c r="EC94" s="123" t="n">
        <f aca="false">MIN($V$5,EB94)</f>
        <v>3.72252466216394</v>
      </c>
      <c r="ED94" s="112"/>
      <c r="EE94" s="112" t="n">
        <f aca="false">EE93+EE$7/100</f>
        <v>1.72</v>
      </c>
      <c r="EF94" s="122" t="n">
        <f aca="false">EE94-IF($I$3="Forward", $D$9, $G$9)</f>
        <v>1.72</v>
      </c>
      <c r="EG94" s="112" t="n">
        <f aca="false">EE94*TAN(RADIANS(EI$7))-(IF($B$4, 9.807, 32.174)*EE94^2)/(2*EH$7^2*COS(RADIANS(EI$7))^2)+$D$7</f>
        <v>3.72252466216394</v>
      </c>
      <c r="EH94" s="123" t="n">
        <f aca="false">MIN($V$5,EG94)</f>
        <v>3.72252466216394</v>
      </c>
      <c r="EI94" s="112"/>
      <c r="EJ94" s="112" t="n">
        <f aca="false">EJ93+EJ$7/100</f>
        <v>1.72</v>
      </c>
      <c r="EK94" s="122" t="n">
        <f aca="false">EJ94+IF($I$3="Forward", $D$9, $G$9)</f>
        <v>1.72</v>
      </c>
      <c r="EL94" s="112" t="n">
        <f aca="false">EJ94*TAN(RADIANS(EN$7))-(IF($B$4, 9.807, 32.174)*EJ94^2)/(2*EM$7^2*COS(RADIANS(EN$7))^2)+$D$7</f>
        <v>3.72252466216394</v>
      </c>
      <c r="EM94" s="123" t="n">
        <f aca="false">MIN($V$5,EL94)</f>
        <v>3.72252466216394</v>
      </c>
      <c r="EN94" s="112"/>
      <c r="EO94" s="112" t="n">
        <f aca="false">EO93+EO$7/100</f>
        <v>1.72</v>
      </c>
      <c r="EP94" s="112" t="n">
        <f aca="false">EO94</f>
        <v>1.72</v>
      </c>
      <c r="EQ94" s="112" t="n">
        <f aca="false">EO94*TAN(RADIANS(ES$7))-(IF($B$4, 9.807, 32.174)*EO94^2)/(2*ER$7^2*COS(RADIANS(ES$7))^2)+$D$7</f>
        <v>3.72252466216394</v>
      </c>
      <c r="ER94" s="123" t="n">
        <f aca="false">MIN($V$5,EQ94)</f>
        <v>3.72252466216394</v>
      </c>
      <c r="ES94" s="112"/>
      <c r="ET94" s="112" t="n">
        <f aca="false">ET93+ET$7/100</f>
        <v>1.72</v>
      </c>
      <c r="EU94" s="122" t="n">
        <f aca="false">ET94-IF($I$3="Forward", $D$9, $G$9)</f>
        <v>1.72</v>
      </c>
      <c r="EV94" s="112" t="n">
        <f aca="false">ET94*TAN(RADIANS(EX$7))-(IF($B$4, 9.807, 32.174)*ET94^2)/(2*EW$7^2*COS(RADIANS(EX$7))^2)+$D$7</f>
        <v>3.72252466216394</v>
      </c>
      <c r="EW94" s="123" t="n">
        <f aca="false">MIN($V$5,EV94)</f>
        <v>3.72252466216394</v>
      </c>
      <c r="EX94" s="112"/>
    </row>
    <row r="95" s="131" customFormat="true" ht="15" hidden="false" customHeight="false" outlineLevel="0" collapsed="false">
      <c r="T95" s="112" t="n">
        <f aca="false">T94+T$7/100</f>
        <v>1.74</v>
      </c>
      <c r="U95" s="122" t="n">
        <f aca="false">T95+IF($I$3="Forward", $D$9, $G$9)</f>
        <v>1.74</v>
      </c>
      <c r="V95" s="112" t="n">
        <f aca="false">T95*TAN(RADIANS(X$7))-(IF($B$4, 9.807, 32.174)*T95^2)/(2*W$7^2*COS(RADIANS(X$7))^2)+$D$7</f>
        <v>3.64566394759752</v>
      </c>
      <c r="W95" s="123" t="n">
        <f aca="false">MIN($V$5,V95)</f>
        <v>3.64566394759752</v>
      </c>
      <c r="X95" s="112"/>
      <c r="Y95" s="112" t="n">
        <f aca="false">Y94+Y$7/100</f>
        <v>1.74</v>
      </c>
      <c r="Z95" s="112" t="n">
        <f aca="false">Y95</f>
        <v>1.74</v>
      </c>
      <c r="AA95" s="112" t="n">
        <f aca="false">Y95*TAN(RADIANS(AC$7))-(IF($B$4, 9.807, 32.174)*Y95^2)/(2*AB$7^2*COS(RADIANS(AC$7))^2)+$D$7</f>
        <v>3.64566394759752</v>
      </c>
      <c r="AB95" s="123" t="n">
        <f aca="false">MIN($V$5,AA95)</f>
        <v>3.64566394759752</v>
      </c>
      <c r="AC95" s="112"/>
      <c r="AD95" s="112" t="n">
        <f aca="false">AD94+AD$7/100</f>
        <v>1.74</v>
      </c>
      <c r="AE95" s="122" t="n">
        <f aca="false">AD95-IF($I$3="Forward", $D$9, $G$9)</f>
        <v>1.74</v>
      </c>
      <c r="AF95" s="112" t="n">
        <f aca="false">AD95*TAN(RADIANS(AH$7))-(IF($B$4, 9.807, 32.174)*AD95^2)/(2*AG$7^2*COS(RADIANS(AH$7))^2)+$D$7</f>
        <v>3.64566394759752</v>
      </c>
      <c r="AG95" s="123" t="n">
        <f aca="false">MIN($V$5,AF95)</f>
        <v>3.64566394759752</v>
      </c>
      <c r="AH95" s="112"/>
      <c r="AI95" s="112" t="n">
        <f aca="false">AI94+AI$7/100</f>
        <v>1.74</v>
      </c>
      <c r="AJ95" s="122" t="n">
        <f aca="false">AI95+IF($I$3="Forward", $D$9, $G$9)</f>
        <v>1.74</v>
      </c>
      <c r="AK95" s="112" t="n">
        <f aca="false">AI95*TAN(RADIANS(AM$7))-(IF($B$4, 9.807, 32.174)*AI95^2)/(2*AL$7^2*COS(RADIANS(AM$7))^2)+$D$7</f>
        <v>3.64566394759752</v>
      </c>
      <c r="AL95" s="123" t="n">
        <f aca="false">MIN($V$5,AK95)</f>
        <v>3.64566394759752</v>
      </c>
      <c r="AM95" s="112"/>
      <c r="AN95" s="112" t="n">
        <f aca="false">AN94+AN$7/100</f>
        <v>1.74</v>
      </c>
      <c r="AO95" s="112" t="n">
        <f aca="false">AN95</f>
        <v>1.74</v>
      </c>
      <c r="AP95" s="112" t="n">
        <f aca="false">AN95*TAN(RADIANS(AR$7))-(IF($B$4, 9.807, 32.174)*AN95^2)/(2*AQ$7^2*COS(RADIANS(AR$7))^2)+$D$7</f>
        <v>3.64566394759752</v>
      </c>
      <c r="AQ95" s="123" t="n">
        <f aca="false">MIN($V$5,AP95)</f>
        <v>3.64566394759752</v>
      </c>
      <c r="AR95" s="112"/>
      <c r="AS95" s="112" t="n">
        <f aca="false">AS94+AS$7/100</f>
        <v>1.74</v>
      </c>
      <c r="AT95" s="122" t="n">
        <f aca="false">AS95-IF($I$3="Forward", $D$9, $G$9)</f>
        <v>1.74</v>
      </c>
      <c r="AU95" s="112" t="n">
        <f aca="false">AS95*TAN(RADIANS(AW$7))-(IF($B$4, 9.807, 32.174)*AS95^2)/(2*AV$7^2*COS(RADIANS(AW$7))^2)+$D$7</f>
        <v>3.64566394759752</v>
      </c>
      <c r="AV95" s="123" t="n">
        <f aca="false">MIN($V$5,AU95)</f>
        <v>3.64566394759752</v>
      </c>
      <c r="AW95" s="112"/>
      <c r="AX95" s="112" t="n">
        <f aca="false">AX94+AX$7/100</f>
        <v>1.74</v>
      </c>
      <c r="AY95" s="122" t="n">
        <f aca="false">AX95+IF($I$3="Forward", $D$9, $G$9)</f>
        <v>1.74</v>
      </c>
      <c r="AZ95" s="112" t="n">
        <f aca="false">AX95*TAN(RADIANS(BB$7))-(IF($B$4, 9.807, 32.174)*AX95^2)/(2*BA$7^2*COS(RADIANS(BB$7))^2)+$D$7</f>
        <v>3.64566394759752</v>
      </c>
      <c r="BA95" s="123" t="n">
        <f aca="false">MIN($V$5,AZ95)</f>
        <v>3.64566394759752</v>
      </c>
      <c r="BB95" s="112"/>
      <c r="BC95" s="112" t="n">
        <f aca="false">BC94+BC$7/100</f>
        <v>1.74</v>
      </c>
      <c r="BD95" s="112" t="n">
        <f aca="false">BC95</f>
        <v>1.74</v>
      </c>
      <c r="BE95" s="112" t="n">
        <f aca="false">BC95*TAN(RADIANS(BG$7))-(IF($B$4, 9.807, 32.174)*BC95^2)/(2*BF$7^2*COS(RADIANS(BG$7))^2)+$D$7</f>
        <v>3.64566394759752</v>
      </c>
      <c r="BF95" s="123" t="n">
        <f aca="false">MIN($V$5,BE95)</f>
        <v>3.64566394759752</v>
      </c>
      <c r="BG95" s="112"/>
      <c r="BH95" s="112" t="n">
        <f aca="false">BH94+BH$7/100</f>
        <v>1.74</v>
      </c>
      <c r="BI95" s="122" t="n">
        <f aca="false">BH95-IF($I$3="Forward", $D$9, $G$9)</f>
        <v>1.74</v>
      </c>
      <c r="BJ95" s="112" t="n">
        <f aca="false">BH95*TAN(RADIANS(BL$7))-(IF($B$4, 9.807, 32.174)*BH95^2)/(2*BK$7^2*COS(RADIANS(BL$7))^2)+$D$7</f>
        <v>3.64566394759752</v>
      </c>
      <c r="BK95" s="123" t="n">
        <f aca="false">MIN($V$5,BJ95)</f>
        <v>3.64566394759752</v>
      </c>
      <c r="BL95" s="112"/>
      <c r="BM95" s="112" t="n">
        <f aca="false">BM94+BM$7/100</f>
        <v>1.74</v>
      </c>
      <c r="BN95" s="122" t="n">
        <f aca="false">BM95+IF($I$3="Forward", $D$9, $G$9)</f>
        <v>1.74</v>
      </c>
      <c r="BO95" s="112" t="n">
        <f aca="false">BM95*TAN(RADIANS(BQ$7))-(IF($B$4, 9.807, 32.174)*BM95^2)/(2*BP$7^2*COS(RADIANS(BQ$7))^2)+$D$7</f>
        <v>3.64566394759752</v>
      </c>
      <c r="BP95" s="123" t="n">
        <f aca="false">MIN($V$5,BO95)</f>
        <v>3.64566394759752</v>
      </c>
      <c r="BQ95" s="112"/>
      <c r="BR95" s="112" t="n">
        <f aca="false">BR94+BR$7/100</f>
        <v>1.74</v>
      </c>
      <c r="BS95" s="112" t="n">
        <f aca="false">BR95</f>
        <v>1.74</v>
      </c>
      <c r="BT95" s="112" t="n">
        <f aca="false">BR95*TAN(RADIANS(BV$7))-(IF($B$4, 9.807, 32.174)*BR95^2)/(2*BU$7^2*COS(RADIANS(BV$7))^2)+$D$7</f>
        <v>3.64566394759752</v>
      </c>
      <c r="BU95" s="123" t="n">
        <f aca="false">MIN($V$5,BT95)</f>
        <v>3.64566394759752</v>
      </c>
      <c r="BV95" s="112"/>
      <c r="BW95" s="112" t="n">
        <f aca="false">BW94+BW$7/100</f>
        <v>1.74</v>
      </c>
      <c r="BX95" s="122" t="n">
        <f aca="false">BW95-IF($I$3="Forward", $D$9, $G$9)</f>
        <v>1.74</v>
      </c>
      <c r="BY95" s="112" t="n">
        <f aca="false">BW95*TAN(RADIANS(CA$7))-(IF($B$4, 9.807, 32.174)*BW95^2)/(2*BZ$7^2*COS(RADIANS(CA$7))^2)+$D$7</f>
        <v>3.64566394759752</v>
      </c>
      <c r="BZ95" s="123" t="n">
        <f aca="false">MIN($V$5,BY95)</f>
        <v>3.64566394759752</v>
      </c>
      <c r="CA95" s="112"/>
      <c r="CB95" s="112" t="n">
        <f aca="false">CB94+CB$7/100</f>
        <v>1.74</v>
      </c>
      <c r="CC95" s="122" t="n">
        <f aca="false">CB95+IF($I$3="Forward", $D$9, $G$9)</f>
        <v>1.74</v>
      </c>
      <c r="CD95" s="112" t="n">
        <f aca="false">CB95*TAN(RADIANS(CF$7))-(IF($B$4, 9.807, 32.174)*CB95^2)/(2*CE$7^2*COS(RADIANS(CF$7))^2)+$D$7</f>
        <v>3.64566394759752</v>
      </c>
      <c r="CE95" s="123" t="n">
        <f aca="false">MIN($V$5,CD95)</f>
        <v>3.64566394759752</v>
      </c>
      <c r="CF95" s="112"/>
      <c r="CG95" s="124" t="n">
        <f aca="false">CG94+CG$7/100</f>
        <v>1.74</v>
      </c>
      <c r="CH95" s="124" t="n">
        <f aca="false">CG95</f>
        <v>1.74</v>
      </c>
      <c r="CI95" s="124" t="n">
        <f aca="false">CG95*TAN(RADIANS(CK$7))-(IF($B$4, 9.807, 32.174)*CG95^2)/(2*CJ$7^2*COS(RADIANS(CK$7))^2)+$D$7</f>
        <v>3.64566394759752</v>
      </c>
      <c r="CJ95" s="123" t="n">
        <f aca="false">MIN($V$5,CI95)</f>
        <v>3.64566394759752</v>
      </c>
      <c r="CK95" s="124"/>
      <c r="CL95" s="112" t="n">
        <f aca="false">CL94+CL$7/100</f>
        <v>1.74</v>
      </c>
      <c r="CM95" s="122" t="n">
        <f aca="false">CL95-IF($I$3="Forward", $D$9, $G$9)</f>
        <v>1.74</v>
      </c>
      <c r="CN95" s="112" t="n">
        <f aca="false">CL95*TAN(RADIANS(CP$7))-(IF($B$4, 9.807, 32.174)*CL95^2)/(2*CO$7^2*COS(RADIANS(CP$7))^2)+$D$7</f>
        <v>3.64566394759752</v>
      </c>
      <c r="CO95" s="123" t="n">
        <f aca="false">MIN($V$5,CN95)</f>
        <v>3.64566394759752</v>
      </c>
      <c r="CP95" s="112"/>
      <c r="CQ95" s="112" t="n">
        <f aca="false">CQ94+CQ$7/100</f>
        <v>1.74</v>
      </c>
      <c r="CR95" s="122" t="n">
        <f aca="false">CQ95+IF($I$3="Forward", $D$9, $G$9)</f>
        <v>1.74</v>
      </c>
      <c r="CS95" s="112" t="n">
        <f aca="false">CQ95*TAN(RADIANS(CU$7))-(IF($B$4, 9.807, 32.174)*CQ95^2)/(2*CT$7^2*COS(RADIANS(CU$7))^2)+$D$7</f>
        <v>3.64566394759752</v>
      </c>
      <c r="CT95" s="123" t="n">
        <f aca="false">MIN($V$5,CS95)</f>
        <v>3.64566394759752</v>
      </c>
      <c r="CU95" s="112"/>
      <c r="CV95" s="112" t="n">
        <f aca="false">CV94+CV$7/100</f>
        <v>1.74</v>
      </c>
      <c r="CW95" s="112" t="n">
        <f aca="false">CV95</f>
        <v>1.74</v>
      </c>
      <c r="CX95" s="112" t="n">
        <f aca="false">CV95*TAN(RADIANS(CZ$7))-(IF($B$4, 9.807, 32.174)*CV95^2)/(2*CY$7^2*COS(RADIANS(CZ$7))^2)+$D$7</f>
        <v>3.64566394759752</v>
      </c>
      <c r="CY95" s="123" t="n">
        <f aca="false">MIN($V$5,CX95)</f>
        <v>3.64566394759752</v>
      </c>
      <c r="CZ95" s="112"/>
      <c r="DA95" s="112" t="n">
        <f aca="false">DA94+DA$7/100</f>
        <v>1.74</v>
      </c>
      <c r="DB95" s="122" t="n">
        <f aca="false">DA95-IF($I$3="Forward", $D$9, $G$9)</f>
        <v>1.74</v>
      </c>
      <c r="DC95" s="112" t="n">
        <f aca="false">DA95*TAN(RADIANS(DE$7))-(IF($B$4, 9.807, 32.174)*DA95^2)/(2*DD$7^2*COS(RADIANS(DE$7))^2)+$D$7</f>
        <v>3.64566394759752</v>
      </c>
      <c r="DD95" s="123" t="n">
        <f aca="false">MIN($V$5,DC95)</f>
        <v>3.64566394759752</v>
      </c>
      <c r="DE95" s="112"/>
      <c r="DF95" s="112" t="n">
        <f aca="false">DF94+DF$7/100</f>
        <v>1.74</v>
      </c>
      <c r="DG95" s="122" t="n">
        <f aca="false">DF95+IF($I$3="Forward", $D$9, $G$9)</f>
        <v>1.74</v>
      </c>
      <c r="DH95" s="112" t="n">
        <f aca="false">DF95*TAN(RADIANS(DJ$7))-(IF($B$4, 9.807, 32.174)*DF95^2)/(2*DI$7^2*COS(RADIANS(DJ$7))^2)+$D$7</f>
        <v>3.64566394759752</v>
      </c>
      <c r="DI95" s="123" t="n">
        <f aca="false">MIN($V$5,DH95)</f>
        <v>3.64566394759752</v>
      </c>
      <c r="DJ95" s="112"/>
      <c r="DK95" s="112" t="n">
        <f aca="false">DK94+DK$7/100</f>
        <v>1.74</v>
      </c>
      <c r="DL95" s="112" t="n">
        <f aca="false">DK95</f>
        <v>1.74</v>
      </c>
      <c r="DM95" s="112" t="n">
        <f aca="false">DK95*TAN(RADIANS(DO$7))-(IF($B$4, 9.807, 32.174)*DK95^2)/(2*DN$7^2*COS(RADIANS(DO$7))^2)+$D$7</f>
        <v>3.64566394759752</v>
      </c>
      <c r="DN95" s="123" t="n">
        <f aca="false">MIN($V$5,DM95)</f>
        <v>3.64566394759752</v>
      </c>
      <c r="DO95" s="112"/>
      <c r="DP95" s="112" t="n">
        <f aca="false">DP94+DP$7/100</f>
        <v>1.74</v>
      </c>
      <c r="DQ95" s="122" t="n">
        <f aca="false">DP95-IF($I$3="Forward", $D$9, $G$9)</f>
        <v>1.74</v>
      </c>
      <c r="DR95" s="112" t="n">
        <f aca="false">DP95*TAN(RADIANS(DT$7))-(IF($B$4, 9.807, 32.174)*DP95^2)/(2*DS$7^2*COS(RADIANS(DT$7))^2)+$D$7</f>
        <v>3.64566394759752</v>
      </c>
      <c r="DS95" s="123" t="n">
        <f aca="false">MIN($V$5,DR95)</f>
        <v>3.64566394759752</v>
      </c>
      <c r="DT95" s="112"/>
      <c r="DU95" s="112" t="n">
        <f aca="false">DU94+DU$7/100</f>
        <v>1.74</v>
      </c>
      <c r="DV95" s="122" t="n">
        <f aca="false">DU95+IF($I$3="Forward", $D$9, $G$9)</f>
        <v>1.74</v>
      </c>
      <c r="DW95" s="112" t="n">
        <f aca="false">DU95*TAN(RADIANS(DY$7))-(IF($B$4, 9.807, 32.174)*DU95^2)/(2*DX$7^2*COS(RADIANS(DY$7))^2)+$D$7</f>
        <v>3.64566394759752</v>
      </c>
      <c r="DX95" s="123" t="n">
        <f aca="false">MIN($V$5,DW95)</f>
        <v>3.64566394759752</v>
      </c>
      <c r="DY95" s="112"/>
      <c r="DZ95" s="112" t="n">
        <f aca="false">DZ94+DZ$7/100</f>
        <v>1.74</v>
      </c>
      <c r="EA95" s="112" t="n">
        <f aca="false">DZ95</f>
        <v>1.74</v>
      </c>
      <c r="EB95" s="112" t="n">
        <f aca="false">DZ95*TAN(RADIANS(ED$7))-(IF($B$4, 9.807, 32.174)*DZ95^2)/(2*EC$7^2*COS(RADIANS(ED$7))^2)+$D$7</f>
        <v>3.64566394759752</v>
      </c>
      <c r="EC95" s="123" t="n">
        <f aca="false">MIN($V$5,EB95)</f>
        <v>3.64566394759752</v>
      </c>
      <c r="ED95" s="112"/>
      <c r="EE95" s="112" t="n">
        <f aca="false">EE94+EE$7/100</f>
        <v>1.74</v>
      </c>
      <c r="EF95" s="122" t="n">
        <f aca="false">EE95-IF($I$3="Forward", $D$9, $G$9)</f>
        <v>1.74</v>
      </c>
      <c r="EG95" s="112" t="n">
        <f aca="false">EE95*TAN(RADIANS(EI$7))-(IF($B$4, 9.807, 32.174)*EE95^2)/(2*EH$7^2*COS(RADIANS(EI$7))^2)+$D$7</f>
        <v>3.64566394759752</v>
      </c>
      <c r="EH95" s="123" t="n">
        <f aca="false">MIN($V$5,EG95)</f>
        <v>3.64566394759752</v>
      </c>
      <c r="EI95" s="112"/>
      <c r="EJ95" s="112" t="n">
        <f aca="false">EJ94+EJ$7/100</f>
        <v>1.74</v>
      </c>
      <c r="EK95" s="122" t="n">
        <f aca="false">EJ95+IF($I$3="Forward", $D$9, $G$9)</f>
        <v>1.74</v>
      </c>
      <c r="EL95" s="112" t="n">
        <f aca="false">EJ95*TAN(RADIANS(EN$7))-(IF($B$4, 9.807, 32.174)*EJ95^2)/(2*EM$7^2*COS(RADIANS(EN$7))^2)+$D$7</f>
        <v>3.64566394759752</v>
      </c>
      <c r="EM95" s="123" t="n">
        <f aca="false">MIN($V$5,EL95)</f>
        <v>3.64566394759752</v>
      </c>
      <c r="EN95" s="112"/>
      <c r="EO95" s="112" t="n">
        <f aca="false">EO94+EO$7/100</f>
        <v>1.74</v>
      </c>
      <c r="EP95" s="112" t="n">
        <f aca="false">EO95</f>
        <v>1.74</v>
      </c>
      <c r="EQ95" s="112" t="n">
        <f aca="false">EO95*TAN(RADIANS(ES$7))-(IF($B$4, 9.807, 32.174)*EO95^2)/(2*ER$7^2*COS(RADIANS(ES$7))^2)+$D$7</f>
        <v>3.64566394759752</v>
      </c>
      <c r="ER95" s="123" t="n">
        <f aca="false">MIN($V$5,EQ95)</f>
        <v>3.64566394759752</v>
      </c>
      <c r="ES95" s="112"/>
      <c r="ET95" s="112" t="n">
        <f aca="false">ET94+ET$7/100</f>
        <v>1.74</v>
      </c>
      <c r="EU95" s="122" t="n">
        <f aca="false">ET95-IF($I$3="Forward", $D$9, $G$9)</f>
        <v>1.74</v>
      </c>
      <c r="EV95" s="112" t="n">
        <f aca="false">ET95*TAN(RADIANS(EX$7))-(IF($B$4, 9.807, 32.174)*ET95^2)/(2*EW$7^2*COS(RADIANS(EX$7))^2)+$D$7</f>
        <v>3.64566394759752</v>
      </c>
      <c r="EW95" s="123" t="n">
        <f aca="false">MIN($V$5,EV95)</f>
        <v>3.64566394759752</v>
      </c>
      <c r="EX95" s="112"/>
    </row>
    <row r="96" s="131" customFormat="true" ht="15" hidden="false" customHeight="false" outlineLevel="0" collapsed="false">
      <c r="T96" s="112" t="n">
        <f aca="false">T95+T$7/100</f>
        <v>1.76</v>
      </c>
      <c r="U96" s="122" t="n">
        <f aca="false">T96+IF($I$3="Forward", $D$9, $G$9)</f>
        <v>1.76</v>
      </c>
      <c r="V96" s="112" t="n">
        <f aca="false">T96*TAN(RADIANS(X$7))-(IF($B$4, 9.807, 32.174)*T96^2)/(2*W$7^2*COS(RADIANS(X$7))^2)+$D$7</f>
        <v>3.56609472030326</v>
      </c>
      <c r="W96" s="123" t="n">
        <f aca="false">MIN($V$5,V96)</f>
        <v>3.56609472030326</v>
      </c>
      <c r="X96" s="112"/>
      <c r="Y96" s="112" t="n">
        <f aca="false">Y95+Y$7/100</f>
        <v>1.76</v>
      </c>
      <c r="Z96" s="112" t="n">
        <f aca="false">Y96</f>
        <v>1.76</v>
      </c>
      <c r="AA96" s="112" t="n">
        <f aca="false">Y96*TAN(RADIANS(AC$7))-(IF($B$4, 9.807, 32.174)*Y96^2)/(2*AB$7^2*COS(RADIANS(AC$7))^2)+$D$7</f>
        <v>3.56609472030326</v>
      </c>
      <c r="AB96" s="123" t="n">
        <f aca="false">MIN($V$5,AA96)</f>
        <v>3.56609472030326</v>
      </c>
      <c r="AC96" s="112"/>
      <c r="AD96" s="112" t="n">
        <f aca="false">AD95+AD$7/100</f>
        <v>1.76</v>
      </c>
      <c r="AE96" s="122" t="n">
        <f aca="false">AD96-IF($I$3="Forward", $D$9, $G$9)</f>
        <v>1.76</v>
      </c>
      <c r="AF96" s="112" t="n">
        <f aca="false">AD96*TAN(RADIANS(AH$7))-(IF($B$4, 9.807, 32.174)*AD96^2)/(2*AG$7^2*COS(RADIANS(AH$7))^2)+$D$7</f>
        <v>3.56609472030326</v>
      </c>
      <c r="AG96" s="123" t="n">
        <f aca="false">MIN($V$5,AF96)</f>
        <v>3.56609472030326</v>
      </c>
      <c r="AH96" s="112"/>
      <c r="AI96" s="112" t="n">
        <f aca="false">AI95+AI$7/100</f>
        <v>1.76</v>
      </c>
      <c r="AJ96" s="122" t="n">
        <f aca="false">AI96+IF($I$3="Forward", $D$9, $G$9)</f>
        <v>1.76</v>
      </c>
      <c r="AK96" s="112" t="n">
        <f aca="false">AI96*TAN(RADIANS(AM$7))-(IF($B$4, 9.807, 32.174)*AI96^2)/(2*AL$7^2*COS(RADIANS(AM$7))^2)+$D$7</f>
        <v>3.56609472030326</v>
      </c>
      <c r="AL96" s="123" t="n">
        <f aca="false">MIN($V$5,AK96)</f>
        <v>3.56609472030326</v>
      </c>
      <c r="AM96" s="112"/>
      <c r="AN96" s="112" t="n">
        <f aca="false">AN95+AN$7/100</f>
        <v>1.76</v>
      </c>
      <c r="AO96" s="112" t="n">
        <f aca="false">AN96</f>
        <v>1.76</v>
      </c>
      <c r="AP96" s="112" t="n">
        <f aca="false">AN96*TAN(RADIANS(AR$7))-(IF($B$4, 9.807, 32.174)*AN96^2)/(2*AQ$7^2*COS(RADIANS(AR$7))^2)+$D$7</f>
        <v>3.56609472030326</v>
      </c>
      <c r="AQ96" s="123" t="n">
        <f aca="false">MIN($V$5,AP96)</f>
        <v>3.56609472030326</v>
      </c>
      <c r="AR96" s="112"/>
      <c r="AS96" s="112" t="n">
        <f aca="false">AS95+AS$7/100</f>
        <v>1.76</v>
      </c>
      <c r="AT96" s="122" t="n">
        <f aca="false">AS96-IF($I$3="Forward", $D$9, $G$9)</f>
        <v>1.76</v>
      </c>
      <c r="AU96" s="112" t="n">
        <f aca="false">AS96*TAN(RADIANS(AW$7))-(IF($B$4, 9.807, 32.174)*AS96^2)/(2*AV$7^2*COS(RADIANS(AW$7))^2)+$D$7</f>
        <v>3.56609472030326</v>
      </c>
      <c r="AV96" s="123" t="n">
        <f aca="false">MIN($V$5,AU96)</f>
        <v>3.56609472030326</v>
      </c>
      <c r="AW96" s="112"/>
      <c r="AX96" s="112" t="n">
        <f aca="false">AX95+AX$7/100</f>
        <v>1.76</v>
      </c>
      <c r="AY96" s="122" t="n">
        <f aca="false">AX96+IF($I$3="Forward", $D$9, $G$9)</f>
        <v>1.76</v>
      </c>
      <c r="AZ96" s="112" t="n">
        <f aca="false">AX96*TAN(RADIANS(BB$7))-(IF($B$4, 9.807, 32.174)*AX96^2)/(2*BA$7^2*COS(RADIANS(BB$7))^2)+$D$7</f>
        <v>3.56609472030326</v>
      </c>
      <c r="BA96" s="123" t="n">
        <f aca="false">MIN($V$5,AZ96)</f>
        <v>3.56609472030326</v>
      </c>
      <c r="BB96" s="112"/>
      <c r="BC96" s="112" t="n">
        <f aca="false">BC95+BC$7/100</f>
        <v>1.76</v>
      </c>
      <c r="BD96" s="112" t="n">
        <f aca="false">BC96</f>
        <v>1.76</v>
      </c>
      <c r="BE96" s="112" t="n">
        <f aca="false">BC96*TAN(RADIANS(BG$7))-(IF($B$4, 9.807, 32.174)*BC96^2)/(2*BF$7^2*COS(RADIANS(BG$7))^2)+$D$7</f>
        <v>3.56609472030326</v>
      </c>
      <c r="BF96" s="123" t="n">
        <f aca="false">MIN($V$5,BE96)</f>
        <v>3.56609472030326</v>
      </c>
      <c r="BG96" s="112"/>
      <c r="BH96" s="112" t="n">
        <f aca="false">BH95+BH$7/100</f>
        <v>1.76</v>
      </c>
      <c r="BI96" s="122" t="n">
        <f aca="false">BH96-IF($I$3="Forward", $D$9, $G$9)</f>
        <v>1.76</v>
      </c>
      <c r="BJ96" s="112" t="n">
        <f aca="false">BH96*TAN(RADIANS(BL$7))-(IF($B$4, 9.807, 32.174)*BH96^2)/(2*BK$7^2*COS(RADIANS(BL$7))^2)+$D$7</f>
        <v>3.56609472030326</v>
      </c>
      <c r="BK96" s="123" t="n">
        <f aca="false">MIN($V$5,BJ96)</f>
        <v>3.56609472030326</v>
      </c>
      <c r="BL96" s="112"/>
      <c r="BM96" s="112" t="n">
        <f aca="false">BM95+BM$7/100</f>
        <v>1.76</v>
      </c>
      <c r="BN96" s="122" t="n">
        <f aca="false">BM96+IF($I$3="Forward", $D$9, $G$9)</f>
        <v>1.76</v>
      </c>
      <c r="BO96" s="112" t="n">
        <f aca="false">BM96*TAN(RADIANS(BQ$7))-(IF($B$4, 9.807, 32.174)*BM96^2)/(2*BP$7^2*COS(RADIANS(BQ$7))^2)+$D$7</f>
        <v>3.56609472030326</v>
      </c>
      <c r="BP96" s="123" t="n">
        <f aca="false">MIN($V$5,BO96)</f>
        <v>3.56609472030326</v>
      </c>
      <c r="BQ96" s="112"/>
      <c r="BR96" s="112" t="n">
        <f aca="false">BR95+BR$7/100</f>
        <v>1.76</v>
      </c>
      <c r="BS96" s="112" t="n">
        <f aca="false">BR96</f>
        <v>1.76</v>
      </c>
      <c r="BT96" s="112" t="n">
        <f aca="false">BR96*TAN(RADIANS(BV$7))-(IF($B$4, 9.807, 32.174)*BR96^2)/(2*BU$7^2*COS(RADIANS(BV$7))^2)+$D$7</f>
        <v>3.56609472030326</v>
      </c>
      <c r="BU96" s="123" t="n">
        <f aca="false">MIN($V$5,BT96)</f>
        <v>3.56609472030326</v>
      </c>
      <c r="BV96" s="112"/>
      <c r="BW96" s="112" t="n">
        <f aca="false">BW95+BW$7/100</f>
        <v>1.76</v>
      </c>
      <c r="BX96" s="122" t="n">
        <f aca="false">BW96-IF($I$3="Forward", $D$9, $G$9)</f>
        <v>1.76</v>
      </c>
      <c r="BY96" s="112" t="n">
        <f aca="false">BW96*TAN(RADIANS(CA$7))-(IF($B$4, 9.807, 32.174)*BW96^2)/(2*BZ$7^2*COS(RADIANS(CA$7))^2)+$D$7</f>
        <v>3.56609472030326</v>
      </c>
      <c r="BZ96" s="123" t="n">
        <f aca="false">MIN($V$5,BY96)</f>
        <v>3.56609472030326</v>
      </c>
      <c r="CA96" s="112"/>
      <c r="CB96" s="112" t="n">
        <f aca="false">CB95+CB$7/100</f>
        <v>1.76</v>
      </c>
      <c r="CC96" s="122" t="n">
        <f aca="false">CB96+IF($I$3="Forward", $D$9, $G$9)</f>
        <v>1.76</v>
      </c>
      <c r="CD96" s="112" t="n">
        <f aca="false">CB96*TAN(RADIANS(CF$7))-(IF($B$4, 9.807, 32.174)*CB96^2)/(2*CE$7^2*COS(RADIANS(CF$7))^2)+$D$7</f>
        <v>3.56609472030326</v>
      </c>
      <c r="CE96" s="123" t="n">
        <f aca="false">MIN($V$5,CD96)</f>
        <v>3.56609472030326</v>
      </c>
      <c r="CF96" s="112"/>
      <c r="CG96" s="124" t="n">
        <f aca="false">CG95+CG$7/100</f>
        <v>1.76</v>
      </c>
      <c r="CH96" s="124" t="n">
        <f aca="false">CG96</f>
        <v>1.76</v>
      </c>
      <c r="CI96" s="124" t="n">
        <f aca="false">CG96*TAN(RADIANS(CK$7))-(IF($B$4, 9.807, 32.174)*CG96^2)/(2*CJ$7^2*COS(RADIANS(CK$7))^2)+$D$7</f>
        <v>3.56609472030326</v>
      </c>
      <c r="CJ96" s="123" t="n">
        <f aca="false">MIN($V$5,CI96)</f>
        <v>3.56609472030326</v>
      </c>
      <c r="CK96" s="124"/>
      <c r="CL96" s="112" t="n">
        <f aca="false">CL95+CL$7/100</f>
        <v>1.76</v>
      </c>
      <c r="CM96" s="122" t="n">
        <f aca="false">CL96-IF($I$3="Forward", $D$9, $G$9)</f>
        <v>1.76</v>
      </c>
      <c r="CN96" s="112" t="n">
        <f aca="false">CL96*TAN(RADIANS(CP$7))-(IF($B$4, 9.807, 32.174)*CL96^2)/(2*CO$7^2*COS(RADIANS(CP$7))^2)+$D$7</f>
        <v>3.56609472030326</v>
      </c>
      <c r="CO96" s="123" t="n">
        <f aca="false">MIN($V$5,CN96)</f>
        <v>3.56609472030326</v>
      </c>
      <c r="CP96" s="112"/>
      <c r="CQ96" s="112" t="n">
        <f aca="false">CQ95+CQ$7/100</f>
        <v>1.76</v>
      </c>
      <c r="CR96" s="122" t="n">
        <f aca="false">CQ96+IF($I$3="Forward", $D$9, $G$9)</f>
        <v>1.76</v>
      </c>
      <c r="CS96" s="112" t="n">
        <f aca="false">CQ96*TAN(RADIANS(CU$7))-(IF($B$4, 9.807, 32.174)*CQ96^2)/(2*CT$7^2*COS(RADIANS(CU$7))^2)+$D$7</f>
        <v>3.56609472030326</v>
      </c>
      <c r="CT96" s="123" t="n">
        <f aca="false">MIN($V$5,CS96)</f>
        <v>3.56609472030326</v>
      </c>
      <c r="CU96" s="112"/>
      <c r="CV96" s="112" t="n">
        <f aca="false">CV95+CV$7/100</f>
        <v>1.76</v>
      </c>
      <c r="CW96" s="112" t="n">
        <f aca="false">CV96</f>
        <v>1.76</v>
      </c>
      <c r="CX96" s="112" t="n">
        <f aca="false">CV96*TAN(RADIANS(CZ$7))-(IF($B$4, 9.807, 32.174)*CV96^2)/(2*CY$7^2*COS(RADIANS(CZ$7))^2)+$D$7</f>
        <v>3.56609472030326</v>
      </c>
      <c r="CY96" s="123" t="n">
        <f aca="false">MIN($V$5,CX96)</f>
        <v>3.56609472030326</v>
      </c>
      <c r="CZ96" s="112"/>
      <c r="DA96" s="112" t="n">
        <f aca="false">DA95+DA$7/100</f>
        <v>1.76</v>
      </c>
      <c r="DB96" s="122" t="n">
        <f aca="false">DA96-IF($I$3="Forward", $D$9, $G$9)</f>
        <v>1.76</v>
      </c>
      <c r="DC96" s="112" t="n">
        <f aca="false">DA96*TAN(RADIANS(DE$7))-(IF($B$4, 9.807, 32.174)*DA96^2)/(2*DD$7^2*COS(RADIANS(DE$7))^2)+$D$7</f>
        <v>3.56609472030326</v>
      </c>
      <c r="DD96" s="123" t="n">
        <f aca="false">MIN($V$5,DC96)</f>
        <v>3.56609472030326</v>
      </c>
      <c r="DE96" s="112"/>
      <c r="DF96" s="112" t="n">
        <f aca="false">DF95+DF$7/100</f>
        <v>1.76</v>
      </c>
      <c r="DG96" s="122" t="n">
        <f aca="false">DF96+IF($I$3="Forward", $D$9, $G$9)</f>
        <v>1.76</v>
      </c>
      <c r="DH96" s="112" t="n">
        <f aca="false">DF96*TAN(RADIANS(DJ$7))-(IF($B$4, 9.807, 32.174)*DF96^2)/(2*DI$7^2*COS(RADIANS(DJ$7))^2)+$D$7</f>
        <v>3.56609472030326</v>
      </c>
      <c r="DI96" s="123" t="n">
        <f aca="false">MIN($V$5,DH96)</f>
        <v>3.56609472030326</v>
      </c>
      <c r="DJ96" s="112"/>
      <c r="DK96" s="112" t="n">
        <f aca="false">DK95+DK$7/100</f>
        <v>1.76</v>
      </c>
      <c r="DL96" s="112" t="n">
        <f aca="false">DK96</f>
        <v>1.76</v>
      </c>
      <c r="DM96" s="112" t="n">
        <f aca="false">DK96*TAN(RADIANS(DO$7))-(IF($B$4, 9.807, 32.174)*DK96^2)/(2*DN$7^2*COS(RADIANS(DO$7))^2)+$D$7</f>
        <v>3.56609472030326</v>
      </c>
      <c r="DN96" s="123" t="n">
        <f aca="false">MIN($V$5,DM96)</f>
        <v>3.56609472030326</v>
      </c>
      <c r="DO96" s="112"/>
      <c r="DP96" s="112" t="n">
        <f aca="false">DP95+DP$7/100</f>
        <v>1.76</v>
      </c>
      <c r="DQ96" s="122" t="n">
        <f aca="false">DP96-IF($I$3="Forward", $D$9, $G$9)</f>
        <v>1.76</v>
      </c>
      <c r="DR96" s="112" t="n">
        <f aca="false">DP96*TAN(RADIANS(DT$7))-(IF($B$4, 9.807, 32.174)*DP96^2)/(2*DS$7^2*COS(RADIANS(DT$7))^2)+$D$7</f>
        <v>3.56609472030326</v>
      </c>
      <c r="DS96" s="123" t="n">
        <f aca="false">MIN($V$5,DR96)</f>
        <v>3.56609472030326</v>
      </c>
      <c r="DT96" s="112"/>
      <c r="DU96" s="112" t="n">
        <f aca="false">DU95+DU$7/100</f>
        <v>1.76</v>
      </c>
      <c r="DV96" s="122" t="n">
        <f aca="false">DU96+IF($I$3="Forward", $D$9, $G$9)</f>
        <v>1.76</v>
      </c>
      <c r="DW96" s="112" t="n">
        <f aca="false">DU96*TAN(RADIANS(DY$7))-(IF($B$4, 9.807, 32.174)*DU96^2)/(2*DX$7^2*COS(RADIANS(DY$7))^2)+$D$7</f>
        <v>3.56609472030326</v>
      </c>
      <c r="DX96" s="123" t="n">
        <f aca="false">MIN($V$5,DW96)</f>
        <v>3.56609472030326</v>
      </c>
      <c r="DY96" s="112"/>
      <c r="DZ96" s="112" t="n">
        <f aca="false">DZ95+DZ$7/100</f>
        <v>1.76</v>
      </c>
      <c r="EA96" s="112" t="n">
        <f aca="false">DZ96</f>
        <v>1.76</v>
      </c>
      <c r="EB96" s="112" t="n">
        <f aca="false">DZ96*TAN(RADIANS(ED$7))-(IF($B$4, 9.807, 32.174)*DZ96^2)/(2*EC$7^2*COS(RADIANS(ED$7))^2)+$D$7</f>
        <v>3.56609472030326</v>
      </c>
      <c r="EC96" s="123" t="n">
        <f aca="false">MIN($V$5,EB96)</f>
        <v>3.56609472030326</v>
      </c>
      <c r="ED96" s="112"/>
      <c r="EE96" s="112" t="n">
        <f aca="false">EE95+EE$7/100</f>
        <v>1.76</v>
      </c>
      <c r="EF96" s="122" t="n">
        <f aca="false">EE96-IF($I$3="Forward", $D$9, $G$9)</f>
        <v>1.76</v>
      </c>
      <c r="EG96" s="112" t="n">
        <f aca="false">EE96*TAN(RADIANS(EI$7))-(IF($B$4, 9.807, 32.174)*EE96^2)/(2*EH$7^2*COS(RADIANS(EI$7))^2)+$D$7</f>
        <v>3.56609472030326</v>
      </c>
      <c r="EH96" s="123" t="n">
        <f aca="false">MIN($V$5,EG96)</f>
        <v>3.56609472030326</v>
      </c>
      <c r="EI96" s="112"/>
      <c r="EJ96" s="112" t="n">
        <f aca="false">EJ95+EJ$7/100</f>
        <v>1.76</v>
      </c>
      <c r="EK96" s="122" t="n">
        <f aca="false">EJ96+IF($I$3="Forward", $D$9, $G$9)</f>
        <v>1.76</v>
      </c>
      <c r="EL96" s="112" t="n">
        <f aca="false">EJ96*TAN(RADIANS(EN$7))-(IF($B$4, 9.807, 32.174)*EJ96^2)/(2*EM$7^2*COS(RADIANS(EN$7))^2)+$D$7</f>
        <v>3.56609472030326</v>
      </c>
      <c r="EM96" s="123" t="n">
        <f aca="false">MIN($V$5,EL96)</f>
        <v>3.56609472030326</v>
      </c>
      <c r="EN96" s="112"/>
      <c r="EO96" s="112" t="n">
        <f aca="false">EO95+EO$7/100</f>
        <v>1.76</v>
      </c>
      <c r="EP96" s="112" t="n">
        <f aca="false">EO96</f>
        <v>1.76</v>
      </c>
      <c r="EQ96" s="112" t="n">
        <f aca="false">EO96*TAN(RADIANS(ES$7))-(IF($B$4, 9.807, 32.174)*EO96^2)/(2*ER$7^2*COS(RADIANS(ES$7))^2)+$D$7</f>
        <v>3.56609472030326</v>
      </c>
      <c r="ER96" s="123" t="n">
        <f aca="false">MIN($V$5,EQ96)</f>
        <v>3.56609472030326</v>
      </c>
      <c r="ES96" s="112"/>
      <c r="ET96" s="112" t="n">
        <f aca="false">ET95+ET$7/100</f>
        <v>1.76</v>
      </c>
      <c r="EU96" s="122" t="n">
        <f aca="false">ET96-IF($I$3="Forward", $D$9, $G$9)</f>
        <v>1.76</v>
      </c>
      <c r="EV96" s="112" t="n">
        <f aca="false">ET96*TAN(RADIANS(EX$7))-(IF($B$4, 9.807, 32.174)*ET96^2)/(2*EW$7^2*COS(RADIANS(EX$7))^2)+$D$7</f>
        <v>3.56609472030326</v>
      </c>
      <c r="EW96" s="123" t="n">
        <f aca="false">MIN($V$5,EV96)</f>
        <v>3.56609472030326</v>
      </c>
      <c r="EX96" s="112"/>
    </row>
    <row r="97" s="131" customFormat="true" ht="15" hidden="false" customHeight="false" outlineLevel="0" collapsed="false">
      <c r="T97" s="112" t="n">
        <f aca="false">T96+T$7/100</f>
        <v>1.78</v>
      </c>
      <c r="U97" s="122" t="n">
        <f aca="false">T97+IF($I$3="Forward", $D$9, $G$9)</f>
        <v>1.78</v>
      </c>
      <c r="V97" s="112" t="n">
        <f aca="false">T97*TAN(RADIANS(X$7))-(IF($B$4, 9.807, 32.174)*T97^2)/(2*W$7^2*COS(RADIANS(X$7))^2)+$D$7</f>
        <v>3.48381698028114</v>
      </c>
      <c r="W97" s="123" t="n">
        <f aca="false">MIN($V$5,V97)</f>
        <v>3.48381698028114</v>
      </c>
      <c r="X97" s="112"/>
      <c r="Y97" s="112" t="n">
        <f aca="false">Y96+Y$7/100</f>
        <v>1.78</v>
      </c>
      <c r="Z97" s="112" t="n">
        <f aca="false">Y97</f>
        <v>1.78</v>
      </c>
      <c r="AA97" s="112" t="n">
        <f aca="false">Y97*TAN(RADIANS(AC$7))-(IF($B$4, 9.807, 32.174)*Y97^2)/(2*AB$7^2*COS(RADIANS(AC$7))^2)+$D$7</f>
        <v>3.48381698028114</v>
      </c>
      <c r="AB97" s="123" t="n">
        <f aca="false">MIN($V$5,AA97)</f>
        <v>3.48381698028114</v>
      </c>
      <c r="AC97" s="112"/>
      <c r="AD97" s="112" t="n">
        <f aca="false">AD96+AD$7/100</f>
        <v>1.78</v>
      </c>
      <c r="AE97" s="122" t="n">
        <f aca="false">AD97-IF($I$3="Forward", $D$9, $G$9)</f>
        <v>1.78</v>
      </c>
      <c r="AF97" s="112" t="n">
        <f aca="false">AD97*TAN(RADIANS(AH$7))-(IF($B$4, 9.807, 32.174)*AD97^2)/(2*AG$7^2*COS(RADIANS(AH$7))^2)+$D$7</f>
        <v>3.48381698028114</v>
      </c>
      <c r="AG97" s="123" t="n">
        <f aca="false">MIN($V$5,AF97)</f>
        <v>3.48381698028114</v>
      </c>
      <c r="AH97" s="112"/>
      <c r="AI97" s="112" t="n">
        <f aca="false">AI96+AI$7/100</f>
        <v>1.78</v>
      </c>
      <c r="AJ97" s="122" t="n">
        <f aca="false">AI97+IF($I$3="Forward", $D$9, $G$9)</f>
        <v>1.78</v>
      </c>
      <c r="AK97" s="112" t="n">
        <f aca="false">AI97*TAN(RADIANS(AM$7))-(IF($B$4, 9.807, 32.174)*AI97^2)/(2*AL$7^2*COS(RADIANS(AM$7))^2)+$D$7</f>
        <v>3.48381698028114</v>
      </c>
      <c r="AL97" s="123" t="n">
        <f aca="false">MIN($V$5,AK97)</f>
        <v>3.48381698028114</v>
      </c>
      <c r="AM97" s="112"/>
      <c r="AN97" s="112" t="n">
        <f aca="false">AN96+AN$7/100</f>
        <v>1.78</v>
      </c>
      <c r="AO97" s="112" t="n">
        <f aca="false">AN97</f>
        <v>1.78</v>
      </c>
      <c r="AP97" s="112" t="n">
        <f aca="false">AN97*TAN(RADIANS(AR$7))-(IF($B$4, 9.807, 32.174)*AN97^2)/(2*AQ$7^2*COS(RADIANS(AR$7))^2)+$D$7</f>
        <v>3.48381698028114</v>
      </c>
      <c r="AQ97" s="123" t="n">
        <f aca="false">MIN($V$5,AP97)</f>
        <v>3.48381698028114</v>
      </c>
      <c r="AR97" s="112"/>
      <c r="AS97" s="112" t="n">
        <f aca="false">AS96+AS$7/100</f>
        <v>1.78</v>
      </c>
      <c r="AT97" s="122" t="n">
        <f aca="false">AS97-IF($I$3="Forward", $D$9, $G$9)</f>
        <v>1.78</v>
      </c>
      <c r="AU97" s="112" t="n">
        <f aca="false">AS97*TAN(RADIANS(AW$7))-(IF($B$4, 9.807, 32.174)*AS97^2)/(2*AV$7^2*COS(RADIANS(AW$7))^2)+$D$7</f>
        <v>3.48381698028114</v>
      </c>
      <c r="AV97" s="123" t="n">
        <f aca="false">MIN($V$5,AU97)</f>
        <v>3.48381698028114</v>
      </c>
      <c r="AW97" s="112"/>
      <c r="AX97" s="112" t="n">
        <f aca="false">AX96+AX$7/100</f>
        <v>1.78</v>
      </c>
      <c r="AY97" s="122" t="n">
        <f aca="false">AX97+IF($I$3="Forward", $D$9, $G$9)</f>
        <v>1.78</v>
      </c>
      <c r="AZ97" s="112" t="n">
        <f aca="false">AX97*TAN(RADIANS(BB$7))-(IF($B$4, 9.807, 32.174)*AX97^2)/(2*BA$7^2*COS(RADIANS(BB$7))^2)+$D$7</f>
        <v>3.48381698028114</v>
      </c>
      <c r="BA97" s="123" t="n">
        <f aca="false">MIN($V$5,AZ97)</f>
        <v>3.48381698028114</v>
      </c>
      <c r="BB97" s="112"/>
      <c r="BC97" s="112" t="n">
        <f aca="false">BC96+BC$7/100</f>
        <v>1.78</v>
      </c>
      <c r="BD97" s="112" t="n">
        <f aca="false">BC97</f>
        <v>1.78</v>
      </c>
      <c r="BE97" s="112" t="n">
        <f aca="false">BC97*TAN(RADIANS(BG$7))-(IF($B$4, 9.807, 32.174)*BC97^2)/(2*BF$7^2*COS(RADIANS(BG$7))^2)+$D$7</f>
        <v>3.48381698028114</v>
      </c>
      <c r="BF97" s="123" t="n">
        <f aca="false">MIN($V$5,BE97)</f>
        <v>3.48381698028114</v>
      </c>
      <c r="BG97" s="112"/>
      <c r="BH97" s="112" t="n">
        <f aca="false">BH96+BH$7/100</f>
        <v>1.78</v>
      </c>
      <c r="BI97" s="122" t="n">
        <f aca="false">BH97-IF($I$3="Forward", $D$9, $G$9)</f>
        <v>1.78</v>
      </c>
      <c r="BJ97" s="112" t="n">
        <f aca="false">BH97*TAN(RADIANS(BL$7))-(IF($B$4, 9.807, 32.174)*BH97^2)/(2*BK$7^2*COS(RADIANS(BL$7))^2)+$D$7</f>
        <v>3.48381698028114</v>
      </c>
      <c r="BK97" s="123" t="n">
        <f aca="false">MIN($V$5,BJ97)</f>
        <v>3.48381698028114</v>
      </c>
      <c r="BL97" s="112"/>
      <c r="BM97" s="112" t="n">
        <f aca="false">BM96+BM$7/100</f>
        <v>1.78</v>
      </c>
      <c r="BN97" s="122" t="n">
        <f aca="false">BM97+IF($I$3="Forward", $D$9, $G$9)</f>
        <v>1.78</v>
      </c>
      <c r="BO97" s="112" t="n">
        <f aca="false">BM97*TAN(RADIANS(BQ$7))-(IF($B$4, 9.807, 32.174)*BM97^2)/(2*BP$7^2*COS(RADIANS(BQ$7))^2)+$D$7</f>
        <v>3.48381698028114</v>
      </c>
      <c r="BP97" s="123" t="n">
        <f aca="false">MIN($V$5,BO97)</f>
        <v>3.48381698028114</v>
      </c>
      <c r="BQ97" s="112"/>
      <c r="BR97" s="112" t="n">
        <f aca="false">BR96+BR$7/100</f>
        <v>1.78</v>
      </c>
      <c r="BS97" s="112" t="n">
        <f aca="false">BR97</f>
        <v>1.78</v>
      </c>
      <c r="BT97" s="112" t="n">
        <f aca="false">BR97*TAN(RADIANS(BV$7))-(IF($B$4, 9.807, 32.174)*BR97^2)/(2*BU$7^2*COS(RADIANS(BV$7))^2)+$D$7</f>
        <v>3.48381698028114</v>
      </c>
      <c r="BU97" s="123" t="n">
        <f aca="false">MIN($V$5,BT97)</f>
        <v>3.48381698028114</v>
      </c>
      <c r="BV97" s="112"/>
      <c r="BW97" s="112" t="n">
        <f aca="false">BW96+BW$7/100</f>
        <v>1.78</v>
      </c>
      <c r="BX97" s="122" t="n">
        <f aca="false">BW97-IF($I$3="Forward", $D$9, $G$9)</f>
        <v>1.78</v>
      </c>
      <c r="BY97" s="112" t="n">
        <f aca="false">BW97*TAN(RADIANS(CA$7))-(IF($B$4, 9.807, 32.174)*BW97^2)/(2*BZ$7^2*COS(RADIANS(CA$7))^2)+$D$7</f>
        <v>3.48381698028114</v>
      </c>
      <c r="BZ97" s="123" t="n">
        <f aca="false">MIN($V$5,BY97)</f>
        <v>3.48381698028114</v>
      </c>
      <c r="CA97" s="112"/>
      <c r="CB97" s="112" t="n">
        <f aca="false">CB96+CB$7/100</f>
        <v>1.78</v>
      </c>
      <c r="CC97" s="122" t="n">
        <f aca="false">CB97+IF($I$3="Forward", $D$9, $G$9)</f>
        <v>1.78</v>
      </c>
      <c r="CD97" s="112" t="n">
        <f aca="false">CB97*TAN(RADIANS(CF$7))-(IF($B$4, 9.807, 32.174)*CB97^2)/(2*CE$7^2*COS(RADIANS(CF$7))^2)+$D$7</f>
        <v>3.48381698028114</v>
      </c>
      <c r="CE97" s="123" t="n">
        <f aca="false">MIN($V$5,CD97)</f>
        <v>3.48381698028114</v>
      </c>
      <c r="CF97" s="112"/>
      <c r="CG97" s="124" t="n">
        <f aca="false">CG96+CG$7/100</f>
        <v>1.78</v>
      </c>
      <c r="CH97" s="124" t="n">
        <f aca="false">CG97</f>
        <v>1.78</v>
      </c>
      <c r="CI97" s="124" t="n">
        <f aca="false">CG97*TAN(RADIANS(CK$7))-(IF($B$4, 9.807, 32.174)*CG97^2)/(2*CJ$7^2*COS(RADIANS(CK$7))^2)+$D$7</f>
        <v>3.48381698028114</v>
      </c>
      <c r="CJ97" s="123" t="n">
        <f aca="false">MIN($V$5,CI97)</f>
        <v>3.48381698028114</v>
      </c>
      <c r="CK97" s="124"/>
      <c r="CL97" s="112" t="n">
        <f aca="false">CL96+CL$7/100</f>
        <v>1.78</v>
      </c>
      <c r="CM97" s="122" t="n">
        <f aca="false">CL97-IF($I$3="Forward", $D$9, $G$9)</f>
        <v>1.78</v>
      </c>
      <c r="CN97" s="112" t="n">
        <f aca="false">CL97*TAN(RADIANS(CP$7))-(IF($B$4, 9.807, 32.174)*CL97^2)/(2*CO$7^2*COS(RADIANS(CP$7))^2)+$D$7</f>
        <v>3.48381698028114</v>
      </c>
      <c r="CO97" s="123" t="n">
        <f aca="false">MIN($V$5,CN97)</f>
        <v>3.48381698028114</v>
      </c>
      <c r="CP97" s="112"/>
      <c r="CQ97" s="112" t="n">
        <f aca="false">CQ96+CQ$7/100</f>
        <v>1.78</v>
      </c>
      <c r="CR97" s="122" t="n">
        <f aca="false">CQ97+IF($I$3="Forward", $D$9, $G$9)</f>
        <v>1.78</v>
      </c>
      <c r="CS97" s="112" t="n">
        <f aca="false">CQ97*TAN(RADIANS(CU$7))-(IF($B$4, 9.807, 32.174)*CQ97^2)/(2*CT$7^2*COS(RADIANS(CU$7))^2)+$D$7</f>
        <v>3.48381698028114</v>
      </c>
      <c r="CT97" s="123" t="n">
        <f aca="false">MIN($V$5,CS97)</f>
        <v>3.48381698028114</v>
      </c>
      <c r="CU97" s="112"/>
      <c r="CV97" s="112" t="n">
        <f aca="false">CV96+CV$7/100</f>
        <v>1.78</v>
      </c>
      <c r="CW97" s="112" t="n">
        <f aca="false">CV97</f>
        <v>1.78</v>
      </c>
      <c r="CX97" s="112" t="n">
        <f aca="false">CV97*TAN(RADIANS(CZ$7))-(IF($B$4, 9.807, 32.174)*CV97^2)/(2*CY$7^2*COS(RADIANS(CZ$7))^2)+$D$7</f>
        <v>3.48381698028114</v>
      </c>
      <c r="CY97" s="123" t="n">
        <f aca="false">MIN($V$5,CX97)</f>
        <v>3.48381698028114</v>
      </c>
      <c r="CZ97" s="112"/>
      <c r="DA97" s="112" t="n">
        <f aca="false">DA96+DA$7/100</f>
        <v>1.78</v>
      </c>
      <c r="DB97" s="122" t="n">
        <f aca="false">DA97-IF($I$3="Forward", $D$9, $G$9)</f>
        <v>1.78</v>
      </c>
      <c r="DC97" s="112" t="n">
        <f aca="false">DA97*TAN(RADIANS(DE$7))-(IF($B$4, 9.807, 32.174)*DA97^2)/(2*DD$7^2*COS(RADIANS(DE$7))^2)+$D$7</f>
        <v>3.48381698028114</v>
      </c>
      <c r="DD97" s="123" t="n">
        <f aca="false">MIN($V$5,DC97)</f>
        <v>3.48381698028114</v>
      </c>
      <c r="DE97" s="112"/>
      <c r="DF97" s="112" t="n">
        <f aca="false">DF96+DF$7/100</f>
        <v>1.78</v>
      </c>
      <c r="DG97" s="122" t="n">
        <f aca="false">DF97+IF($I$3="Forward", $D$9, $G$9)</f>
        <v>1.78</v>
      </c>
      <c r="DH97" s="112" t="n">
        <f aca="false">DF97*TAN(RADIANS(DJ$7))-(IF($B$4, 9.807, 32.174)*DF97^2)/(2*DI$7^2*COS(RADIANS(DJ$7))^2)+$D$7</f>
        <v>3.48381698028114</v>
      </c>
      <c r="DI97" s="123" t="n">
        <f aca="false">MIN($V$5,DH97)</f>
        <v>3.48381698028114</v>
      </c>
      <c r="DJ97" s="112"/>
      <c r="DK97" s="112" t="n">
        <f aca="false">DK96+DK$7/100</f>
        <v>1.78</v>
      </c>
      <c r="DL97" s="112" t="n">
        <f aca="false">DK97</f>
        <v>1.78</v>
      </c>
      <c r="DM97" s="112" t="n">
        <f aca="false">DK97*TAN(RADIANS(DO$7))-(IF($B$4, 9.807, 32.174)*DK97^2)/(2*DN$7^2*COS(RADIANS(DO$7))^2)+$D$7</f>
        <v>3.48381698028114</v>
      </c>
      <c r="DN97" s="123" t="n">
        <f aca="false">MIN($V$5,DM97)</f>
        <v>3.48381698028114</v>
      </c>
      <c r="DO97" s="112"/>
      <c r="DP97" s="112" t="n">
        <f aca="false">DP96+DP$7/100</f>
        <v>1.78</v>
      </c>
      <c r="DQ97" s="122" t="n">
        <f aca="false">DP97-IF($I$3="Forward", $D$9, $G$9)</f>
        <v>1.78</v>
      </c>
      <c r="DR97" s="112" t="n">
        <f aca="false">DP97*TAN(RADIANS(DT$7))-(IF($B$4, 9.807, 32.174)*DP97^2)/(2*DS$7^2*COS(RADIANS(DT$7))^2)+$D$7</f>
        <v>3.48381698028114</v>
      </c>
      <c r="DS97" s="123" t="n">
        <f aca="false">MIN($V$5,DR97)</f>
        <v>3.48381698028114</v>
      </c>
      <c r="DT97" s="112"/>
      <c r="DU97" s="112" t="n">
        <f aca="false">DU96+DU$7/100</f>
        <v>1.78</v>
      </c>
      <c r="DV97" s="122" t="n">
        <f aca="false">DU97+IF($I$3="Forward", $D$9, $G$9)</f>
        <v>1.78</v>
      </c>
      <c r="DW97" s="112" t="n">
        <f aca="false">DU97*TAN(RADIANS(DY$7))-(IF($B$4, 9.807, 32.174)*DU97^2)/(2*DX$7^2*COS(RADIANS(DY$7))^2)+$D$7</f>
        <v>3.48381698028114</v>
      </c>
      <c r="DX97" s="123" t="n">
        <f aca="false">MIN($V$5,DW97)</f>
        <v>3.48381698028114</v>
      </c>
      <c r="DY97" s="112"/>
      <c r="DZ97" s="112" t="n">
        <f aca="false">DZ96+DZ$7/100</f>
        <v>1.78</v>
      </c>
      <c r="EA97" s="112" t="n">
        <f aca="false">DZ97</f>
        <v>1.78</v>
      </c>
      <c r="EB97" s="112" t="n">
        <f aca="false">DZ97*TAN(RADIANS(ED$7))-(IF($B$4, 9.807, 32.174)*DZ97^2)/(2*EC$7^2*COS(RADIANS(ED$7))^2)+$D$7</f>
        <v>3.48381698028114</v>
      </c>
      <c r="EC97" s="123" t="n">
        <f aca="false">MIN($V$5,EB97)</f>
        <v>3.48381698028114</v>
      </c>
      <c r="ED97" s="112"/>
      <c r="EE97" s="112" t="n">
        <f aca="false">EE96+EE$7/100</f>
        <v>1.78</v>
      </c>
      <c r="EF97" s="122" t="n">
        <f aca="false">EE97-IF($I$3="Forward", $D$9, $G$9)</f>
        <v>1.78</v>
      </c>
      <c r="EG97" s="112" t="n">
        <f aca="false">EE97*TAN(RADIANS(EI$7))-(IF($B$4, 9.807, 32.174)*EE97^2)/(2*EH$7^2*COS(RADIANS(EI$7))^2)+$D$7</f>
        <v>3.48381698028114</v>
      </c>
      <c r="EH97" s="123" t="n">
        <f aca="false">MIN($V$5,EG97)</f>
        <v>3.48381698028114</v>
      </c>
      <c r="EI97" s="112"/>
      <c r="EJ97" s="112" t="n">
        <f aca="false">EJ96+EJ$7/100</f>
        <v>1.78</v>
      </c>
      <c r="EK97" s="122" t="n">
        <f aca="false">EJ97+IF($I$3="Forward", $D$9, $G$9)</f>
        <v>1.78</v>
      </c>
      <c r="EL97" s="112" t="n">
        <f aca="false">EJ97*TAN(RADIANS(EN$7))-(IF($B$4, 9.807, 32.174)*EJ97^2)/(2*EM$7^2*COS(RADIANS(EN$7))^2)+$D$7</f>
        <v>3.48381698028114</v>
      </c>
      <c r="EM97" s="123" t="n">
        <f aca="false">MIN($V$5,EL97)</f>
        <v>3.48381698028114</v>
      </c>
      <c r="EN97" s="112"/>
      <c r="EO97" s="112" t="n">
        <f aca="false">EO96+EO$7/100</f>
        <v>1.78</v>
      </c>
      <c r="EP97" s="112" t="n">
        <f aca="false">EO97</f>
        <v>1.78</v>
      </c>
      <c r="EQ97" s="112" t="n">
        <f aca="false">EO97*TAN(RADIANS(ES$7))-(IF($B$4, 9.807, 32.174)*EO97^2)/(2*ER$7^2*COS(RADIANS(ES$7))^2)+$D$7</f>
        <v>3.48381698028114</v>
      </c>
      <c r="ER97" s="123" t="n">
        <f aca="false">MIN($V$5,EQ97)</f>
        <v>3.48381698028114</v>
      </c>
      <c r="ES97" s="112"/>
      <c r="ET97" s="112" t="n">
        <f aca="false">ET96+ET$7/100</f>
        <v>1.78</v>
      </c>
      <c r="EU97" s="122" t="n">
        <f aca="false">ET97-IF($I$3="Forward", $D$9, $G$9)</f>
        <v>1.78</v>
      </c>
      <c r="EV97" s="112" t="n">
        <f aca="false">ET97*TAN(RADIANS(EX$7))-(IF($B$4, 9.807, 32.174)*ET97^2)/(2*EW$7^2*COS(RADIANS(EX$7))^2)+$D$7</f>
        <v>3.48381698028114</v>
      </c>
      <c r="EW97" s="123" t="n">
        <f aca="false">MIN($V$5,EV97)</f>
        <v>3.48381698028114</v>
      </c>
      <c r="EX97" s="112"/>
    </row>
    <row r="98" s="131" customFormat="true" ht="15" hidden="false" customHeight="false" outlineLevel="0" collapsed="false">
      <c r="T98" s="112" t="n">
        <f aca="false">T97+T$7/100</f>
        <v>1.8</v>
      </c>
      <c r="U98" s="122" t="n">
        <f aca="false">T98+IF($I$3="Forward", $D$9, $G$9)</f>
        <v>1.8</v>
      </c>
      <c r="V98" s="112" t="n">
        <f aca="false">T98*TAN(RADIANS(X$7))-(IF($B$4, 9.807, 32.174)*T98^2)/(2*W$7^2*COS(RADIANS(X$7))^2)+$D$7</f>
        <v>3.39883072753118</v>
      </c>
      <c r="W98" s="123" t="n">
        <f aca="false">MIN($V$5,V98)</f>
        <v>3.39883072753118</v>
      </c>
      <c r="X98" s="112"/>
      <c r="Y98" s="112" t="n">
        <f aca="false">Y97+Y$7/100</f>
        <v>1.8</v>
      </c>
      <c r="Z98" s="112" t="n">
        <f aca="false">Y98</f>
        <v>1.8</v>
      </c>
      <c r="AA98" s="112" t="n">
        <f aca="false">Y98*TAN(RADIANS(AC$7))-(IF($B$4, 9.807, 32.174)*Y98^2)/(2*AB$7^2*COS(RADIANS(AC$7))^2)+$D$7</f>
        <v>3.39883072753118</v>
      </c>
      <c r="AB98" s="123" t="n">
        <f aca="false">MIN($V$5,AA98)</f>
        <v>3.39883072753118</v>
      </c>
      <c r="AC98" s="112"/>
      <c r="AD98" s="112" t="n">
        <f aca="false">AD97+AD$7/100</f>
        <v>1.8</v>
      </c>
      <c r="AE98" s="122" t="n">
        <f aca="false">AD98-IF($I$3="Forward", $D$9, $G$9)</f>
        <v>1.8</v>
      </c>
      <c r="AF98" s="112" t="n">
        <f aca="false">AD98*TAN(RADIANS(AH$7))-(IF($B$4, 9.807, 32.174)*AD98^2)/(2*AG$7^2*COS(RADIANS(AH$7))^2)+$D$7</f>
        <v>3.39883072753118</v>
      </c>
      <c r="AG98" s="123" t="n">
        <f aca="false">MIN($V$5,AF98)</f>
        <v>3.39883072753118</v>
      </c>
      <c r="AH98" s="112"/>
      <c r="AI98" s="112" t="n">
        <f aca="false">AI97+AI$7/100</f>
        <v>1.8</v>
      </c>
      <c r="AJ98" s="122" t="n">
        <f aca="false">AI98+IF($I$3="Forward", $D$9, $G$9)</f>
        <v>1.8</v>
      </c>
      <c r="AK98" s="112" t="n">
        <f aca="false">AI98*TAN(RADIANS(AM$7))-(IF($B$4, 9.807, 32.174)*AI98^2)/(2*AL$7^2*COS(RADIANS(AM$7))^2)+$D$7</f>
        <v>3.39883072753118</v>
      </c>
      <c r="AL98" s="123" t="n">
        <f aca="false">MIN($V$5,AK98)</f>
        <v>3.39883072753118</v>
      </c>
      <c r="AM98" s="112"/>
      <c r="AN98" s="112" t="n">
        <f aca="false">AN97+AN$7/100</f>
        <v>1.8</v>
      </c>
      <c r="AO98" s="112" t="n">
        <f aca="false">AN98</f>
        <v>1.8</v>
      </c>
      <c r="AP98" s="112" t="n">
        <f aca="false">AN98*TAN(RADIANS(AR$7))-(IF($B$4, 9.807, 32.174)*AN98^2)/(2*AQ$7^2*COS(RADIANS(AR$7))^2)+$D$7</f>
        <v>3.39883072753118</v>
      </c>
      <c r="AQ98" s="123" t="n">
        <f aca="false">MIN($V$5,AP98)</f>
        <v>3.39883072753118</v>
      </c>
      <c r="AR98" s="112"/>
      <c r="AS98" s="112" t="n">
        <f aca="false">AS97+AS$7/100</f>
        <v>1.8</v>
      </c>
      <c r="AT98" s="122" t="n">
        <f aca="false">AS98-IF($I$3="Forward", $D$9, $G$9)</f>
        <v>1.8</v>
      </c>
      <c r="AU98" s="112" t="n">
        <f aca="false">AS98*TAN(RADIANS(AW$7))-(IF($B$4, 9.807, 32.174)*AS98^2)/(2*AV$7^2*COS(RADIANS(AW$7))^2)+$D$7</f>
        <v>3.39883072753118</v>
      </c>
      <c r="AV98" s="123" t="n">
        <f aca="false">MIN($V$5,AU98)</f>
        <v>3.39883072753118</v>
      </c>
      <c r="AW98" s="112"/>
      <c r="AX98" s="112" t="n">
        <f aca="false">AX97+AX$7/100</f>
        <v>1.8</v>
      </c>
      <c r="AY98" s="122" t="n">
        <f aca="false">AX98+IF($I$3="Forward", $D$9, $G$9)</f>
        <v>1.8</v>
      </c>
      <c r="AZ98" s="112" t="n">
        <f aca="false">AX98*TAN(RADIANS(BB$7))-(IF($B$4, 9.807, 32.174)*AX98^2)/(2*BA$7^2*COS(RADIANS(BB$7))^2)+$D$7</f>
        <v>3.39883072753118</v>
      </c>
      <c r="BA98" s="123" t="n">
        <f aca="false">MIN($V$5,AZ98)</f>
        <v>3.39883072753118</v>
      </c>
      <c r="BB98" s="112"/>
      <c r="BC98" s="112" t="n">
        <f aca="false">BC97+BC$7/100</f>
        <v>1.8</v>
      </c>
      <c r="BD98" s="112" t="n">
        <f aca="false">BC98</f>
        <v>1.8</v>
      </c>
      <c r="BE98" s="112" t="n">
        <f aca="false">BC98*TAN(RADIANS(BG$7))-(IF($B$4, 9.807, 32.174)*BC98^2)/(2*BF$7^2*COS(RADIANS(BG$7))^2)+$D$7</f>
        <v>3.39883072753118</v>
      </c>
      <c r="BF98" s="123" t="n">
        <f aca="false">MIN($V$5,BE98)</f>
        <v>3.39883072753118</v>
      </c>
      <c r="BG98" s="112"/>
      <c r="BH98" s="112" t="n">
        <f aca="false">BH97+BH$7/100</f>
        <v>1.8</v>
      </c>
      <c r="BI98" s="122" t="n">
        <f aca="false">BH98-IF($I$3="Forward", $D$9, $G$9)</f>
        <v>1.8</v>
      </c>
      <c r="BJ98" s="112" t="n">
        <f aca="false">BH98*TAN(RADIANS(BL$7))-(IF($B$4, 9.807, 32.174)*BH98^2)/(2*BK$7^2*COS(RADIANS(BL$7))^2)+$D$7</f>
        <v>3.39883072753118</v>
      </c>
      <c r="BK98" s="123" t="n">
        <f aca="false">MIN($V$5,BJ98)</f>
        <v>3.39883072753118</v>
      </c>
      <c r="BL98" s="112"/>
      <c r="BM98" s="112" t="n">
        <f aca="false">BM97+BM$7/100</f>
        <v>1.8</v>
      </c>
      <c r="BN98" s="122" t="n">
        <f aca="false">BM98+IF($I$3="Forward", $D$9, $G$9)</f>
        <v>1.8</v>
      </c>
      <c r="BO98" s="112" t="n">
        <f aca="false">BM98*TAN(RADIANS(BQ$7))-(IF($B$4, 9.807, 32.174)*BM98^2)/(2*BP$7^2*COS(RADIANS(BQ$7))^2)+$D$7</f>
        <v>3.39883072753118</v>
      </c>
      <c r="BP98" s="123" t="n">
        <f aca="false">MIN($V$5,BO98)</f>
        <v>3.39883072753118</v>
      </c>
      <c r="BQ98" s="112"/>
      <c r="BR98" s="112" t="n">
        <f aca="false">BR97+BR$7/100</f>
        <v>1.8</v>
      </c>
      <c r="BS98" s="112" t="n">
        <f aca="false">BR98</f>
        <v>1.8</v>
      </c>
      <c r="BT98" s="112" t="n">
        <f aca="false">BR98*TAN(RADIANS(BV$7))-(IF($B$4, 9.807, 32.174)*BR98^2)/(2*BU$7^2*COS(RADIANS(BV$7))^2)+$D$7</f>
        <v>3.39883072753118</v>
      </c>
      <c r="BU98" s="123" t="n">
        <f aca="false">MIN($V$5,BT98)</f>
        <v>3.39883072753118</v>
      </c>
      <c r="BV98" s="112"/>
      <c r="BW98" s="112" t="n">
        <f aca="false">BW97+BW$7/100</f>
        <v>1.8</v>
      </c>
      <c r="BX98" s="122" t="n">
        <f aca="false">BW98-IF($I$3="Forward", $D$9, $G$9)</f>
        <v>1.8</v>
      </c>
      <c r="BY98" s="112" t="n">
        <f aca="false">BW98*TAN(RADIANS(CA$7))-(IF($B$4, 9.807, 32.174)*BW98^2)/(2*BZ$7^2*COS(RADIANS(CA$7))^2)+$D$7</f>
        <v>3.39883072753118</v>
      </c>
      <c r="BZ98" s="123" t="n">
        <f aca="false">MIN($V$5,BY98)</f>
        <v>3.39883072753118</v>
      </c>
      <c r="CA98" s="112"/>
      <c r="CB98" s="112" t="n">
        <f aca="false">CB97+CB$7/100</f>
        <v>1.8</v>
      </c>
      <c r="CC98" s="122" t="n">
        <f aca="false">CB98+IF($I$3="Forward", $D$9, $G$9)</f>
        <v>1.8</v>
      </c>
      <c r="CD98" s="112" t="n">
        <f aca="false">CB98*TAN(RADIANS(CF$7))-(IF($B$4, 9.807, 32.174)*CB98^2)/(2*CE$7^2*COS(RADIANS(CF$7))^2)+$D$7</f>
        <v>3.39883072753118</v>
      </c>
      <c r="CE98" s="123" t="n">
        <f aca="false">MIN($V$5,CD98)</f>
        <v>3.39883072753118</v>
      </c>
      <c r="CF98" s="112"/>
      <c r="CG98" s="124" t="n">
        <f aca="false">CG97+CG$7/100</f>
        <v>1.8</v>
      </c>
      <c r="CH98" s="124" t="n">
        <f aca="false">CG98</f>
        <v>1.8</v>
      </c>
      <c r="CI98" s="124" t="n">
        <f aca="false">CG98*TAN(RADIANS(CK$7))-(IF($B$4, 9.807, 32.174)*CG98^2)/(2*CJ$7^2*COS(RADIANS(CK$7))^2)+$D$7</f>
        <v>3.39883072753118</v>
      </c>
      <c r="CJ98" s="123" t="n">
        <f aca="false">MIN($V$5,CI98)</f>
        <v>3.39883072753118</v>
      </c>
      <c r="CK98" s="124"/>
      <c r="CL98" s="112" t="n">
        <f aca="false">CL97+CL$7/100</f>
        <v>1.8</v>
      </c>
      <c r="CM98" s="122" t="n">
        <f aca="false">CL98-IF($I$3="Forward", $D$9, $G$9)</f>
        <v>1.8</v>
      </c>
      <c r="CN98" s="112" t="n">
        <f aca="false">CL98*TAN(RADIANS(CP$7))-(IF($B$4, 9.807, 32.174)*CL98^2)/(2*CO$7^2*COS(RADIANS(CP$7))^2)+$D$7</f>
        <v>3.39883072753118</v>
      </c>
      <c r="CO98" s="123" t="n">
        <f aca="false">MIN($V$5,CN98)</f>
        <v>3.39883072753118</v>
      </c>
      <c r="CP98" s="112"/>
      <c r="CQ98" s="112" t="n">
        <f aca="false">CQ97+CQ$7/100</f>
        <v>1.8</v>
      </c>
      <c r="CR98" s="122" t="n">
        <f aca="false">CQ98+IF($I$3="Forward", $D$9, $G$9)</f>
        <v>1.8</v>
      </c>
      <c r="CS98" s="112" t="n">
        <f aca="false">CQ98*TAN(RADIANS(CU$7))-(IF($B$4, 9.807, 32.174)*CQ98^2)/(2*CT$7^2*COS(RADIANS(CU$7))^2)+$D$7</f>
        <v>3.39883072753118</v>
      </c>
      <c r="CT98" s="123" t="n">
        <f aca="false">MIN($V$5,CS98)</f>
        <v>3.39883072753118</v>
      </c>
      <c r="CU98" s="112"/>
      <c r="CV98" s="112" t="n">
        <f aca="false">CV97+CV$7/100</f>
        <v>1.8</v>
      </c>
      <c r="CW98" s="112" t="n">
        <f aca="false">CV98</f>
        <v>1.8</v>
      </c>
      <c r="CX98" s="112" t="n">
        <f aca="false">CV98*TAN(RADIANS(CZ$7))-(IF($B$4, 9.807, 32.174)*CV98^2)/(2*CY$7^2*COS(RADIANS(CZ$7))^2)+$D$7</f>
        <v>3.39883072753118</v>
      </c>
      <c r="CY98" s="123" t="n">
        <f aca="false">MIN($V$5,CX98)</f>
        <v>3.39883072753118</v>
      </c>
      <c r="CZ98" s="112"/>
      <c r="DA98" s="112" t="n">
        <f aca="false">DA97+DA$7/100</f>
        <v>1.8</v>
      </c>
      <c r="DB98" s="122" t="n">
        <f aca="false">DA98-IF($I$3="Forward", $D$9, $G$9)</f>
        <v>1.8</v>
      </c>
      <c r="DC98" s="112" t="n">
        <f aca="false">DA98*TAN(RADIANS(DE$7))-(IF($B$4, 9.807, 32.174)*DA98^2)/(2*DD$7^2*COS(RADIANS(DE$7))^2)+$D$7</f>
        <v>3.39883072753118</v>
      </c>
      <c r="DD98" s="123" t="n">
        <f aca="false">MIN($V$5,DC98)</f>
        <v>3.39883072753118</v>
      </c>
      <c r="DE98" s="112"/>
      <c r="DF98" s="112" t="n">
        <f aca="false">DF97+DF$7/100</f>
        <v>1.8</v>
      </c>
      <c r="DG98" s="122" t="n">
        <f aca="false">DF98+IF($I$3="Forward", $D$9, $G$9)</f>
        <v>1.8</v>
      </c>
      <c r="DH98" s="112" t="n">
        <f aca="false">DF98*TAN(RADIANS(DJ$7))-(IF($B$4, 9.807, 32.174)*DF98^2)/(2*DI$7^2*COS(RADIANS(DJ$7))^2)+$D$7</f>
        <v>3.39883072753118</v>
      </c>
      <c r="DI98" s="123" t="n">
        <f aca="false">MIN($V$5,DH98)</f>
        <v>3.39883072753118</v>
      </c>
      <c r="DJ98" s="112"/>
      <c r="DK98" s="112" t="n">
        <f aca="false">DK97+DK$7/100</f>
        <v>1.8</v>
      </c>
      <c r="DL98" s="112" t="n">
        <f aca="false">DK98</f>
        <v>1.8</v>
      </c>
      <c r="DM98" s="112" t="n">
        <f aca="false">DK98*TAN(RADIANS(DO$7))-(IF($B$4, 9.807, 32.174)*DK98^2)/(2*DN$7^2*COS(RADIANS(DO$7))^2)+$D$7</f>
        <v>3.39883072753118</v>
      </c>
      <c r="DN98" s="123" t="n">
        <f aca="false">MIN($V$5,DM98)</f>
        <v>3.39883072753118</v>
      </c>
      <c r="DO98" s="112"/>
      <c r="DP98" s="112" t="n">
        <f aca="false">DP97+DP$7/100</f>
        <v>1.8</v>
      </c>
      <c r="DQ98" s="122" t="n">
        <f aca="false">DP98-IF($I$3="Forward", $D$9, $G$9)</f>
        <v>1.8</v>
      </c>
      <c r="DR98" s="112" t="n">
        <f aca="false">DP98*TAN(RADIANS(DT$7))-(IF($B$4, 9.807, 32.174)*DP98^2)/(2*DS$7^2*COS(RADIANS(DT$7))^2)+$D$7</f>
        <v>3.39883072753118</v>
      </c>
      <c r="DS98" s="123" t="n">
        <f aca="false">MIN($V$5,DR98)</f>
        <v>3.39883072753118</v>
      </c>
      <c r="DT98" s="112"/>
      <c r="DU98" s="112" t="n">
        <f aca="false">DU97+DU$7/100</f>
        <v>1.8</v>
      </c>
      <c r="DV98" s="122" t="n">
        <f aca="false">DU98+IF($I$3="Forward", $D$9, $G$9)</f>
        <v>1.8</v>
      </c>
      <c r="DW98" s="112" t="n">
        <f aca="false">DU98*TAN(RADIANS(DY$7))-(IF($B$4, 9.807, 32.174)*DU98^2)/(2*DX$7^2*COS(RADIANS(DY$7))^2)+$D$7</f>
        <v>3.39883072753118</v>
      </c>
      <c r="DX98" s="123" t="n">
        <f aca="false">MIN($V$5,DW98)</f>
        <v>3.39883072753118</v>
      </c>
      <c r="DY98" s="112"/>
      <c r="DZ98" s="112" t="n">
        <f aca="false">DZ97+DZ$7/100</f>
        <v>1.8</v>
      </c>
      <c r="EA98" s="112" t="n">
        <f aca="false">DZ98</f>
        <v>1.8</v>
      </c>
      <c r="EB98" s="112" t="n">
        <f aca="false">DZ98*TAN(RADIANS(ED$7))-(IF($B$4, 9.807, 32.174)*DZ98^2)/(2*EC$7^2*COS(RADIANS(ED$7))^2)+$D$7</f>
        <v>3.39883072753118</v>
      </c>
      <c r="EC98" s="123" t="n">
        <f aca="false">MIN($V$5,EB98)</f>
        <v>3.39883072753118</v>
      </c>
      <c r="ED98" s="112"/>
      <c r="EE98" s="112" t="n">
        <f aca="false">EE97+EE$7/100</f>
        <v>1.8</v>
      </c>
      <c r="EF98" s="122" t="n">
        <f aca="false">EE98-IF($I$3="Forward", $D$9, $G$9)</f>
        <v>1.8</v>
      </c>
      <c r="EG98" s="112" t="n">
        <f aca="false">EE98*TAN(RADIANS(EI$7))-(IF($B$4, 9.807, 32.174)*EE98^2)/(2*EH$7^2*COS(RADIANS(EI$7))^2)+$D$7</f>
        <v>3.39883072753118</v>
      </c>
      <c r="EH98" s="123" t="n">
        <f aca="false">MIN($V$5,EG98)</f>
        <v>3.39883072753118</v>
      </c>
      <c r="EI98" s="112"/>
      <c r="EJ98" s="112" t="n">
        <f aca="false">EJ97+EJ$7/100</f>
        <v>1.8</v>
      </c>
      <c r="EK98" s="122" t="n">
        <f aca="false">EJ98+IF($I$3="Forward", $D$9, $G$9)</f>
        <v>1.8</v>
      </c>
      <c r="EL98" s="112" t="n">
        <f aca="false">EJ98*TAN(RADIANS(EN$7))-(IF($B$4, 9.807, 32.174)*EJ98^2)/(2*EM$7^2*COS(RADIANS(EN$7))^2)+$D$7</f>
        <v>3.39883072753118</v>
      </c>
      <c r="EM98" s="123" t="n">
        <f aca="false">MIN($V$5,EL98)</f>
        <v>3.39883072753118</v>
      </c>
      <c r="EN98" s="112"/>
      <c r="EO98" s="112" t="n">
        <f aca="false">EO97+EO$7/100</f>
        <v>1.8</v>
      </c>
      <c r="EP98" s="112" t="n">
        <f aca="false">EO98</f>
        <v>1.8</v>
      </c>
      <c r="EQ98" s="112" t="n">
        <f aca="false">EO98*TAN(RADIANS(ES$7))-(IF($B$4, 9.807, 32.174)*EO98^2)/(2*ER$7^2*COS(RADIANS(ES$7))^2)+$D$7</f>
        <v>3.39883072753118</v>
      </c>
      <c r="ER98" s="123" t="n">
        <f aca="false">MIN($V$5,EQ98)</f>
        <v>3.39883072753118</v>
      </c>
      <c r="ES98" s="112"/>
      <c r="ET98" s="112" t="n">
        <f aca="false">ET97+ET$7/100</f>
        <v>1.8</v>
      </c>
      <c r="EU98" s="122" t="n">
        <f aca="false">ET98-IF($I$3="Forward", $D$9, $G$9)</f>
        <v>1.8</v>
      </c>
      <c r="EV98" s="112" t="n">
        <f aca="false">ET98*TAN(RADIANS(EX$7))-(IF($B$4, 9.807, 32.174)*ET98^2)/(2*EW$7^2*COS(RADIANS(EX$7))^2)+$D$7</f>
        <v>3.39883072753118</v>
      </c>
      <c r="EW98" s="123" t="n">
        <f aca="false">MIN($V$5,EV98)</f>
        <v>3.39883072753118</v>
      </c>
      <c r="EX98" s="112"/>
    </row>
    <row r="99" s="131" customFormat="true" ht="15" hidden="false" customHeight="false" outlineLevel="0" collapsed="false">
      <c r="T99" s="112" t="n">
        <f aca="false">T98+T$7/100</f>
        <v>1.82</v>
      </c>
      <c r="U99" s="122" t="n">
        <f aca="false">T99+IF($I$3="Forward", $D$9, $G$9)</f>
        <v>1.82</v>
      </c>
      <c r="V99" s="112" t="n">
        <f aca="false">T99*TAN(RADIANS(X$7))-(IF($B$4, 9.807, 32.174)*T99^2)/(2*W$7^2*COS(RADIANS(X$7))^2)+$D$7</f>
        <v>3.31113596205338</v>
      </c>
      <c r="W99" s="123" t="n">
        <f aca="false">MIN($V$5,V99)</f>
        <v>3.31113596205338</v>
      </c>
      <c r="X99" s="112"/>
      <c r="Y99" s="112" t="n">
        <f aca="false">Y98+Y$7/100</f>
        <v>1.82</v>
      </c>
      <c r="Z99" s="112" t="n">
        <f aca="false">Y99</f>
        <v>1.82</v>
      </c>
      <c r="AA99" s="112" t="n">
        <f aca="false">Y99*TAN(RADIANS(AC$7))-(IF($B$4, 9.807, 32.174)*Y99^2)/(2*AB$7^2*COS(RADIANS(AC$7))^2)+$D$7</f>
        <v>3.31113596205338</v>
      </c>
      <c r="AB99" s="123" t="n">
        <f aca="false">MIN($V$5,AA99)</f>
        <v>3.31113596205338</v>
      </c>
      <c r="AC99" s="112"/>
      <c r="AD99" s="112" t="n">
        <f aca="false">AD98+AD$7/100</f>
        <v>1.82</v>
      </c>
      <c r="AE99" s="122" t="n">
        <f aca="false">AD99-IF($I$3="Forward", $D$9, $G$9)</f>
        <v>1.82</v>
      </c>
      <c r="AF99" s="112" t="n">
        <f aca="false">AD99*TAN(RADIANS(AH$7))-(IF($B$4, 9.807, 32.174)*AD99^2)/(2*AG$7^2*COS(RADIANS(AH$7))^2)+$D$7</f>
        <v>3.31113596205338</v>
      </c>
      <c r="AG99" s="123" t="n">
        <f aca="false">MIN($V$5,AF99)</f>
        <v>3.31113596205338</v>
      </c>
      <c r="AH99" s="112"/>
      <c r="AI99" s="112" t="n">
        <f aca="false">AI98+AI$7/100</f>
        <v>1.82</v>
      </c>
      <c r="AJ99" s="122" t="n">
        <f aca="false">AI99+IF($I$3="Forward", $D$9, $G$9)</f>
        <v>1.82</v>
      </c>
      <c r="AK99" s="112" t="n">
        <f aca="false">AI99*TAN(RADIANS(AM$7))-(IF($B$4, 9.807, 32.174)*AI99^2)/(2*AL$7^2*COS(RADIANS(AM$7))^2)+$D$7</f>
        <v>3.31113596205338</v>
      </c>
      <c r="AL99" s="123" t="n">
        <f aca="false">MIN($V$5,AK99)</f>
        <v>3.31113596205338</v>
      </c>
      <c r="AM99" s="112"/>
      <c r="AN99" s="112" t="n">
        <f aca="false">AN98+AN$7/100</f>
        <v>1.82</v>
      </c>
      <c r="AO99" s="112" t="n">
        <f aca="false">AN99</f>
        <v>1.82</v>
      </c>
      <c r="AP99" s="112" t="n">
        <f aca="false">AN99*TAN(RADIANS(AR$7))-(IF($B$4, 9.807, 32.174)*AN99^2)/(2*AQ$7^2*COS(RADIANS(AR$7))^2)+$D$7</f>
        <v>3.31113596205338</v>
      </c>
      <c r="AQ99" s="123" t="n">
        <f aca="false">MIN($V$5,AP99)</f>
        <v>3.31113596205338</v>
      </c>
      <c r="AR99" s="112"/>
      <c r="AS99" s="112" t="n">
        <f aca="false">AS98+AS$7/100</f>
        <v>1.82</v>
      </c>
      <c r="AT99" s="122" t="n">
        <f aca="false">AS99-IF($I$3="Forward", $D$9, $G$9)</f>
        <v>1.82</v>
      </c>
      <c r="AU99" s="112" t="n">
        <f aca="false">AS99*TAN(RADIANS(AW$7))-(IF($B$4, 9.807, 32.174)*AS99^2)/(2*AV$7^2*COS(RADIANS(AW$7))^2)+$D$7</f>
        <v>3.31113596205338</v>
      </c>
      <c r="AV99" s="123" t="n">
        <f aca="false">MIN($V$5,AU99)</f>
        <v>3.31113596205338</v>
      </c>
      <c r="AW99" s="112"/>
      <c r="AX99" s="112" t="n">
        <f aca="false">AX98+AX$7/100</f>
        <v>1.82</v>
      </c>
      <c r="AY99" s="122" t="n">
        <f aca="false">AX99+IF($I$3="Forward", $D$9, $G$9)</f>
        <v>1.82</v>
      </c>
      <c r="AZ99" s="112" t="n">
        <f aca="false">AX99*TAN(RADIANS(BB$7))-(IF($B$4, 9.807, 32.174)*AX99^2)/(2*BA$7^2*COS(RADIANS(BB$7))^2)+$D$7</f>
        <v>3.31113596205338</v>
      </c>
      <c r="BA99" s="123" t="n">
        <f aca="false">MIN($V$5,AZ99)</f>
        <v>3.31113596205338</v>
      </c>
      <c r="BB99" s="112"/>
      <c r="BC99" s="112" t="n">
        <f aca="false">BC98+BC$7/100</f>
        <v>1.82</v>
      </c>
      <c r="BD99" s="112" t="n">
        <f aca="false">BC99</f>
        <v>1.82</v>
      </c>
      <c r="BE99" s="112" t="n">
        <f aca="false">BC99*TAN(RADIANS(BG$7))-(IF($B$4, 9.807, 32.174)*BC99^2)/(2*BF$7^2*COS(RADIANS(BG$7))^2)+$D$7</f>
        <v>3.31113596205338</v>
      </c>
      <c r="BF99" s="123" t="n">
        <f aca="false">MIN($V$5,BE99)</f>
        <v>3.31113596205338</v>
      </c>
      <c r="BG99" s="112"/>
      <c r="BH99" s="112" t="n">
        <f aca="false">BH98+BH$7/100</f>
        <v>1.82</v>
      </c>
      <c r="BI99" s="122" t="n">
        <f aca="false">BH99-IF($I$3="Forward", $D$9, $G$9)</f>
        <v>1.82</v>
      </c>
      <c r="BJ99" s="112" t="n">
        <f aca="false">BH99*TAN(RADIANS(BL$7))-(IF($B$4, 9.807, 32.174)*BH99^2)/(2*BK$7^2*COS(RADIANS(BL$7))^2)+$D$7</f>
        <v>3.31113596205338</v>
      </c>
      <c r="BK99" s="123" t="n">
        <f aca="false">MIN($V$5,BJ99)</f>
        <v>3.31113596205338</v>
      </c>
      <c r="BL99" s="112"/>
      <c r="BM99" s="112" t="n">
        <f aca="false">BM98+BM$7/100</f>
        <v>1.82</v>
      </c>
      <c r="BN99" s="122" t="n">
        <f aca="false">BM99+IF($I$3="Forward", $D$9, $G$9)</f>
        <v>1.82</v>
      </c>
      <c r="BO99" s="112" t="n">
        <f aca="false">BM99*TAN(RADIANS(BQ$7))-(IF($B$4, 9.807, 32.174)*BM99^2)/(2*BP$7^2*COS(RADIANS(BQ$7))^2)+$D$7</f>
        <v>3.31113596205338</v>
      </c>
      <c r="BP99" s="123" t="n">
        <f aca="false">MIN($V$5,BO99)</f>
        <v>3.31113596205338</v>
      </c>
      <c r="BQ99" s="112"/>
      <c r="BR99" s="112" t="n">
        <f aca="false">BR98+BR$7/100</f>
        <v>1.82</v>
      </c>
      <c r="BS99" s="112" t="n">
        <f aca="false">BR99</f>
        <v>1.82</v>
      </c>
      <c r="BT99" s="112" t="n">
        <f aca="false">BR99*TAN(RADIANS(BV$7))-(IF($B$4, 9.807, 32.174)*BR99^2)/(2*BU$7^2*COS(RADIANS(BV$7))^2)+$D$7</f>
        <v>3.31113596205338</v>
      </c>
      <c r="BU99" s="123" t="n">
        <f aca="false">MIN($V$5,BT99)</f>
        <v>3.31113596205338</v>
      </c>
      <c r="BV99" s="112"/>
      <c r="BW99" s="112" t="n">
        <f aca="false">BW98+BW$7/100</f>
        <v>1.82</v>
      </c>
      <c r="BX99" s="122" t="n">
        <f aca="false">BW99-IF($I$3="Forward", $D$9, $G$9)</f>
        <v>1.82</v>
      </c>
      <c r="BY99" s="112" t="n">
        <f aca="false">BW99*TAN(RADIANS(CA$7))-(IF($B$4, 9.807, 32.174)*BW99^2)/(2*BZ$7^2*COS(RADIANS(CA$7))^2)+$D$7</f>
        <v>3.31113596205338</v>
      </c>
      <c r="BZ99" s="123" t="n">
        <f aca="false">MIN($V$5,BY99)</f>
        <v>3.31113596205338</v>
      </c>
      <c r="CA99" s="112"/>
      <c r="CB99" s="112" t="n">
        <f aca="false">CB98+CB$7/100</f>
        <v>1.82</v>
      </c>
      <c r="CC99" s="122" t="n">
        <f aca="false">CB99+IF($I$3="Forward", $D$9, $G$9)</f>
        <v>1.82</v>
      </c>
      <c r="CD99" s="112" t="n">
        <f aca="false">CB99*TAN(RADIANS(CF$7))-(IF($B$4, 9.807, 32.174)*CB99^2)/(2*CE$7^2*COS(RADIANS(CF$7))^2)+$D$7</f>
        <v>3.31113596205338</v>
      </c>
      <c r="CE99" s="123" t="n">
        <f aca="false">MIN($V$5,CD99)</f>
        <v>3.31113596205338</v>
      </c>
      <c r="CF99" s="112"/>
      <c r="CG99" s="124" t="n">
        <f aca="false">CG98+CG$7/100</f>
        <v>1.82</v>
      </c>
      <c r="CH99" s="124" t="n">
        <f aca="false">CG99</f>
        <v>1.82</v>
      </c>
      <c r="CI99" s="124" t="n">
        <f aca="false">CG99*TAN(RADIANS(CK$7))-(IF($B$4, 9.807, 32.174)*CG99^2)/(2*CJ$7^2*COS(RADIANS(CK$7))^2)+$D$7</f>
        <v>3.31113596205338</v>
      </c>
      <c r="CJ99" s="123" t="n">
        <f aca="false">MIN($V$5,CI99)</f>
        <v>3.31113596205338</v>
      </c>
      <c r="CK99" s="124"/>
      <c r="CL99" s="112" t="n">
        <f aca="false">CL98+CL$7/100</f>
        <v>1.82</v>
      </c>
      <c r="CM99" s="122" t="n">
        <f aca="false">CL99-IF($I$3="Forward", $D$9, $G$9)</f>
        <v>1.82</v>
      </c>
      <c r="CN99" s="112" t="n">
        <f aca="false">CL99*TAN(RADIANS(CP$7))-(IF($B$4, 9.807, 32.174)*CL99^2)/(2*CO$7^2*COS(RADIANS(CP$7))^2)+$D$7</f>
        <v>3.31113596205338</v>
      </c>
      <c r="CO99" s="123" t="n">
        <f aca="false">MIN($V$5,CN99)</f>
        <v>3.31113596205338</v>
      </c>
      <c r="CP99" s="112"/>
      <c r="CQ99" s="112" t="n">
        <f aca="false">CQ98+CQ$7/100</f>
        <v>1.82</v>
      </c>
      <c r="CR99" s="122" t="n">
        <f aca="false">CQ99+IF($I$3="Forward", $D$9, $G$9)</f>
        <v>1.82</v>
      </c>
      <c r="CS99" s="112" t="n">
        <f aca="false">CQ99*TAN(RADIANS(CU$7))-(IF($B$4, 9.807, 32.174)*CQ99^2)/(2*CT$7^2*COS(RADIANS(CU$7))^2)+$D$7</f>
        <v>3.31113596205338</v>
      </c>
      <c r="CT99" s="123" t="n">
        <f aca="false">MIN($V$5,CS99)</f>
        <v>3.31113596205338</v>
      </c>
      <c r="CU99" s="112"/>
      <c r="CV99" s="112" t="n">
        <f aca="false">CV98+CV$7/100</f>
        <v>1.82</v>
      </c>
      <c r="CW99" s="112" t="n">
        <f aca="false">CV99</f>
        <v>1.82</v>
      </c>
      <c r="CX99" s="112" t="n">
        <f aca="false">CV99*TAN(RADIANS(CZ$7))-(IF($B$4, 9.807, 32.174)*CV99^2)/(2*CY$7^2*COS(RADIANS(CZ$7))^2)+$D$7</f>
        <v>3.31113596205338</v>
      </c>
      <c r="CY99" s="123" t="n">
        <f aca="false">MIN($V$5,CX99)</f>
        <v>3.31113596205338</v>
      </c>
      <c r="CZ99" s="112"/>
      <c r="DA99" s="112" t="n">
        <f aca="false">DA98+DA$7/100</f>
        <v>1.82</v>
      </c>
      <c r="DB99" s="122" t="n">
        <f aca="false">DA99-IF($I$3="Forward", $D$9, $G$9)</f>
        <v>1.82</v>
      </c>
      <c r="DC99" s="112" t="n">
        <f aca="false">DA99*TAN(RADIANS(DE$7))-(IF($B$4, 9.807, 32.174)*DA99^2)/(2*DD$7^2*COS(RADIANS(DE$7))^2)+$D$7</f>
        <v>3.31113596205338</v>
      </c>
      <c r="DD99" s="123" t="n">
        <f aca="false">MIN($V$5,DC99)</f>
        <v>3.31113596205338</v>
      </c>
      <c r="DE99" s="112"/>
      <c r="DF99" s="112" t="n">
        <f aca="false">DF98+DF$7/100</f>
        <v>1.82</v>
      </c>
      <c r="DG99" s="122" t="n">
        <f aca="false">DF99+IF($I$3="Forward", $D$9, $G$9)</f>
        <v>1.82</v>
      </c>
      <c r="DH99" s="112" t="n">
        <f aca="false">DF99*TAN(RADIANS(DJ$7))-(IF($B$4, 9.807, 32.174)*DF99^2)/(2*DI$7^2*COS(RADIANS(DJ$7))^2)+$D$7</f>
        <v>3.31113596205338</v>
      </c>
      <c r="DI99" s="123" t="n">
        <f aca="false">MIN($V$5,DH99)</f>
        <v>3.31113596205338</v>
      </c>
      <c r="DJ99" s="112"/>
      <c r="DK99" s="112" t="n">
        <f aca="false">DK98+DK$7/100</f>
        <v>1.82</v>
      </c>
      <c r="DL99" s="112" t="n">
        <f aca="false">DK99</f>
        <v>1.82</v>
      </c>
      <c r="DM99" s="112" t="n">
        <f aca="false">DK99*TAN(RADIANS(DO$7))-(IF($B$4, 9.807, 32.174)*DK99^2)/(2*DN$7^2*COS(RADIANS(DO$7))^2)+$D$7</f>
        <v>3.31113596205338</v>
      </c>
      <c r="DN99" s="123" t="n">
        <f aca="false">MIN($V$5,DM99)</f>
        <v>3.31113596205338</v>
      </c>
      <c r="DO99" s="112"/>
      <c r="DP99" s="112" t="n">
        <f aca="false">DP98+DP$7/100</f>
        <v>1.82</v>
      </c>
      <c r="DQ99" s="122" t="n">
        <f aca="false">DP99-IF($I$3="Forward", $D$9, $G$9)</f>
        <v>1.82</v>
      </c>
      <c r="DR99" s="112" t="n">
        <f aca="false">DP99*TAN(RADIANS(DT$7))-(IF($B$4, 9.807, 32.174)*DP99^2)/(2*DS$7^2*COS(RADIANS(DT$7))^2)+$D$7</f>
        <v>3.31113596205338</v>
      </c>
      <c r="DS99" s="123" t="n">
        <f aca="false">MIN($V$5,DR99)</f>
        <v>3.31113596205338</v>
      </c>
      <c r="DT99" s="112"/>
      <c r="DU99" s="112" t="n">
        <f aca="false">DU98+DU$7/100</f>
        <v>1.82</v>
      </c>
      <c r="DV99" s="122" t="n">
        <f aca="false">DU99+IF($I$3="Forward", $D$9, $G$9)</f>
        <v>1.82</v>
      </c>
      <c r="DW99" s="112" t="n">
        <f aca="false">DU99*TAN(RADIANS(DY$7))-(IF($B$4, 9.807, 32.174)*DU99^2)/(2*DX$7^2*COS(RADIANS(DY$7))^2)+$D$7</f>
        <v>3.31113596205338</v>
      </c>
      <c r="DX99" s="123" t="n">
        <f aca="false">MIN($V$5,DW99)</f>
        <v>3.31113596205338</v>
      </c>
      <c r="DY99" s="112"/>
      <c r="DZ99" s="112" t="n">
        <f aca="false">DZ98+DZ$7/100</f>
        <v>1.82</v>
      </c>
      <c r="EA99" s="112" t="n">
        <f aca="false">DZ99</f>
        <v>1.82</v>
      </c>
      <c r="EB99" s="112" t="n">
        <f aca="false">DZ99*TAN(RADIANS(ED$7))-(IF($B$4, 9.807, 32.174)*DZ99^2)/(2*EC$7^2*COS(RADIANS(ED$7))^2)+$D$7</f>
        <v>3.31113596205338</v>
      </c>
      <c r="EC99" s="123" t="n">
        <f aca="false">MIN($V$5,EB99)</f>
        <v>3.31113596205338</v>
      </c>
      <c r="ED99" s="112"/>
      <c r="EE99" s="112" t="n">
        <f aca="false">EE98+EE$7/100</f>
        <v>1.82</v>
      </c>
      <c r="EF99" s="122" t="n">
        <f aca="false">EE99-IF($I$3="Forward", $D$9, $G$9)</f>
        <v>1.82</v>
      </c>
      <c r="EG99" s="112" t="n">
        <f aca="false">EE99*TAN(RADIANS(EI$7))-(IF($B$4, 9.807, 32.174)*EE99^2)/(2*EH$7^2*COS(RADIANS(EI$7))^2)+$D$7</f>
        <v>3.31113596205338</v>
      </c>
      <c r="EH99" s="123" t="n">
        <f aca="false">MIN($V$5,EG99)</f>
        <v>3.31113596205338</v>
      </c>
      <c r="EI99" s="112"/>
      <c r="EJ99" s="112" t="n">
        <f aca="false">EJ98+EJ$7/100</f>
        <v>1.82</v>
      </c>
      <c r="EK99" s="122" t="n">
        <f aca="false">EJ99+IF($I$3="Forward", $D$9, $G$9)</f>
        <v>1.82</v>
      </c>
      <c r="EL99" s="112" t="n">
        <f aca="false">EJ99*TAN(RADIANS(EN$7))-(IF($B$4, 9.807, 32.174)*EJ99^2)/(2*EM$7^2*COS(RADIANS(EN$7))^2)+$D$7</f>
        <v>3.31113596205338</v>
      </c>
      <c r="EM99" s="123" t="n">
        <f aca="false">MIN($V$5,EL99)</f>
        <v>3.31113596205338</v>
      </c>
      <c r="EN99" s="112"/>
      <c r="EO99" s="112" t="n">
        <f aca="false">EO98+EO$7/100</f>
        <v>1.82</v>
      </c>
      <c r="EP99" s="112" t="n">
        <f aca="false">EO99</f>
        <v>1.82</v>
      </c>
      <c r="EQ99" s="112" t="n">
        <f aca="false">EO99*TAN(RADIANS(ES$7))-(IF($B$4, 9.807, 32.174)*EO99^2)/(2*ER$7^2*COS(RADIANS(ES$7))^2)+$D$7</f>
        <v>3.31113596205338</v>
      </c>
      <c r="ER99" s="123" t="n">
        <f aca="false">MIN($V$5,EQ99)</f>
        <v>3.31113596205338</v>
      </c>
      <c r="ES99" s="112"/>
      <c r="ET99" s="112" t="n">
        <f aca="false">ET98+ET$7/100</f>
        <v>1.82</v>
      </c>
      <c r="EU99" s="122" t="n">
        <f aca="false">ET99-IF($I$3="Forward", $D$9, $G$9)</f>
        <v>1.82</v>
      </c>
      <c r="EV99" s="112" t="n">
        <f aca="false">ET99*TAN(RADIANS(EX$7))-(IF($B$4, 9.807, 32.174)*ET99^2)/(2*EW$7^2*COS(RADIANS(EX$7))^2)+$D$7</f>
        <v>3.31113596205338</v>
      </c>
      <c r="EW99" s="123" t="n">
        <f aca="false">MIN($V$5,EV99)</f>
        <v>3.31113596205338</v>
      </c>
      <c r="EX99" s="112"/>
    </row>
    <row r="100" s="131" customFormat="true" ht="15" hidden="false" customHeight="false" outlineLevel="0" collapsed="false">
      <c r="T100" s="112" t="n">
        <f aca="false">T99+T$7/100</f>
        <v>1.84</v>
      </c>
      <c r="U100" s="122" t="n">
        <f aca="false">T100+IF($I$3="Forward", $D$9, $G$9)</f>
        <v>1.84</v>
      </c>
      <c r="V100" s="112" t="n">
        <f aca="false">T100*TAN(RADIANS(X$7))-(IF($B$4, 9.807, 32.174)*T100^2)/(2*W$7^2*COS(RADIANS(X$7))^2)+$D$7</f>
        <v>3.22073268384772</v>
      </c>
      <c r="W100" s="123" t="n">
        <f aca="false">MIN($V$5,V100)</f>
        <v>3.22073268384772</v>
      </c>
      <c r="X100" s="112"/>
      <c r="Y100" s="112" t="n">
        <f aca="false">Y99+Y$7/100</f>
        <v>1.84</v>
      </c>
      <c r="Z100" s="112" t="n">
        <f aca="false">Y100</f>
        <v>1.84</v>
      </c>
      <c r="AA100" s="112" t="n">
        <f aca="false">Y100*TAN(RADIANS(AC$7))-(IF($B$4, 9.807, 32.174)*Y100^2)/(2*AB$7^2*COS(RADIANS(AC$7))^2)+$D$7</f>
        <v>3.22073268384772</v>
      </c>
      <c r="AB100" s="123" t="n">
        <f aca="false">MIN($V$5,AA100)</f>
        <v>3.22073268384772</v>
      </c>
      <c r="AC100" s="112"/>
      <c r="AD100" s="112" t="n">
        <f aca="false">AD99+AD$7/100</f>
        <v>1.84</v>
      </c>
      <c r="AE100" s="122" t="n">
        <f aca="false">AD100-IF($I$3="Forward", $D$9, $G$9)</f>
        <v>1.84</v>
      </c>
      <c r="AF100" s="112" t="n">
        <f aca="false">AD100*TAN(RADIANS(AH$7))-(IF($B$4, 9.807, 32.174)*AD100^2)/(2*AG$7^2*COS(RADIANS(AH$7))^2)+$D$7</f>
        <v>3.22073268384772</v>
      </c>
      <c r="AG100" s="123" t="n">
        <f aca="false">MIN($V$5,AF100)</f>
        <v>3.22073268384772</v>
      </c>
      <c r="AH100" s="112"/>
      <c r="AI100" s="112" t="n">
        <f aca="false">AI99+AI$7/100</f>
        <v>1.84</v>
      </c>
      <c r="AJ100" s="122" t="n">
        <f aca="false">AI100+IF($I$3="Forward", $D$9, $G$9)</f>
        <v>1.84</v>
      </c>
      <c r="AK100" s="112" t="n">
        <f aca="false">AI100*TAN(RADIANS(AM$7))-(IF($B$4, 9.807, 32.174)*AI100^2)/(2*AL$7^2*COS(RADIANS(AM$7))^2)+$D$7</f>
        <v>3.22073268384772</v>
      </c>
      <c r="AL100" s="123" t="n">
        <f aca="false">MIN($V$5,AK100)</f>
        <v>3.22073268384772</v>
      </c>
      <c r="AM100" s="112"/>
      <c r="AN100" s="112" t="n">
        <f aca="false">AN99+AN$7/100</f>
        <v>1.84</v>
      </c>
      <c r="AO100" s="112" t="n">
        <f aca="false">AN100</f>
        <v>1.84</v>
      </c>
      <c r="AP100" s="112" t="n">
        <f aca="false">AN100*TAN(RADIANS(AR$7))-(IF($B$4, 9.807, 32.174)*AN100^2)/(2*AQ$7^2*COS(RADIANS(AR$7))^2)+$D$7</f>
        <v>3.22073268384772</v>
      </c>
      <c r="AQ100" s="123" t="n">
        <f aca="false">MIN($V$5,AP100)</f>
        <v>3.22073268384772</v>
      </c>
      <c r="AR100" s="112"/>
      <c r="AS100" s="112" t="n">
        <f aca="false">AS99+AS$7/100</f>
        <v>1.84</v>
      </c>
      <c r="AT100" s="122" t="n">
        <f aca="false">AS100-IF($I$3="Forward", $D$9, $G$9)</f>
        <v>1.84</v>
      </c>
      <c r="AU100" s="112" t="n">
        <f aca="false">AS100*TAN(RADIANS(AW$7))-(IF($B$4, 9.807, 32.174)*AS100^2)/(2*AV$7^2*COS(RADIANS(AW$7))^2)+$D$7</f>
        <v>3.22073268384772</v>
      </c>
      <c r="AV100" s="123" t="n">
        <f aca="false">MIN($V$5,AU100)</f>
        <v>3.22073268384772</v>
      </c>
      <c r="AW100" s="112"/>
      <c r="AX100" s="112" t="n">
        <f aca="false">AX99+AX$7/100</f>
        <v>1.84</v>
      </c>
      <c r="AY100" s="122" t="n">
        <f aca="false">AX100+IF($I$3="Forward", $D$9, $G$9)</f>
        <v>1.84</v>
      </c>
      <c r="AZ100" s="112" t="n">
        <f aca="false">AX100*TAN(RADIANS(BB$7))-(IF($B$4, 9.807, 32.174)*AX100^2)/(2*BA$7^2*COS(RADIANS(BB$7))^2)+$D$7</f>
        <v>3.22073268384772</v>
      </c>
      <c r="BA100" s="123" t="n">
        <f aca="false">MIN($V$5,AZ100)</f>
        <v>3.22073268384772</v>
      </c>
      <c r="BB100" s="112"/>
      <c r="BC100" s="112" t="n">
        <f aca="false">BC99+BC$7/100</f>
        <v>1.84</v>
      </c>
      <c r="BD100" s="112" t="n">
        <f aca="false">BC100</f>
        <v>1.84</v>
      </c>
      <c r="BE100" s="112" t="n">
        <f aca="false">BC100*TAN(RADIANS(BG$7))-(IF($B$4, 9.807, 32.174)*BC100^2)/(2*BF$7^2*COS(RADIANS(BG$7))^2)+$D$7</f>
        <v>3.22073268384772</v>
      </c>
      <c r="BF100" s="123" t="n">
        <f aca="false">MIN($V$5,BE100)</f>
        <v>3.22073268384772</v>
      </c>
      <c r="BG100" s="112"/>
      <c r="BH100" s="112" t="n">
        <f aca="false">BH99+BH$7/100</f>
        <v>1.84</v>
      </c>
      <c r="BI100" s="122" t="n">
        <f aca="false">BH100-IF($I$3="Forward", $D$9, $G$9)</f>
        <v>1.84</v>
      </c>
      <c r="BJ100" s="112" t="n">
        <f aca="false">BH100*TAN(RADIANS(BL$7))-(IF($B$4, 9.807, 32.174)*BH100^2)/(2*BK$7^2*COS(RADIANS(BL$7))^2)+$D$7</f>
        <v>3.22073268384772</v>
      </c>
      <c r="BK100" s="123" t="n">
        <f aca="false">MIN($V$5,BJ100)</f>
        <v>3.22073268384772</v>
      </c>
      <c r="BL100" s="112"/>
      <c r="BM100" s="112" t="n">
        <f aca="false">BM99+BM$7/100</f>
        <v>1.84</v>
      </c>
      <c r="BN100" s="122" t="n">
        <f aca="false">BM100+IF($I$3="Forward", $D$9, $G$9)</f>
        <v>1.84</v>
      </c>
      <c r="BO100" s="112" t="n">
        <f aca="false">BM100*TAN(RADIANS(BQ$7))-(IF($B$4, 9.807, 32.174)*BM100^2)/(2*BP$7^2*COS(RADIANS(BQ$7))^2)+$D$7</f>
        <v>3.22073268384772</v>
      </c>
      <c r="BP100" s="123" t="n">
        <f aca="false">MIN($V$5,BO100)</f>
        <v>3.22073268384772</v>
      </c>
      <c r="BQ100" s="112"/>
      <c r="BR100" s="112" t="n">
        <f aca="false">BR99+BR$7/100</f>
        <v>1.84</v>
      </c>
      <c r="BS100" s="112" t="n">
        <f aca="false">BR100</f>
        <v>1.84</v>
      </c>
      <c r="BT100" s="112" t="n">
        <f aca="false">BR100*TAN(RADIANS(BV$7))-(IF($B$4, 9.807, 32.174)*BR100^2)/(2*BU$7^2*COS(RADIANS(BV$7))^2)+$D$7</f>
        <v>3.22073268384772</v>
      </c>
      <c r="BU100" s="123" t="n">
        <f aca="false">MIN($V$5,BT100)</f>
        <v>3.22073268384772</v>
      </c>
      <c r="BV100" s="112"/>
      <c r="BW100" s="112" t="n">
        <f aca="false">BW99+BW$7/100</f>
        <v>1.84</v>
      </c>
      <c r="BX100" s="122" t="n">
        <f aca="false">BW100-IF($I$3="Forward", $D$9, $G$9)</f>
        <v>1.84</v>
      </c>
      <c r="BY100" s="112" t="n">
        <f aca="false">BW100*TAN(RADIANS(CA$7))-(IF($B$4, 9.807, 32.174)*BW100^2)/(2*BZ$7^2*COS(RADIANS(CA$7))^2)+$D$7</f>
        <v>3.22073268384772</v>
      </c>
      <c r="BZ100" s="123" t="n">
        <f aca="false">MIN($V$5,BY100)</f>
        <v>3.22073268384772</v>
      </c>
      <c r="CA100" s="112"/>
      <c r="CB100" s="112" t="n">
        <f aca="false">CB99+CB$7/100</f>
        <v>1.84</v>
      </c>
      <c r="CC100" s="122" t="n">
        <f aca="false">CB100+IF($I$3="Forward", $D$9, $G$9)</f>
        <v>1.84</v>
      </c>
      <c r="CD100" s="112" t="n">
        <f aca="false">CB100*TAN(RADIANS(CF$7))-(IF($B$4, 9.807, 32.174)*CB100^2)/(2*CE$7^2*COS(RADIANS(CF$7))^2)+$D$7</f>
        <v>3.22073268384772</v>
      </c>
      <c r="CE100" s="123" t="n">
        <f aca="false">MIN($V$5,CD100)</f>
        <v>3.22073268384772</v>
      </c>
      <c r="CF100" s="112"/>
      <c r="CG100" s="124" t="n">
        <f aca="false">CG99+CG$7/100</f>
        <v>1.84</v>
      </c>
      <c r="CH100" s="124" t="n">
        <f aca="false">CG100</f>
        <v>1.84</v>
      </c>
      <c r="CI100" s="124" t="n">
        <f aca="false">CG100*TAN(RADIANS(CK$7))-(IF($B$4, 9.807, 32.174)*CG100^2)/(2*CJ$7^2*COS(RADIANS(CK$7))^2)+$D$7</f>
        <v>3.22073268384772</v>
      </c>
      <c r="CJ100" s="123" t="n">
        <f aca="false">MIN($V$5,CI100)</f>
        <v>3.22073268384772</v>
      </c>
      <c r="CK100" s="124"/>
      <c r="CL100" s="112" t="n">
        <f aca="false">CL99+CL$7/100</f>
        <v>1.84</v>
      </c>
      <c r="CM100" s="122" t="n">
        <f aca="false">CL100-IF($I$3="Forward", $D$9, $G$9)</f>
        <v>1.84</v>
      </c>
      <c r="CN100" s="112" t="n">
        <f aca="false">CL100*TAN(RADIANS(CP$7))-(IF($B$4, 9.807, 32.174)*CL100^2)/(2*CO$7^2*COS(RADIANS(CP$7))^2)+$D$7</f>
        <v>3.22073268384772</v>
      </c>
      <c r="CO100" s="123" t="n">
        <f aca="false">MIN($V$5,CN100)</f>
        <v>3.22073268384772</v>
      </c>
      <c r="CP100" s="112"/>
      <c r="CQ100" s="112" t="n">
        <f aca="false">CQ99+CQ$7/100</f>
        <v>1.84</v>
      </c>
      <c r="CR100" s="122" t="n">
        <f aca="false">CQ100+IF($I$3="Forward", $D$9, $G$9)</f>
        <v>1.84</v>
      </c>
      <c r="CS100" s="112" t="n">
        <f aca="false">CQ100*TAN(RADIANS(CU$7))-(IF($B$4, 9.807, 32.174)*CQ100^2)/(2*CT$7^2*COS(RADIANS(CU$7))^2)+$D$7</f>
        <v>3.22073268384772</v>
      </c>
      <c r="CT100" s="123" t="n">
        <f aca="false">MIN($V$5,CS100)</f>
        <v>3.22073268384772</v>
      </c>
      <c r="CU100" s="112"/>
      <c r="CV100" s="112" t="n">
        <f aca="false">CV99+CV$7/100</f>
        <v>1.84</v>
      </c>
      <c r="CW100" s="112" t="n">
        <f aca="false">CV100</f>
        <v>1.84</v>
      </c>
      <c r="CX100" s="112" t="n">
        <f aca="false">CV100*TAN(RADIANS(CZ$7))-(IF($B$4, 9.807, 32.174)*CV100^2)/(2*CY$7^2*COS(RADIANS(CZ$7))^2)+$D$7</f>
        <v>3.22073268384772</v>
      </c>
      <c r="CY100" s="123" t="n">
        <f aca="false">MIN($V$5,CX100)</f>
        <v>3.22073268384772</v>
      </c>
      <c r="CZ100" s="112"/>
      <c r="DA100" s="112" t="n">
        <f aca="false">DA99+DA$7/100</f>
        <v>1.84</v>
      </c>
      <c r="DB100" s="122" t="n">
        <f aca="false">DA100-IF($I$3="Forward", $D$9, $G$9)</f>
        <v>1.84</v>
      </c>
      <c r="DC100" s="112" t="n">
        <f aca="false">DA100*TAN(RADIANS(DE$7))-(IF($B$4, 9.807, 32.174)*DA100^2)/(2*DD$7^2*COS(RADIANS(DE$7))^2)+$D$7</f>
        <v>3.22073268384772</v>
      </c>
      <c r="DD100" s="123" t="n">
        <f aca="false">MIN($V$5,DC100)</f>
        <v>3.22073268384772</v>
      </c>
      <c r="DE100" s="112"/>
      <c r="DF100" s="112" t="n">
        <f aca="false">DF99+DF$7/100</f>
        <v>1.84</v>
      </c>
      <c r="DG100" s="122" t="n">
        <f aca="false">DF100+IF($I$3="Forward", $D$9, $G$9)</f>
        <v>1.84</v>
      </c>
      <c r="DH100" s="112" t="n">
        <f aca="false">DF100*TAN(RADIANS(DJ$7))-(IF($B$4, 9.807, 32.174)*DF100^2)/(2*DI$7^2*COS(RADIANS(DJ$7))^2)+$D$7</f>
        <v>3.22073268384772</v>
      </c>
      <c r="DI100" s="123" t="n">
        <f aca="false">MIN($V$5,DH100)</f>
        <v>3.22073268384772</v>
      </c>
      <c r="DJ100" s="112"/>
      <c r="DK100" s="112" t="n">
        <f aca="false">DK99+DK$7/100</f>
        <v>1.84</v>
      </c>
      <c r="DL100" s="112" t="n">
        <f aca="false">DK100</f>
        <v>1.84</v>
      </c>
      <c r="DM100" s="112" t="n">
        <f aca="false">DK100*TAN(RADIANS(DO$7))-(IF($B$4, 9.807, 32.174)*DK100^2)/(2*DN$7^2*COS(RADIANS(DO$7))^2)+$D$7</f>
        <v>3.22073268384772</v>
      </c>
      <c r="DN100" s="123" t="n">
        <f aca="false">MIN($V$5,DM100)</f>
        <v>3.22073268384772</v>
      </c>
      <c r="DO100" s="112"/>
      <c r="DP100" s="112" t="n">
        <f aca="false">DP99+DP$7/100</f>
        <v>1.84</v>
      </c>
      <c r="DQ100" s="122" t="n">
        <f aca="false">DP100-IF($I$3="Forward", $D$9, $G$9)</f>
        <v>1.84</v>
      </c>
      <c r="DR100" s="112" t="n">
        <f aca="false">DP100*TAN(RADIANS(DT$7))-(IF($B$4, 9.807, 32.174)*DP100^2)/(2*DS$7^2*COS(RADIANS(DT$7))^2)+$D$7</f>
        <v>3.22073268384772</v>
      </c>
      <c r="DS100" s="123" t="n">
        <f aca="false">MIN($V$5,DR100)</f>
        <v>3.22073268384772</v>
      </c>
      <c r="DT100" s="112"/>
      <c r="DU100" s="112" t="n">
        <f aca="false">DU99+DU$7/100</f>
        <v>1.84</v>
      </c>
      <c r="DV100" s="122" t="n">
        <f aca="false">DU100+IF($I$3="Forward", $D$9, $G$9)</f>
        <v>1.84</v>
      </c>
      <c r="DW100" s="112" t="n">
        <f aca="false">DU100*TAN(RADIANS(DY$7))-(IF($B$4, 9.807, 32.174)*DU100^2)/(2*DX$7^2*COS(RADIANS(DY$7))^2)+$D$7</f>
        <v>3.22073268384772</v>
      </c>
      <c r="DX100" s="123" t="n">
        <f aca="false">MIN($V$5,DW100)</f>
        <v>3.22073268384772</v>
      </c>
      <c r="DY100" s="112"/>
      <c r="DZ100" s="112" t="n">
        <f aca="false">DZ99+DZ$7/100</f>
        <v>1.84</v>
      </c>
      <c r="EA100" s="112" t="n">
        <f aca="false">DZ100</f>
        <v>1.84</v>
      </c>
      <c r="EB100" s="112" t="n">
        <f aca="false">DZ100*TAN(RADIANS(ED$7))-(IF($B$4, 9.807, 32.174)*DZ100^2)/(2*EC$7^2*COS(RADIANS(ED$7))^2)+$D$7</f>
        <v>3.22073268384772</v>
      </c>
      <c r="EC100" s="123" t="n">
        <f aca="false">MIN($V$5,EB100)</f>
        <v>3.22073268384772</v>
      </c>
      <c r="ED100" s="112"/>
      <c r="EE100" s="112" t="n">
        <f aca="false">EE99+EE$7/100</f>
        <v>1.84</v>
      </c>
      <c r="EF100" s="122" t="n">
        <f aca="false">EE100-IF($I$3="Forward", $D$9, $G$9)</f>
        <v>1.84</v>
      </c>
      <c r="EG100" s="112" t="n">
        <f aca="false">EE100*TAN(RADIANS(EI$7))-(IF($B$4, 9.807, 32.174)*EE100^2)/(2*EH$7^2*COS(RADIANS(EI$7))^2)+$D$7</f>
        <v>3.22073268384772</v>
      </c>
      <c r="EH100" s="123" t="n">
        <f aca="false">MIN($V$5,EG100)</f>
        <v>3.22073268384772</v>
      </c>
      <c r="EI100" s="112"/>
      <c r="EJ100" s="112" t="n">
        <f aca="false">EJ99+EJ$7/100</f>
        <v>1.84</v>
      </c>
      <c r="EK100" s="122" t="n">
        <f aca="false">EJ100+IF($I$3="Forward", $D$9, $G$9)</f>
        <v>1.84</v>
      </c>
      <c r="EL100" s="112" t="n">
        <f aca="false">EJ100*TAN(RADIANS(EN$7))-(IF($B$4, 9.807, 32.174)*EJ100^2)/(2*EM$7^2*COS(RADIANS(EN$7))^2)+$D$7</f>
        <v>3.22073268384772</v>
      </c>
      <c r="EM100" s="123" t="n">
        <f aca="false">MIN($V$5,EL100)</f>
        <v>3.22073268384772</v>
      </c>
      <c r="EN100" s="112"/>
      <c r="EO100" s="112" t="n">
        <f aca="false">EO99+EO$7/100</f>
        <v>1.84</v>
      </c>
      <c r="EP100" s="112" t="n">
        <f aca="false">EO100</f>
        <v>1.84</v>
      </c>
      <c r="EQ100" s="112" t="n">
        <f aca="false">EO100*TAN(RADIANS(ES$7))-(IF($B$4, 9.807, 32.174)*EO100^2)/(2*ER$7^2*COS(RADIANS(ES$7))^2)+$D$7</f>
        <v>3.22073268384772</v>
      </c>
      <c r="ER100" s="123" t="n">
        <f aca="false">MIN($V$5,EQ100)</f>
        <v>3.22073268384772</v>
      </c>
      <c r="ES100" s="112"/>
      <c r="ET100" s="112" t="n">
        <f aca="false">ET99+ET$7/100</f>
        <v>1.84</v>
      </c>
      <c r="EU100" s="122" t="n">
        <f aca="false">ET100-IF($I$3="Forward", $D$9, $G$9)</f>
        <v>1.84</v>
      </c>
      <c r="EV100" s="112" t="n">
        <f aca="false">ET100*TAN(RADIANS(EX$7))-(IF($B$4, 9.807, 32.174)*ET100^2)/(2*EW$7^2*COS(RADIANS(EX$7))^2)+$D$7</f>
        <v>3.22073268384772</v>
      </c>
      <c r="EW100" s="123" t="n">
        <f aca="false">MIN($V$5,EV100)</f>
        <v>3.22073268384772</v>
      </c>
      <c r="EX100" s="112"/>
    </row>
    <row r="101" s="131" customFormat="true" ht="15" hidden="false" customHeight="false" outlineLevel="0" collapsed="false">
      <c r="T101" s="112" t="n">
        <f aca="false">T100+T$7/100</f>
        <v>1.86</v>
      </c>
      <c r="U101" s="122" t="n">
        <f aca="false">T101+IF($I$3="Forward", $D$9, $G$9)</f>
        <v>1.86</v>
      </c>
      <c r="V101" s="112" t="n">
        <f aca="false">T101*TAN(RADIANS(X$7))-(IF($B$4, 9.807, 32.174)*T101^2)/(2*W$7^2*COS(RADIANS(X$7))^2)+$D$7</f>
        <v>3.12762089291422</v>
      </c>
      <c r="W101" s="123" t="n">
        <f aca="false">MIN($V$5,V101)</f>
        <v>3.12762089291422</v>
      </c>
      <c r="X101" s="112"/>
      <c r="Y101" s="112" t="n">
        <f aca="false">Y100+Y$7/100</f>
        <v>1.86</v>
      </c>
      <c r="Z101" s="112" t="n">
        <f aca="false">Y101</f>
        <v>1.86</v>
      </c>
      <c r="AA101" s="112" t="n">
        <f aca="false">Y101*TAN(RADIANS(AC$7))-(IF($B$4, 9.807, 32.174)*Y101^2)/(2*AB$7^2*COS(RADIANS(AC$7))^2)+$D$7</f>
        <v>3.12762089291422</v>
      </c>
      <c r="AB101" s="123" t="n">
        <f aca="false">MIN($V$5,AA101)</f>
        <v>3.12762089291422</v>
      </c>
      <c r="AC101" s="112"/>
      <c r="AD101" s="112" t="n">
        <f aca="false">AD100+AD$7/100</f>
        <v>1.86</v>
      </c>
      <c r="AE101" s="122" t="n">
        <f aca="false">AD101-IF($I$3="Forward", $D$9, $G$9)</f>
        <v>1.86</v>
      </c>
      <c r="AF101" s="112" t="n">
        <f aca="false">AD101*TAN(RADIANS(AH$7))-(IF($B$4, 9.807, 32.174)*AD101^2)/(2*AG$7^2*COS(RADIANS(AH$7))^2)+$D$7</f>
        <v>3.12762089291422</v>
      </c>
      <c r="AG101" s="123" t="n">
        <f aca="false">MIN($V$5,AF101)</f>
        <v>3.12762089291422</v>
      </c>
      <c r="AH101" s="112"/>
      <c r="AI101" s="112" t="n">
        <f aca="false">AI100+AI$7/100</f>
        <v>1.86</v>
      </c>
      <c r="AJ101" s="122" t="n">
        <f aca="false">AI101+IF($I$3="Forward", $D$9, $G$9)</f>
        <v>1.86</v>
      </c>
      <c r="AK101" s="112" t="n">
        <f aca="false">AI101*TAN(RADIANS(AM$7))-(IF($B$4, 9.807, 32.174)*AI101^2)/(2*AL$7^2*COS(RADIANS(AM$7))^2)+$D$7</f>
        <v>3.12762089291422</v>
      </c>
      <c r="AL101" s="123" t="n">
        <f aca="false">MIN($V$5,AK101)</f>
        <v>3.12762089291422</v>
      </c>
      <c r="AM101" s="112"/>
      <c r="AN101" s="112" t="n">
        <f aca="false">AN100+AN$7/100</f>
        <v>1.86</v>
      </c>
      <c r="AO101" s="112" t="n">
        <f aca="false">AN101</f>
        <v>1.86</v>
      </c>
      <c r="AP101" s="112" t="n">
        <f aca="false">AN101*TAN(RADIANS(AR$7))-(IF($B$4, 9.807, 32.174)*AN101^2)/(2*AQ$7^2*COS(RADIANS(AR$7))^2)+$D$7</f>
        <v>3.12762089291422</v>
      </c>
      <c r="AQ101" s="123" t="n">
        <f aca="false">MIN($V$5,AP101)</f>
        <v>3.12762089291422</v>
      </c>
      <c r="AR101" s="112"/>
      <c r="AS101" s="112" t="n">
        <f aca="false">AS100+AS$7/100</f>
        <v>1.86</v>
      </c>
      <c r="AT101" s="122" t="n">
        <f aca="false">AS101-IF($I$3="Forward", $D$9, $G$9)</f>
        <v>1.86</v>
      </c>
      <c r="AU101" s="112" t="n">
        <f aca="false">AS101*TAN(RADIANS(AW$7))-(IF($B$4, 9.807, 32.174)*AS101^2)/(2*AV$7^2*COS(RADIANS(AW$7))^2)+$D$7</f>
        <v>3.12762089291422</v>
      </c>
      <c r="AV101" s="123" t="n">
        <f aca="false">MIN($V$5,AU101)</f>
        <v>3.12762089291422</v>
      </c>
      <c r="AW101" s="112"/>
      <c r="AX101" s="112" t="n">
        <f aca="false">AX100+AX$7/100</f>
        <v>1.86</v>
      </c>
      <c r="AY101" s="122" t="n">
        <f aca="false">AX101+IF($I$3="Forward", $D$9, $G$9)</f>
        <v>1.86</v>
      </c>
      <c r="AZ101" s="112" t="n">
        <f aca="false">AX101*TAN(RADIANS(BB$7))-(IF($B$4, 9.807, 32.174)*AX101^2)/(2*BA$7^2*COS(RADIANS(BB$7))^2)+$D$7</f>
        <v>3.12762089291422</v>
      </c>
      <c r="BA101" s="123" t="n">
        <f aca="false">MIN($V$5,AZ101)</f>
        <v>3.12762089291422</v>
      </c>
      <c r="BB101" s="112"/>
      <c r="BC101" s="112" t="n">
        <f aca="false">BC100+BC$7/100</f>
        <v>1.86</v>
      </c>
      <c r="BD101" s="112" t="n">
        <f aca="false">BC101</f>
        <v>1.86</v>
      </c>
      <c r="BE101" s="112" t="n">
        <f aca="false">BC101*TAN(RADIANS(BG$7))-(IF($B$4, 9.807, 32.174)*BC101^2)/(2*BF$7^2*COS(RADIANS(BG$7))^2)+$D$7</f>
        <v>3.12762089291422</v>
      </c>
      <c r="BF101" s="123" t="n">
        <f aca="false">MIN($V$5,BE101)</f>
        <v>3.12762089291422</v>
      </c>
      <c r="BG101" s="112"/>
      <c r="BH101" s="112" t="n">
        <f aca="false">BH100+BH$7/100</f>
        <v>1.86</v>
      </c>
      <c r="BI101" s="122" t="n">
        <f aca="false">BH101-IF($I$3="Forward", $D$9, $G$9)</f>
        <v>1.86</v>
      </c>
      <c r="BJ101" s="112" t="n">
        <f aca="false">BH101*TAN(RADIANS(BL$7))-(IF($B$4, 9.807, 32.174)*BH101^2)/(2*BK$7^2*COS(RADIANS(BL$7))^2)+$D$7</f>
        <v>3.12762089291422</v>
      </c>
      <c r="BK101" s="123" t="n">
        <f aca="false">MIN($V$5,BJ101)</f>
        <v>3.12762089291422</v>
      </c>
      <c r="BL101" s="112"/>
      <c r="BM101" s="112" t="n">
        <f aca="false">BM100+BM$7/100</f>
        <v>1.86</v>
      </c>
      <c r="BN101" s="122" t="n">
        <f aca="false">BM101+IF($I$3="Forward", $D$9, $G$9)</f>
        <v>1.86</v>
      </c>
      <c r="BO101" s="112" t="n">
        <f aca="false">BM101*TAN(RADIANS(BQ$7))-(IF($B$4, 9.807, 32.174)*BM101^2)/(2*BP$7^2*COS(RADIANS(BQ$7))^2)+$D$7</f>
        <v>3.12762089291422</v>
      </c>
      <c r="BP101" s="123" t="n">
        <f aca="false">MIN($V$5,BO101)</f>
        <v>3.12762089291422</v>
      </c>
      <c r="BQ101" s="112"/>
      <c r="BR101" s="112" t="n">
        <f aca="false">BR100+BR$7/100</f>
        <v>1.86</v>
      </c>
      <c r="BS101" s="112" t="n">
        <f aca="false">BR101</f>
        <v>1.86</v>
      </c>
      <c r="BT101" s="112" t="n">
        <f aca="false">BR101*TAN(RADIANS(BV$7))-(IF($B$4, 9.807, 32.174)*BR101^2)/(2*BU$7^2*COS(RADIANS(BV$7))^2)+$D$7</f>
        <v>3.12762089291422</v>
      </c>
      <c r="BU101" s="123" t="n">
        <f aca="false">MIN($V$5,BT101)</f>
        <v>3.12762089291422</v>
      </c>
      <c r="BV101" s="112"/>
      <c r="BW101" s="112" t="n">
        <f aca="false">BW100+BW$7/100</f>
        <v>1.86</v>
      </c>
      <c r="BX101" s="122" t="n">
        <f aca="false">BW101-IF($I$3="Forward", $D$9, $G$9)</f>
        <v>1.86</v>
      </c>
      <c r="BY101" s="112" t="n">
        <f aca="false">BW101*TAN(RADIANS(CA$7))-(IF($B$4, 9.807, 32.174)*BW101^2)/(2*BZ$7^2*COS(RADIANS(CA$7))^2)+$D$7</f>
        <v>3.12762089291422</v>
      </c>
      <c r="BZ101" s="123" t="n">
        <f aca="false">MIN($V$5,BY101)</f>
        <v>3.12762089291422</v>
      </c>
      <c r="CA101" s="112"/>
      <c r="CB101" s="112" t="n">
        <f aca="false">CB100+CB$7/100</f>
        <v>1.86</v>
      </c>
      <c r="CC101" s="122" t="n">
        <f aca="false">CB101+IF($I$3="Forward", $D$9, $G$9)</f>
        <v>1.86</v>
      </c>
      <c r="CD101" s="112" t="n">
        <f aca="false">CB101*TAN(RADIANS(CF$7))-(IF($B$4, 9.807, 32.174)*CB101^2)/(2*CE$7^2*COS(RADIANS(CF$7))^2)+$D$7</f>
        <v>3.12762089291422</v>
      </c>
      <c r="CE101" s="123" t="n">
        <f aca="false">MIN($V$5,CD101)</f>
        <v>3.12762089291422</v>
      </c>
      <c r="CF101" s="112"/>
      <c r="CG101" s="124" t="n">
        <f aca="false">CG100+CG$7/100</f>
        <v>1.86</v>
      </c>
      <c r="CH101" s="124" t="n">
        <f aca="false">CG101</f>
        <v>1.86</v>
      </c>
      <c r="CI101" s="124" t="n">
        <f aca="false">CG101*TAN(RADIANS(CK$7))-(IF($B$4, 9.807, 32.174)*CG101^2)/(2*CJ$7^2*COS(RADIANS(CK$7))^2)+$D$7</f>
        <v>3.12762089291422</v>
      </c>
      <c r="CJ101" s="123" t="n">
        <f aca="false">MIN($V$5,CI101)</f>
        <v>3.12762089291422</v>
      </c>
      <c r="CK101" s="124"/>
      <c r="CL101" s="112" t="n">
        <f aca="false">CL100+CL$7/100</f>
        <v>1.86</v>
      </c>
      <c r="CM101" s="122" t="n">
        <f aca="false">CL101-IF($I$3="Forward", $D$9, $G$9)</f>
        <v>1.86</v>
      </c>
      <c r="CN101" s="112" t="n">
        <f aca="false">CL101*TAN(RADIANS(CP$7))-(IF($B$4, 9.807, 32.174)*CL101^2)/(2*CO$7^2*COS(RADIANS(CP$7))^2)+$D$7</f>
        <v>3.12762089291422</v>
      </c>
      <c r="CO101" s="123" t="n">
        <f aca="false">MIN($V$5,CN101)</f>
        <v>3.12762089291422</v>
      </c>
      <c r="CP101" s="112"/>
      <c r="CQ101" s="112" t="n">
        <f aca="false">CQ100+CQ$7/100</f>
        <v>1.86</v>
      </c>
      <c r="CR101" s="122" t="n">
        <f aca="false">CQ101+IF($I$3="Forward", $D$9, $G$9)</f>
        <v>1.86</v>
      </c>
      <c r="CS101" s="112" t="n">
        <f aca="false">CQ101*TAN(RADIANS(CU$7))-(IF($B$4, 9.807, 32.174)*CQ101^2)/(2*CT$7^2*COS(RADIANS(CU$7))^2)+$D$7</f>
        <v>3.12762089291422</v>
      </c>
      <c r="CT101" s="123" t="n">
        <f aca="false">MIN($V$5,CS101)</f>
        <v>3.12762089291422</v>
      </c>
      <c r="CU101" s="112"/>
      <c r="CV101" s="112" t="n">
        <f aca="false">CV100+CV$7/100</f>
        <v>1.86</v>
      </c>
      <c r="CW101" s="112" t="n">
        <f aca="false">CV101</f>
        <v>1.86</v>
      </c>
      <c r="CX101" s="112" t="n">
        <f aca="false">CV101*TAN(RADIANS(CZ$7))-(IF($B$4, 9.807, 32.174)*CV101^2)/(2*CY$7^2*COS(RADIANS(CZ$7))^2)+$D$7</f>
        <v>3.12762089291422</v>
      </c>
      <c r="CY101" s="123" t="n">
        <f aca="false">MIN($V$5,CX101)</f>
        <v>3.12762089291422</v>
      </c>
      <c r="CZ101" s="112"/>
      <c r="DA101" s="112" t="n">
        <f aca="false">DA100+DA$7/100</f>
        <v>1.86</v>
      </c>
      <c r="DB101" s="122" t="n">
        <f aca="false">DA101-IF($I$3="Forward", $D$9, $G$9)</f>
        <v>1.86</v>
      </c>
      <c r="DC101" s="112" t="n">
        <f aca="false">DA101*TAN(RADIANS(DE$7))-(IF($B$4, 9.807, 32.174)*DA101^2)/(2*DD$7^2*COS(RADIANS(DE$7))^2)+$D$7</f>
        <v>3.12762089291422</v>
      </c>
      <c r="DD101" s="123" t="n">
        <f aca="false">MIN($V$5,DC101)</f>
        <v>3.12762089291422</v>
      </c>
      <c r="DE101" s="112"/>
      <c r="DF101" s="112" t="n">
        <f aca="false">DF100+DF$7/100</f>
        <v>1.86</v>
      </c>
      <c r="DG101" s="122" t="n">
        <f aca="false">DF101+IF($I$3="Forward", $D$9, $G$9)</f>
        <v>1.86</v>
      </c>
      <c r="DH101" s="112" t="n">
        <f aca="false">DF101*TAN(RADIANS(DJ$7))-(IF($B$4, 9.807, 32.174)*DF101^2)/(2*DI$7^2*COS(RADIANS(DJ$7))^2)+$D$7</f>
        <v>3.12762089291422</v>
      </c>
      <c r="DI101" s="123" t="n">
        <f aca="false">MIN($V$5,DH101)</f>
        <v>3.12762089291422</v>
      </c>
      <c r="DJ101" s="112"/>
      <c r="DK101" s="112" t="n">
        <f aca="false">DK100+DK$7/100</f>
        <v>1.86</v>
      </c>
      <c r="DL101" s="112" t="n">
        <f aca="false">DK101</f>
        <v>1.86</v>
      </c>
      <c r="DM101" s="112" t="n">
        <f aca="false">DK101*TAN(RADIANS(DO$7))-(IF($B$4, 9.807, 32.174)*DK101^2)/(2*DN$7^2*COS(RADIANS(DO$7))^2)+$D$7</f>
        <v>3.12762089291422</v>
      </c>
      <c r="DN101" s="123" t="n">
        <f aca="false">MIN($V$5,DM101)</f>
        <v>3.12762089291422</v>
      </c>
      <c r="DO101" s="112"/>
      <c r="DP101" s="112" t="n">
        <f aca="false">DP100+DP$7/100</f>
        <v>1.86</v>
      </c>
      <c r="DQ101" s="122" t="n">
        <f aca="false">DP101-IF($I$3="Forward", $D$9, $G$9)</f>
        <v>1.86</v>
      </c>
      <c r="DR101" s="112" t="n">
        <f aca="false">DP101*TAN(RADIANS(DT$7))-(IF($B$4, 9.807, 32.174)*DP101^2)/(2*DS$7^2*COS(RADIANS(DT$7))^2)+$D$7</f>
        <v>3.12762089291422</v>
      </c>
      <c r="DS101" s="123" t="n">
        <f aca="false">MIN($V$5,DR101)</f>
        <v>3.12762089291422</v>
      </c>
      <c r="DT101" s="112"/>
      <c r="DU101" s="112" t="n">
        <f aca="false">DU100+DU$7/100</f>
        <v>1.86</v>
      </c>
      <c r="DV101" s="122" t="n">
        <f aca="false">DU101+IF($I$3="Forward", $D$9, $G$9)</f>
        <v>1.86</v>
      </c>
      <c r="DW101" s="112" t="n">
        <f aca="false">DU101*TAN(RADIANS(DY$7))-(IF($B$4, 9.807, 32.174)*DU101^2)/(2*DX$7^2*COS(RADIANS(DY$7))^2)+$D$7</f>
        <v>3.12762089291422</v>
      </c>
      <c r="DX101" s="123" t="n">
        <f aca="false">MIN($V$5,DW101)</f>
        <v>3.12762089291422</v>
      </c>
      <c r="DY101" s="112"/>
      <c r="DZ101" s="112" t="n">
        <f aca="false">DZ100+DZ$7/100</f>
        <v>1.86</v>
      </c>
      <c r="EA101" s="112" t="n">
        <f aca="false">DZ101</f>
        <v>1.86</v>
      </c>
      <c r="EB101" s="112" t="n">
        <f aca="false">DZ101*TAN(RADIANS(ED$7))-(IF($B$4, 9.807, 32.174)*DZ101^2)/(2*EC$7^2*COS(RADIANS(ED$7))^2)+$D$7</f>
        <v>3.12762089291422</v>
      </c>
      <c r="EC101" s="123" t="n">
        <f aca="false">MIN($V$5,EB101)</f>
        <v>3.12762089291422</v>
      </c>
      <c r="ED101" s="112"/>
      <c r="EE101" s="112" t="n">
        <f aca="false">EE100+EE$7/100</f>
        <v>1.86</v>
      </c>
      <c r="EF101" s="122" t="n">
        <f aca="false">EE101-IF($I$3="Forward", $D$9, $G$9)</f>
        <v>1.86</v>
      </c>
      <c r="EG101" s="112" t="n">
        <f aca="false">EE101*TAN(RADIANS(EI$7))-(IF($B$4, 9.807, 32.174)*EE101^2)/(2*EH$7^2*COS(RADIANS(EI$7))^2)+$D$7</f>
        <v>3.12762089291422</v>
      </c>
      <c r="EH101" s="123" t="n">
        <f aca="false">MIN($V$5,EG101)</f>
        <v>3.12762089291422</v>
      </c>
      <c r="EI101" s="112"/>
      <c r="EJ101" s="112" t="n">
        <f aca="false">EJ100+EJ$7/100</f>
        <v>1.86</v>
      </c>
      <c r="EK101" s="122" t="n">
        <f aca="false">EJ101+IF($I$3="Forward", $D$9, $G$9)</f>
        <v>1.86</v>
      </c>
      <c r="EL101" s="112" t="n">
        <f aca="false">EJ101*TAN(RADIANS(EN$7))-(IF($B$4, 9.807, 32.174)*EJ101^2)/(2*EM$7^2*COS(RADIANS(EN$7))^2)+$D$7</f>
        <v>3.12762089291422</v>
      </c>
      <c r="EM101" s="123" t="n">
        <f aca="false">MIN($V$5,EL101)</f>
        <v>3.12762089291422</v>
      </c>
      <c r="EN101" s="112"/>
      <c r="EO101" s="112" t="n">
        <f aca="false">EO100+EO$7/100</f>
        <v>1.86</v>
      </c>
      <c r="EP101" s="112" t="n">
        <f aca="false">EO101</f>
        <v>1.86</v>
      </c>
      <c r="EQ101" s="112" t="n">
        <f aca="false">EO101*TAN(RADIANS(ES$7))-(IF($B$4, 9.807, 32.174)*EO101^2)/(2*ER$7^2*COS(RADIANS(ES$7))^2)+$D$7</f>
        <v>3.12762089291422</v>
      </c>
      <c r="ER101" s="123" t="n">
        <f aca="false">MIN($V$5,EQ101)</f>
        <v>3.12762089291422</v>
      </c>
      <c r="ES101" s="112"/>
      <c r="ET101" s="112" t="n">
        <f aca="false">ET100+ET$7/100</f>
        <v>1.86</v>
      </c>
      <c r="EU101" s="122" t="n">
        <f aca="false">ET101-IF($I$3="Forward", $D$9, $G$9)</f>
        <v>1.86</v>
      </c>
      <c r="EV101" s="112" t="n">
        <f aca="false">ET101*TAN(RADIANS(EX$7))-(IF($B$4, 9.807, 32.174)*ET101^2)/(2*EW$7^2*COS(RADIANS(EX$7))^2)+$D$7</f>
        <v>3.12762089291422</v>
      </c>
      <c r="EW101" s="123" t="n">
        <f aca="false">MIN($V$5,EV101)</f>
        <v>3.12762089291422</v>
      </c>
      <c r="EX101" s="112"/>
    </row>
    <row r="102" s="131" customFormat="true" ht="15" hidden="false" customHeight="false" outlineLevel="0" collapsed="false">
      <c r="T102" s="112" t="n">
        <f aca="false">T101+T$7/100</f>
        <v>1.88</v>
      </c>
      <c r="U102" s="122" t="n">
        <f aca="false">T102+IF($I$3="Forward", $D$9, $G$9)</f>
        <v>1.88</v>
      </c>
      <c r="V102" s="112" t="n">
        <f aca="false">T102*TAN(RADIANS(X$7))-(IF($B$4, 9.807, 32.174)*T102^2)/(2*W$7^2*COS(RADIANS(X$7))^2)+$D$7</f>
        <v>3.03180058925287</v>
      </c>
      <c r="W102" s="123" t="n">
        <f aca="false">MIN($V$5,V102)</f>
        <v>3.03180058925287</v>
      </c>
      <c r="X102" s="112"/>
      <c r="Y102" s="112" t="n">
        <f aca="false">Y101+Y$7/100</f>
        <v>1.88</v>
      </c>
      <c r="Z102" s="112" t="n">
        <f aca="false">Y102</f>
        <v>1.88</v>
      </c>
      <c r="AA102" s="112" t="n">
        <f aca="false">Y102*TAN(RADIANS(AC$7))-(IF($B$4, 9.807, 32.174)*Y102^2)/(2*AB$7^2*COS(RADIANS(AC$7))^2)+$D$7</f>
        <v>3.03180058925287</v>
      </c>
      <c r="AB102" s="123" t="n">
        <f aca="false">MIN($V$5,AA102)</f>
        <v>3.03180058925287</v>
      </c>
      <c r="AC102" s="112"/>
      <c r="AD102" s="112" t="n">
        <f aca="false">AD101+AD$7/100</f>
        <v>1.88</v>
      </c>
      <c r="AE102" s="122" t="n">
        <f aca="false">AD102-IF($I$3="Forward", $D$9, $G$9)</f>
        <v>1.88</v>
      </c>
      <c r="AF102" s="112" t="n">
        <f aca="false">AD102*TAN(RADIANS(AH$7))-(IF($B$4, 9.807, 32.174)*AD102^2)/(2*AG$7^2*COS(RADIANS(AH$7))^2)+$D$7</f>
        <v>3.03180058925287</v>
      </c>
      <c r="AG102" s="123" t="n">
        <f aca="false">MIN($V$5,AF102)</f>
        <v>3.03180058925287</v>
      </c>
      <c r="AH102" s="112"/>
      <c r="AI102" s="112" t="n">
        <f aca="false">AI101+AI$7/100</f>
        <v>1.88</v>
      </c>
      <c r="AJ102" s="122" t="n">
        <f aca="false">AI102+IF($I$3="Forward", $D$9, $G$9)</f>
        <v>1.88</v>
      </c>
      <c r="AK102" s="112" t="n">
        <f aca="false">AI102*TAN(RADIANS(AM$7))-(IF($B$4, 9.807, 32.174)*AI102^2)/(2*AL$7^2*COS(RADIANS(AM$7))^2)+$D$7</f>
        <v>3.03180058925287</v>
      </c>
      <c r="AL102" s="123" t="n">
        <f aca="false">MIN($V$5,AK102)</f>
        <v>3.03180058925287</v>
      </c>
      <c r="AM102" s="112"/>
      <c r="AN102" s="112" t="n">
        <f aca="false">AN101+AN$7/100</f>
        <v>1.88</v>
      </c>
      <c r="AO102" s="112" t="n">
        <f aca="false">AN102</f>
        <v>1.88</v>
      </c>
      <c r="AP102" s="112" t="n">
        <f aca="false">AN102*TAN(RADIANS(AR$7))-(IF($B$4, 9.807, 32.174)*AN102^2)/(2*AQ$7^2*COS(RADIANS(AR$7))^2)+$D$7</f>
        <v>3.03180058925287</v>
      </c>
      <c r="AQ102" s="123" t="n">
        <f aca="false">MIN($V$5,AP102)</f>
        <v>3.03180058925287</v>
      </c>
      <c r="AR102" s="112"/>
      <c r="AS102" s="112" t="n">
        <f aca="false">AS101+AS$7/100</f>
        <v>1.88</v>
      </c>
      <c r="AT102" s="122" t="n">
        <f aca="false">AS102-IF($I$3="Forward", $D$9, $G$9)</f>
        <v>1.88</v>
      </c>
      <c r="AU102" s="112" t="n">
        <f aca="false">AS102*TAN(RADIANS(AW$7))-(IF($B$4, 9.807, 32.174)*AS102^2)/(2*AV$7^2*COS(RADIANS(AW$7))^2)+$D$7</f>
        <v>3.03180058925287</v>
      </c>
      <c r="AV102" s="123" t="n">
        <f aca="false">MIN($V$5,AU102)</f>
        <v>3.03180058925287</v>
      </c>
      <c r="AW102" s="112"/>
      <c r="AX102" s="112" t="n">
        <f aca="false">AX101+AX$7/100</f>
        <v>1.88</v>
      </c>
      <c r="AY102" s="122" t="n">
        <f aca="false">AX102+IF($I$3="Forward", $D$9, $G$9)</f>
        <v>1.88</v>
      </c>
      <c r="AZ102" s="112" t="n">
        <f aca="false">AX102*TAN(RADIANS(BB$7))-(IF($B$4, 9.807, 32.174)*AX102^2)/(2*BA$7^2*COS(RADIANS(BB$7))^2)+$D$7</f>
        <v>3.03180058925287</v>
      </c>
      <c r="BA102" s="123" t="n">
        <f aca="false">MIN($V$5,AZ102)</f>
        <v>3.03180058925287</v>
      </c>
      <c r="BB102" s="112"/>
      <c r="BC102" s="112" t="n">
        <f aca="false">BC101+BC$7/100</f>
        <v>1.88</v>
      </c>
      <c r="BD102" s="112" t="n">
        <f aca="false">BC102</f>
        <v>1.88</v>
      </c>
      <c r="BE102" s="112" t="n">
        <f aca="false">BC102*TAN(RADIANS(BG$7))-(IF($B$4, 9.807, 32.174)*BC102^2)/(2*BF$7^2*COS(RADIANS(BG$7))^2)+$D$7</f>
        <v>3.03180058925287</v>
      </c>
      <c r="BF102" s="123" t="n">
        <f aca="false">MIN($V$5,BE102)</f>
        <v>3.03180058925287</v>
      </c>
      <c r="BG102" s="112"/>
      <c r="BH102" s="112" t="n">
        <f aca="false">BH101+BH$7/100</f>
        <v>1.88</v>
      </c>
      <c r="BI102" s="122" t="n">
        <f aca="false">BH102-IF($I$3="Forward", $D$9, $G$9)</f>
        <v>1.88</v>
      </c>
      <c r="BJ102" s="112" t="n">
        <f aca="false">BH102*TAN(RADIANS(BL$7))-(IF($B$4, 9.807, 32.174)*BH102^2)/(2*BK$7^2*COS(RADIANS(BL$7))^2)+$D$7</f>
        <v>3.03180058925287</v>
      </c>
      <c r="BK102" s="123" t="n">
        <f aca="false">MIN($V$5,BJ102)</f>
        <v>3.03180058925287</v>
      </c>
      <c r="BL102" s="112"/>
      <c r="BM102" s="112" t="n">
        <f aca="false">BM101+BM$7/100</f>
        <v>1.88</v>
      </c>
      <c r="BN102" s="122" t="n">
        <f aca="false">BM102+IF($I$3="Forward", $D$9, $G$9)</f>
        <v>1.88</v>
      </c>
      <c r="BO102" s="112" t="n">
        <f aca="false">BM102*TAN(RADIANS(BQ$7))-(IF($B$4, 9.807, 32.174)*BM102^2)/(2*BP$7^2*COS(RADIANS(BQ$7))^2)+$D$7</f>
        <v>3.03180058925287</v>
      </c>
      <c r="BP102" s="123" t="n">
        <f aca="false">MIN($V$5,BO102)</f>
        <v>3.03180058925287</v>
      </c>
      <c r="BQ102" s="112"/>
      <c r="BR102" s="112" t="n">
        <f aca="false">BR101+BR$7/100</f>
        <v>1.88</v>
      </c>
      <c r="BS102" s="112" t="n">
        <f aca="false">BR102</f>
        <v>1.88</v>
      </c>
      <c r="BT102" s="112" t="n">
        <f aca="false">BR102*TAN(RADIANS(BV$7))-(IF($B$4, 9.807, 32.174)*BR102^2)/(2*BU$7^2*COS(RADIANS(BV$7))^2)+$D$7</f>
        <v>3.03180058925287</v>
      </c>
      <c r="BU102" s="123" t="n">
        <f aca="false">MIN($V$5,BT102)</f>
        <v>3.03180058925287</v>
      </c>
      <c r="BV102" s="112"/>
      <c r="BW102" s="112" t="n">
        <f aca="false">BW101+BW$7/100</f>
        <v>1.88</v>
      </c>
      <c r="BX102" s="122" t="n">
        <f aca="false">BW102-IF($I$3="Forward", $D$9, $G$9)</f>
        <v>1.88</v>
      </c>
      <c r="BY102" s="112" t="n">
        <f aca="false">BW102*TAN(RADIANS(CA$7))-(IF($B$4, 9.807, 32.174)*BW102^2)/(2*BZ$7^2*COS(RADIANS(CA$7))^2)+$D$7</f>
        <v>3.03180058925287</v>
      </c>
      <c r="BZ102" s="123" t="n">
        <f aca="false">MIN($V$5,BY102)</f>
        <v>3.03180058925287</v>
      </c>
      <c r="CA102" s="112"/>
      <c r="CB102" s="112" t="n">
        <f aca="false">CB101+CB$7/100</f>
        <v>1.88</v>
      </c>
      <c r="CC102" s="122" t="n">
        <f aca="false">CB102+IF($I$3="Forward", $D$9, $G$9)</f>
        <v>1.88</v>
      </c>
      <c r="CD102" s="112" t="n">
        <f aca="false">CB102*TAN(RADIANS(CF$7))-(IF($B$4, 9.807, 32.174)*CB102^2)/(2*CE$7^2*COS(RADIANS(CF$7))^2)+$D$7</f>
        <v>3.03180058925287</v>
      </c>
      <c r="CE102" s="123" t="n">
        <f aca="false">MIN($V$5,CD102)</f>
        <v>3.03180058925287</v>
      </c>
      <c r="CF102" s="112"/>
      <c r="CG102" s="124" t="n">
        <f aca="false">CG101+CG$7/100</f>
        <v>1.88</v>
      </c>
      <c r="CH102" s="124" t="n">
        <f aca="false">CG102</f>
        <v>1.88</v>
      </c>
      <c r="CI102" s="124" t="n">
        <f aca="false">CG102*TAN(RADIANS(CK$7))-(IF($B$4, 9.807, 32.174)*CG102^2)/(2*CJ$7^2*COS(RADIANS(CK$7))^2)+$D$7</f>
        <v>3.03180058925287</v>
      </c>
      <c r="CJ102" s="123" t="n">
        <f aca="false">MIN($V$5,CI102)</f>
        <v>3.03180058925287</v>
      </c>
      <c r="CK102" s="124"/>
      <c r="CL102" s="112" t="n">
        <f aca="false">CL101+CL$7/100</f>
        <v>1.88</v>
      </c>
      <c r="CM102" s="122" t="n">
        <f aca="false">CL102-IF($I$3="Forward", $D$9, $G$9)</f>
        <v>1.88</v>
      </c>
      <c r="CN102" s="112" t="n">
        <f aca="false">CL102*TAN(RADIANS(CP$7))-(IF($B$4, 9.807, 32.174)*CL102^2)/(2*CO$7^2*COS(RADIANS(CP$7))^2)+$D$7</f>
        <v>3.03180058925287</v>
      </c>
      <c r="CO102" s="123" t="n">
        <f aca="false">MIN($V$5,CN102)</f>
        <v>3.03180058925287</v>
      </c>
      <c r="CP102" s="112"/>
      <c r="CQ102" s="112" t="n">
        <f aca="false">CQ101+CQ$7/100</f>
        <v>1.88</v>
      </c>
      <c r="CR102" s="122" t="n">
        <f aca="false">CQ102+IF($I$3="Forward", $D$9, $G$9)</f>
        <v>1.88</v>
      </c>
      <c r="CS102" s="112" t="n">
        <f aca="false">CQ102*TAN(RADIANS(CU$7))-(IF($B$4, 9.807, 32.174)*CQ102^2)/(2*CT$7^2*COS(RADIANS(CU$7))^2)+$D$7</f>
        <v>3.03180058925287</v>
      </c>
      <c r="CT102" s="123" t="n">
        <f aca="false">MIN($V$5,CS102)</f>
        <v>3.03180058925287</v>
      </c>
      <c r="CU102" s="112"/>
      <c r="CV102" s="112" t="n">
        <f aca="false">CV101+CV$7/100</f>
        <v>1.88</v>
      </c>
      <c r="CW102" s="112" t="n">
        <f aca="false">CV102</f>
        <v>1.88</v>
      </c>
      <c r="CX102" s="112" t="n">
        <f aca="false">CV102*TAN(RADIANS(CZ$7))-(IF($B$4, 9.807, 32.174)*CV102^2)/(2*CY$7^2*COS(RADIANS(CZ$7))^2)+$D$7</f>
        <v>3.03180058925287</v>
      </c>
      <c r="CY102" s="123" t="n">
        <f aca="false">MIN($V$5,CX102)</f>
        <v>3.03180058925287</v>
      </c>
      <c r="CZ102" s="112"/>
      <c r="DA102" s="112" t="n">
        <f aca="false">DA101+DA$7/100</f>
        <v>1.88</v>
      </c>
      <c r="DB102" s="122" t="n">
        <f aca="false">DA102-IF($I$3="Forward", $D$9, $G$9)</f>
        <v>1.88</v>
      </c>
      <c r="DC102" s="112" t="n">
        <f aca="false">DA102*TAN(RADIANS(DE$7))-(IF($B$4, 9.807, 32.174)*DA102^2)/(2*DD$7^2*COS(RADIANS(DE$7))^2)+$D$7</f>
        <v>3.03180058925287</v>
      </c>
      <c r="DD102" s="123" t="n">
        <f aca="false">MIN($V$5,DC102)</f>
        <v>3.03180058925287</v>
      </c>
      <c r="DE102" s="112"/>
      <c r="DF102" s="112" t="n">
        <f aca="false">DF101+DF$7/100</f>
        <v>1.88</v>
      </c>
      <c r="DG102" s="122" t="n">
        <f aca="false">DF102+IF($I$3="Forward", $D$9, $G$9)</f>
        <v>1.88</v>
      </c>
      <c r="DH102" s="112" t="n">
        <f aca="false">DF102*TAN(RADIANS(DJ$7))-(IF($B$4, 9.807, 32.174)*DF102^2)/(2*DI$7^2*COS(RADIANS(DJ$7))^2)+$D$7</f>
        <v>3.03180058925287</v>
      </c>
      <c r="DI102" s="123" t="n">
        <f aca="false">MIN($V$5,DH102)</f>
        <v>3.03180058925287</v>
      </c>
      <c r="DJ102" s="112"/>
      <c r="DK102" s="112" t="n">
        <f aca="false">DK101+DK$7/100</f>
        <v>1.88</v>
      </c>
      <c r="DL102" s="112" t="n">
        <f aca="false">DK102</f>
        <v>1.88</v>
      </c>
      <c r="DM102" s="112" t="n">
        <f aca="false">DK102*TAN(RADIANS(DO$7))-(IF($B$4, 9.807, 32.174)*DK102^2)/(2*DN$7^2*COS(RADIANS(DO$7))^2)+$D$7</f>
        <v>3.03180058925287</v>
      </c>
      <c r="DN102" s="123" t="n">
        <f aca="false">MIN($V$5,DM102)</f>
        <v>3.03180058925287</v>
      </c>
      <c r="DO102" s="112"/>
      <c r="DP102" s="112" t="n">
        <f aca="false">DP101+DP$7/100</f>
        <v>1.88</v>
      </c>
      <c r="DQ102" s="122" t="n">
        <f aca="false">DP102-IF($I$3="Forward", $D$9, $G$9)</f>
        <v>1.88</v>
      </c>
      <c r="DR102" s="112" t="n">
        <f aca="false">DP102*TAN(RADIANS(DT$7))-(IF($B$4, 9.807, 32.174)*DP102^2)/(2*DS$7^2*COS(RADIANS(DT$7))^2)+$D$7</f>
        <v>3.03180058925287</v>
      </c>
      <c r="DS102" s="123" t="n">
        <f aca="false">MIN($V$5,DR102)</f>
        <v>3.03180058925287</v>
      </c>
      <c r="DT102" s="112"/>
      <c r="DU102" s="112" t="n">
        <f aca="false">DU101+DU$7/100</f>
        <v>1.88</v>
      </c>
      <c r="DV102" s="122" t="n">
        <f aca="false">DU102+IF($I$3="Forward", $D$9, $G$9)</f>
        <v>1.88</v>
      </c>
      <c r="DW102" s="112" t="n">
        <f aca="false">DU102*TAN(RADIANS(DY$7))-(IF($B$4, 9.807, 32.174)*DU102^2)/(2*DX$7^2*COS(RADIANS(DY$7))^2)+$D$7</f>
        <v>3.03180058925287</v>
      </c>
      <c r="DX102" s="123" t="n">
        <f aca="false">MIN($V$5,DW102)</f>
        <v>3.03180058925287</v>
      </c>
      <c r="DY102" s="112"/>
      <c r="DZ102" s="112" t="n">
        <f aca="false">DZ101+DZ$7/100</f>
        <v>1.88</v>
      </c>
      <c r="EA102" s="112" t="n">
        <f aca="false">DZ102</f>
        <v>1.88</v>
      </c>
      <c r="EB102" s="112" t="n">
        <f aca="false">DZ102*TAN(RADIANS(ED$7))-(IF($B$4, 9.807, 32.174)*DZ102^2)/(2*EC$7^2*COS(RADIANS(ED$7))^2)+$D$7</f>
        <v>3.03180058925287</v>
      </c>
      <c r="EC102" s="123" t="n">
        <f aca="false">MIN($V$5,EB102)</f>
        <v>3.03180058925287</v>
      </c>
      <c r="ED102" s="112"/>
      <c r="EE102" s="112" t="n">
        <f aca="false">EE101+EE$7/100</f>
        <v>1.88</v>
      </c>
      <c r="EF102" s="122" t="n">
        <f aca="false">EE102-IF($I$3="Forward", $D$9, $G$9)</f>
        <v>1.88</v>
      </c>
      <c r="EG102" s="112" t="n">
        <f aca="false">EE102*TAN(RADIANS(EI$7))-(IF($B$4, 9.807, 32.174)*EE102^2)/(2*EH$7^2*COS(RADIANS(EI$7))^2)+$D$7</f>
        <v>3.03180058925287</v>
      </c>
      <c r="EH102" s="123" t="n">
        <f aca="false">MIN($V$5,EG102)</f>
        <v>3.03180058925287</v>
      </c>
      <c r="EI102" s="112"/>
      <c r="EJ102" s="112" t="n">
        <f aca="false">EJ101+EJ$7/100</f>
        <v>1.88</v>
      </c>
      <c r="EK102" s="122" t="n">
        <f aca="false">EJ102+IF($I$3="Forward", $D$9, $G$9)</f>
        <v>1.88</v>
      </c>
      <c r="EL102" s="112" t="n">
        <f aca="false">EJ102*TAN(RADIANS(EN$7))-(IF($B$4, 9.807, 32.174)*EJ102^2)/(2*EM$7^2*COS(RADIANS(EN$7))^2)+$D$7</f>
        <v>3.03180058925287</v>
      </c>
      <c r="EM102" s="123" t="n">
        <f aca="false">MIN($V$5,EL102)</f>
        <v>3.03180058925287</v>
      </c>
      <c r="EN102" s="112"/>
      <c r="EO102" s="112" t="n">
        <f aca="false">EO101+EO$7/100</f>
        <v>1.88</v>
      </c>
      <c r="EP102" s="112" t="n">
        <f aca="false">EO102</f>
        <v>1.88</v>
      </c>
      <c r="EQ102" s="112" t="n">
        <f aca="false">EO102*TAN(RADIANS(ES$7))-(IF($B$4, 9.807, 32.174)*EO102^2)/(2*ER$7^2*COS(RADIANS(ES$7))^2)+$D$7</f>
        <v>3.03180058925287</v>
      </c>
      <c r="ER102" s="123" t="n">
        <f aca="false">MIN($V$5,EQ102)</f>
        <v>3.03180058925287</v>
      </c>
      <c r="ES102" s="112"/>
      <c r="ET102" s="112" t="n">
        <f aca="false">ET101+ET$7/100</f>
        <v>1.88</v>
      </c>
      <c r="EU102" s="122" t="n">
        <f aca="false">ET102-IF($I$3="Forward", $D$9, $G$9)</f>
        <v>1.88</v>
      </c>
      <c r="EV102" s="112" t="n">
        <f aca="false">ET102*TAN(RADIANS(EX$7))-(IF($B$4, 9.807, 32.174)*ET102^2)/(2*EW$7^2*COS(RADIANS(EX$7))^2)+$D$7</f>
        <v>3.03180058925287</v>
      </c>
      <c r="EW102" s="123" t="n">
        <f aca="false">MIN($V$5,EV102)</f>
        <v>3.03180058925287</v>
      </c>
      <c r="EX102" s="112"/>
    </row>
    <row r="103" s="131" customFormat="true" ht="15" hidden="false" customHeight="false" outlineLevel="0" collapsed="false">
      <c r="T103" s="112" t="n">
        <f aca="false">T102+T$7/100</f>
        <v>1.9</v>
      </c>
      <c r="U103" s="122" t="n">
        <f aca="false">T103+IF($I$3="Forward", $D$9, $G$9)</f>
        <v>1.9</v>
      </c>
      <c r="V103" s="112" t="n">
        <f aca="false">T103*TAN(RADIANS(X$7))-(IF($B$4, 9.807, 32.174)*T103^2)/(2*W$7^2*COS(RADIANS(X$7))^2)+$D$7</f>
        <v>2.93327177286368</v>
      </c>
      <c r="W103" s="123" t="n">
        <f aca="false">MIN($V$5,V103)</f>
        <v>2.93327177286368</v>
      </c>
      <c r="X103" s="112"/>
      <c r="Y103" s="112" t="n">
        <f aca="false">Y102+Y$7/100</f>
        <v>1.9</v>
      </c>
      <c r="Z103" s="112" t="n">
        <f aca="false">Y103</f>
        <v>1.9</v>
      </c>
      <c r="AA103" s="112" t="n">
        <f aca="false">Y103*TAN(RADIANS(AC$7))-(IF($B$4, 9.807, 32.174)*Y103^2)/(2*AB$7^2*COS(RADIANS(AC$7))^2)+$D$7</f>
        <v>2.93327177286368</v>
      </c>
      <c r="AB103" s="123" t="n">
        <f aca="false">MIN($V$5,AA103)</f>
        <v>2.93327177286368</v>
      </c>
      <c r="AC103" s="112"/>
      <c r="AD103" s="112" t="n">
        <f aca="false">AD102+AD$7/100</f>
        <v>1.9</v>
      </c>
      <c r="AE103" s="122" t="n">
        <f aca="false">AD103-IF($I$3="Forward", $D$9, $G$9)</f>
        <v>1.9</v>
      </c>
      <c r="AF103" s="112" t="n">
        <f aca="false">AD103*TAN(RADIANS(AH$7))-(IF($B$4, 9.807, 32.174)*AD103^2)/(2*AG$7^2*COS(RADIANS(AH$7))^2)+$D$7</f>
        <v>2.93327177286368</v>
      </c>
      <c r="AG103" s="123" t="n">
        <f aca="false">MIN($V$5,AF103)</f>
        <v>2.93327177286368</v>
      </c>
      <c r="AH103" s="112"/>
      <c r="AI103" s="112" t="n">
        <f aca="false">AI102+AI$7/100</f>
        <v>1.9</v>
      </c>
      <c r="AJ103" s="122" t="n">
        <f aca="false">AI103+IF($I$3="Forward", $D$9, $G$9)</f>
        <v>1.9</v>
      </c>
      <c r="AK103" s="112" t="n">
        <f aca="false">AI103*TAN(RADIANS(AM$7))-(IF($B$4, 9.807, 32.174)*AI103^2)/(2*AL$7^2*COS(RADIANS(AM$7))^2)+$D$7</f>
        <v>2.93327177286368</v>
      </c>
      <c r="AL103" s="123" t="n">
        <f aca="false">MIN($V$5,AK103)</f>
        <v>2.93327177286368</v>
      </c>
      <c r="AM103" s="112"/>
      <c r="AN103" s="112" t="n">
        <f aca="false">AN102+AN$7/100</f>
        <v>1.9</v>
      </c>
      <c r="AO103" s="112" t="n">
        <f aca="false">AN103</f>
        <v>1.9</v>
      </c>
      <c r="AP103" s="112" t="n">
        <f aca="false">AN103*TAN(RADIANS(AR$7))-(IF($B$4, 9.807, 32.174)*AN103^2)/(2*AQ$7^2*COS(RADIANS(AR$7))^2)+$D$7</f>
        <v>2.93327177286368</v>
      </c>
      <c r="AQ103" s="123" t="n">
        <f aca="false">MIN($V$5,AP103)</f>
        <v>2.93327177286368</v>
      </c>
      <c r="AR103" s="112"/>
      <c r="AS103" s="112" t="n">
        <f aca="false">AS102+AS$7/100</f>
        <v>1.9</v>
      </c>
      <c r="AT103" s="122" t="n">
        <f aca="false">AS103-IF($I$3="Forward", $D$9, $G$9)</f>
        <v>1.9</v>
      </c>
      <c r="AU103" s="112" t="n">
        <f aca="false">AS103*TAN(RADIANS(AW$7))-(IF($B$4, 9.807, 32.174)*AS103^2)/(2*AV$7^2*COS(RADIANS(AW$7))^2)+$D$7</f>
        <v>2.93327177286368</v>
      </c>
      <c r="AV103" s="123" t="n">
        <f aca="false">MIN($V$5,AU103)</f>
        <v>2.93327177286368</v>
      </c>
      <c r="AW103" s="112"/>
      <c r="AX103" s="112" t="n">
        <f aca="false">AX102+AX$7/100</f>
        <v>1.9</v>
      </c>
      <c r="AY103" s="122" t="n">
        <f aca="false">AX103+IF($I$3="Forward", $D$9, $G$9)</f>
        <v>1.9</v>
      </c>
      <c r="AZ103" s="112" t="n">
        <f aca="false">AX103*TAN(RADIANS(BB$7))-(IF($B$4, 9.807, 32.174)*AX103^2)/(2*BA$7^2*COS(RADIANS(BB$7))^2)+$D$7</f>
        <v>2.93327177286368</v>
      </c>
      <c r="BA103" s="123" t="n">
        <f aca="false">MIN($V$5,AZ103)</f>
        <v>2.93327177286368</v>
      </c>
      <c r="BB103" s="112"/>
      <c r="BC103" s="112" t="n">
        <f aca="false">BC102+BC$7/100</f>
        <v>1.9</v>
      </c>
      <c r="BD103" s="112" t="n">
        <f aca="false">BC103</f>
        <v>1.9</v>
      </c>
      <c r="BE103" s="112" t="n">
        <f aca="false">BC103*TAN(RADIANS(BG$7))-(IF($B$4, 9.807, 32.174)*BC103^2)/(2*BF$7^2*COS(RADIANS(BG$7))^2)+$D$7</f>
        <v>2.93327177286368</v>
      </c>
      <c r="BF103" s="123" t="n">
        <f aca="false">MIN($V$5,BE103)</f>
        <v>2.93327177286368</v>
      </c>
      <c r="BG103" s="112"/>
      <c r="BH103" s="112" t="n">
        <f aca="false">BH102+BH$7/100</f>
        <v>1.9</v>
      </c>
      <c r="BI103" s="122" t="n">
        <f aca="false">BH103-IF($I$3="Forward", $D$9, $G$9)</f>
        <v>1.9</v>
      </c>
      <c r="BJ103" s="112" t="n">
        <f aca="false">BH103*TAN(RADIANS(BL$7))-(IF($B$4, 9.807, 32.174)*BH103^2)/(2*BK$7^2*COS(RADIANS(BL$7))^2)+$D$7</f>
        <v>2.93327177286368</v>
      </c>
      <c r="BK103" s="123" t="n">
        <f aca="false">MIN($V$5,BJ103)</f>
        <v>2.93327177286368</v>
      </c>
      <c r="BL103" s="112"/>
      <c r="BM103" s="112" t="n">
        <f aca="false">BM102+BM$7/100</f>
        <v>1.9</v>
      </c>
      <c r="BN103" s="122" t="n">
        <f aca="false">BM103+IF($I$3="Forward", $D$9, $G$9)</f>
        <v>1.9</v>
      </c>
      <c r="BO103" s="112" t="n">
        <f aca="false">BM103*TAN(RADIANS(BQ$7))-(IF($B$4, 9.807, 32.174)*BM103^2)/(2*BP$7^2*COS(RADIANS(BQ$7))^2)+$D$7</f>
        <v>2.93327177286368</v>
      </c>
      <c r="BP103" s="123" t="n">
        <f aca="false">MIN($V$5,BO103)</f>
        <v>2.93327177286368</v>
      </c>
      <c r="BQ103" s="112"/>
      <c r="BR103" s="112" t="n">
        <f aca="false">BR102+BR$7/100</f>
        <v>1.9</v>
      </c>
      <c r="BS103" s="112" t="n">
        <f aca="false">BR103</f>
        <v>1.9</v>
      </c>
      <c r="BT103" s="112" t="n">
        <f aca="false">BR103*TAN(RADIANS(BV$7))-(IF($B$4, 9.807, 32.174)*BR103^2)/(2*BU$7^2*COS(RADIANS(BV$7))^2)+$D$7</f>
        <v>2.93327177286368</v>
      </c>
      <c r="BU103" s="123" t="n">
        <f aca="false">MIN($V$5,BT103)</f>
        <v>2.93327177286368</v>
      </c>
      <c r="BV103" s="112"/>
      <c r="BW103" s="112" t="n">
        <f aca="false">BW102+BW$7/100</f>
        <v>1.9</v>
      </c>
      <c r="BX103" s="122" t="n">
        <f aca="false">BW103-IF($I$3="Forward", $D$9, $G$9)</f>
        <v>1.9</v>
      </c>
      <c r="BY103" s="112" t="n">
        <f aca="false">BW103*TAN(RADIANS(CA$7))-(IF($B$4, 9.807, 32.174)*BW103^2)/(2*BZ$7^2*COS(RADIANS(CA$7))^2)+$D$7</f>
        <v>2.93327177286368</v>
      </c>
      <c r="BZ103" s="123" t="n">
        <f aca="false">MIN($V$5,BY103)</f>
        <v>2.93327177286368</v>
      </c>
      <c r="CA103" s="112"/>
      <c r="CB103" s="112" t="n">
        <f aca="false">CB102+CB$7/100</f>
        <v>1.9</v>
      </c>
      <c r="CC103" s="122" t="n">
        <f aca="false">CB103+IF($I$3="Forward", $D$9, $G$9)</f>
        <v>1.9</v>
      </c>
      <c r="CD103" s="112" t="n">
        <f aca="false">CB103*TAN(RADIANS(CF$7))-(IF($B$4, 9.807, 32.174)*CB103^2)/(2*CE$7^2*COS(RADIANS(CF$7))^2)+$D$7</f>
        <v>2.93327177286368</v>
      </c>
      <c r="CE103" s="123" t="n">
        <f aca="false">MIN($V$5,CD103)</f>
        <v>2.93327177286368</v>
      </c>
      <c r="CF103" s="112"/>
      <c r="CG103" s="124" t="n">
        <f aca="false">CG102+CG$7/100</f>
        <v>1.9</v>
      </c>
      <c r="CH103" s="124" t="n">
        <f aca="false">CG103</f>
        <v>1.9</v>
      </c>
      <c r="CI103" s="124" t="n">
        <f aca="false">CG103*TAN(RADIANS(CK$7))-(IF($B$4, 9.807, 32.174)*CG103^2)/(2*CJ$7^2*COS(RADIANS(CK$7))^2)+$D$7</f>
        <v>2.93327177286368</v>
      </c>
      <c r="CJ103" s="123" t="n">
        <f aca="false">MIN($V$5,CI103)</f>
        <v>2.93327177286368</v>
      </c>
      <c r="CK103" s="124"/>
      <c r="CL103" s="112" t="n">
        <f aca="false">CL102+CL$7/100</f>
        <v>1.9</v>
      </c>
      <c r="CM103" s="122" t="n">
        <f aca="false">CL103-IF($I$3="Forward", $D$9, $G$9)</f>
        <v>1.9</v>
      </c>
      <c r="CN103" s="112" t="n">
        <f aca="false">CL103*TAN(RADIANS(CP$7))-(IF($B$4, 9.807, 32.174)*CL103^2)/(2*CO$7^2*COS(RADIANS(CP$7))^2)+$D$7</f>
        <v>2.93327177286368</v>
      </c>
      <c r="CO103" s="123" t="n">
        <f aca="false">MIN($V$5,CN103)</f>
        <v>2.93327177286368</v>
      </c>
      <c r="CP103" s="112"/>
      <c r="CQ103" s="112" t="n">
        <f aca="false">CQ102+CQ$7/100</f>
        <v>1.9</v>
      </c>
      <c r="CR103" s="122" t="n">
        <f aca="false">CQ103+IF($I$3="Forward", $D$9, $G$9)</f>
        <v>1.9</v>
      </c>
      <c r="CS103" s="112" t="n">
        <f aca="false">CQ103*TAN(RADIANS(CU$7))-(IF($B$4, 9.807, 32.174)*CQ103^2)/(2*CT$7^2*COS(RADIANS(CU$7))^2)+$D$7</f>
        <v>2.93327177286368</v>
      </c>
      <c r="CT103" s="123" t="n">
        <f aca="false">MIN($V$5,CS103)</f>
        <v>2.93327177286368</v>
      </c>
      <c r="CU103" s="112"/>
      <c r="CV103" s="112" t="n">
        <f aca="false">CV102+CV$7/100</f>
        <v>1.9</v>
      </c>
      <c r="CW103" s="112" t="n">
        <f aca="false">CV103</f>
        <v>1.9</v>
      </c>
      <c r="CX103" s="112" t="n">
        <f aca="false">CV103*TAN(RADIANS(CZ$7))-(IF($B$4, 9.807, 32.174)*CV103^2)/(2*CY$7^2*COS(RADIANS(CZ$7))^2)+$D$7</f>
        <v>2.93327177286368</v>
      </c>
      <c r="CY103" s="123" t="n">
        <f aca="false">MIN($V$5,CX103)</f>
        <v>2.93327177286368</v>
      </c>
      <c r="CZ103" s="112"/>
      <c r="DA103" s="112" t="n">
        <f aca="false">DA102+DA$7/100</f>
        <v>1.9</v>
      </c>
      <c r="DB103" s="122" t="n">
        <f aca="false">DA103-IF($I$3="Forward", $D$9, $G$9)</f>
        <v>1.9</v>
      </c>
      <c r="DC103" s="112" t="n">
        <f aca="false">DA103*TAN(RADIANS(DE$7))-(IF($B$4, 9.807, 32.174)*DA103^2)/(2*DD$7^2*COS(RADIANS(DE$7))^2)+$D$7</f>
        <v>2.93327177286368</v>
      </c>
      <c r="DD103" s="123" t="n">
        <f aca="false">MIN($V$5,DC103)</f>
        <v>2.93327177286368</v>
      </c>
      <c r="DE103" s="112"/>
      <c r="DF103" s="112" t="n">
        <f aca="false">DF102+DF$7/100</f>
        <v>1.9</v>
      </c>
      <c r="DG103" s="122" t="n">
        <f aca="false">DF103+IF($I$3="Forward", $D$9, $G$9)</f>
        <v>1.9</v>
      </c>
      <c r="DH103" s="112" t="n">
        <f aca="false">DF103*TAN(RADIANS(DJ$7))-(IF($B$4, 9.807, 32.174)*DF103^2)/(2*DI$7^2*COS(RADIANS(DJ$7))^2)+$D$7</f>
        <v>2.93327177286368</v>
      </c>
      <c r="DI103" s="123" t="n">
        <f aca="false">MIN($V$5,DH103)</f>
        <v>2.93327177286368</v>
      </c>
      <c r="DJ103" s="112"/>
      <c r="DK103" s="112" t="n">
        <f aca="false">DK102+DK$7/100</f>
        <v>1.9</v>
      </c>
      <c r="DL103" s="112" t="n">
        <f aca="false">DK103</f>
        <v>1.9</v>
      </c>
      <c r="DM103" s="112" t="n">
        <f aca="false">DK103*TAN(RADIANS(DO$7))-(IF($B$4, 9.807, 32.174)*DK103^2)/(2*DN$7^2*COS(RADIANS(DO$7))^2)+$D$7</f>
        <v>2.93327177286368</v>
      </c>
      <c r="DN103" s="123" t="n">
        <f aca="false">MIN($V$5,DM103)</f>
        <v>2.93327177286368</v>
      </c>
      <c r="DO103" s="112"/>
      <c r="DP103" s="112" t="n">
        <f aca="false">DP102+DP$7/100</f>
        <v>1.9</v>
      </c>
      <c r="DQ103" s="122" t="n">
        <f aca="false">DP103-IF($I$3="Forward", $D$9, $G$9)</f>
        <v>1.9</v>
      </c>
      <c r="DR103" s="112" t="n">
        <f aca="false">DP103*TAN(RADIANS(DT$7))-(IF($B$4, 9.807, 32.174)*DP103^2)/(2*DS$7^2*COS(RADIANS(DT$7))^2)+$D$7</f>
        <v>2.93327177286368</v>
      </c>
      <c r="DS103" s="123" t="n">
        <f aca="false">MIN($V$5,DR103)</f>
        <v>2.93327177286368</v>
      </c>
      <c r="DT103" s="112"/>
      <c r="DU103" s="112" t="n">
        <f aca="false">DU102+DU$7/100</f>
        <v>1.9</v>
      </c>
      <c r="DV103" s="122" t="n">
        <f aca="false">DU103+IF($I$3="Forward", $D$9, $G$9)</f>
        <v>1.9</v>
      </c>
      <c r="DW103" s="112" t="n">
        <f aca="false">DU103*TAN(RADIANS(DY$7))-(IF($B$4, 9.807, 32.174)*DU103^2)/(2*DX$7^2*COS(RADIANS(DY$7))^2)+$D$7</f>
        <v>2.93327177286368</v>
      </c>
      <c r="DX103" s="123" t="n">
        <f aca="false">MIN($V$5,DW103)</f>
        <v>2.93327177286368</v>
      </c>
      <c r="DY103" s="112"/>
      <c r="DZ103" s="112" t="n">
        <f aca="false">DZ102+DZ$7/100</f>
        <v>1.9</v>
      </c>
      <c r="EA103" s="112" t="n">
        <f aca="false">DZ103</f>
        <v>1.9</v>
      </c>
      <c r="EB103" s="112" t="n">
        <f aca="false">DZ103*TAN(RADIANS(ED$7))-(IF($B$4, 9.807, 32.174)*DZ103^2)/(2*EC$7^2*COS(RADIANS(ED$7))^2)+$D$7</f>
        <v>2.93327177286368</v>
      </c>
      <c r="EC103" s="123" t="n">
        <f aca="false">MIN($V$5,EB103)</f>
        <v>2.93327177286368</v>
      </c>
      <c r="ED103" s="112"/>
      <c r="EE103" s="112" t="n">
        <f aca="false">EE102+EE$7/100</f>
        <v>1.9</v>
      </c>
      <c r="EF103" s="122" t="n">
        <f aca="false">EE103-IF($I$3="Forward", $D$9, $G$9)</f>
        <v>1.9</v>
      </c>
      <c r="EG103" s="112" t="n">
        <f aca="false">EE103*TAN(RADIANS(EI$7))-(IF($B$4, 9.807, 32.174)*EE103^2)/(2*EH$7^2*COS(RADIANS(EI$7))^2)+$D$7</f>
        <v>2.93327177286368</v>
      </c>
      <c r="EH103" s="123" t="n">
        <f aca="false">MIN($V$5,EG103)</f>
        <v>2.93327177286368</v>
      </c>
      <c r="EI103" s="112"/>
      <c r="EJ103" s="112" t="n">
        <f aca="false">EJ102+EJ$7/100</f>
        <v>1.9</v>
      </c>
      <c r="EK103" s="122" t="n">
        <f aca="false">EJ103+IF($I$3="Forward", $D$9, $G$9)</f>
        <v>1.9</v>
      </c>
      <c r="EL103" s="112" t="n">
        <f aca="false">EJ103*TAN(RADIANS(EN$7))-(IF($B$4, 9.807, 32.174)*EJ103^2)/(2*EM$7^2*COS(RADIANS(EN$7))^2)+$D$7</f>
        <v>2.93327177286368</v>
      </c>
      <c r="EM103" s="123" t="n">
        <f aca="false">MIN($V$5,EL103)</f>
        <v>2.93327177286368</v>
      </c>
      <c r="EN103" s="112"/>
      <c r="EO103" s="112" t="n">
        <f aca="false">EO102+EO$7/100</f>
        <v>1.9</v>
      </c>
      <c r="EP103" s="112" t="n">
        <f aca="false">EO103</f>
        <v>1.9</v>
      </c>
      <c r="EQ103" s="112" t="n">
        <f aca="false">EO103*TAN(RADIANS(ES$7))-(IF($B$4, 9.807, 32.174)*EO103^2)/(2*ER$7^2*COS(RADIANS(ES$7))^2)+$D$7</f>
        <v>2.93327177286368</v>
      </c>
      <c r="ER103" s="123" t="n">
        <f aca="false">MIN($V$5,EQ103)</f>
        <v>2.93327177286368</v>
      </c>
      <c r="ES103" s="112"/>
      <c r="ET103" s="112" t="n">
        <f aca="false">ET102+ET$7/100</f>
        <v>1.9</v>
      </c>
      <c r="EU103" s="122" t="n">
        <f aca="false">ET103-IF($I$3="Forward", $D$9, $G$9)</f>
        <v>1.9</v>
      </c>
      <c r="EV103" s="112" t="n">
        <f aca="false">ET103*TAN(RADIANS(EX$7))-(IF($B$4, 9.807, 32.174)*ET103^2)/(2*EW$7^2*COS(RADIANS(EX$7))^2)+$D$7</f>
        <v>2.93327177286368</v>
      </c>
      <c r="EW103" s="123" t="n">
        <f aca="false">MIN($V$5,EV103)</f>
        <v>2.93327177286368</v>
      </c>
      <c r="EX103" s="112"/>
    </row>
    <row r="104" s="131" customFormat="true" ht="15" hidden="false" customHeight="false" outlineLevel="0" collapsed="false">
      <c r="T104" s="112" t="n">
        <f aca="false">T103+T$7/100</f>
        <v>1.92</v>
      </c>
      <c r="U104" s="122" t="n">
        <f aca="false">T104+IF($I$3="Forward", $D$9, $G$9)</f>
        <v>1.92</v>
      </c>
      <c r="V104" s="112" t="n">
        <f aca="false">T104*TAN(RADIANS(X$7))-(IF($B$4, 9.807, 32.174)*T104^2)/(2*W$7^2*COS(RADIANS(X$7))^2)+$D$7</f>
        <v>2.83203444374663</v>
      </c>
      <c r="W104" s="123" t="n">
        <f aca="false">MIN($V$5,V104)</f>
        <v>2.83203444374663</v>
      </c>
      <c r="X104" s="112"/>
      <c r="Y104" s="112" t="n">
        <f aca="false">Y103+Y$7/100</f>
        <v>1.92</v>
      </c>
      <c r="Z104" s="112" t="n">
        <f aca="false">Y104</f>
        <v>1.92</v>
      </c>
      <c r="AA104" s="112" t="n">
        <f aca="false">Y104*TAN(RADIANS(AC$7))-(IF($B$4, 9.807, 32.174)*Y104^2)/(2*AB$7^2*COS(RADIANS(AC$7))^2)+$D$7</f>
        <v>2.83203444374663</v>
      </c>
      <c r="AB104" s="123" t="n">
        <f aca="false">MIN($V$5,AA104)</f>
        <v>2.83203444374663</v>
      </c>
      <c r="AC104" s="112"/>
      <c r="AD104" s="112" t="n">
        <f aca="false">AD103+AD$7/100</f>
        <v>1.92</v>
      </c>
      <c r="AE104" s="122" t="n">
        <f aca="false">AD104-IF($I$3="Forward", $D$9, $G$9)</f>
        <v>1.92</v>
      </c>
      <c r="AF104" s="112" t="n">
        <f aca="false">AD104*TAN(RADIANS(AH$7))-(IF($B$4, 9.807, 32.174)*AD104^2)/(2*AG$7^2*COS(RADIANS(AH$7))^2)+$D$7</f>
        <v>2.83203444374663</v>
      </c>
      <c r="AG104" s="123" t="n">
        <f aca="false">MIN($V$5,AF104)</f>
        <v>2.83203444374663</v>
      </c>
      <c r="AH104" s="112"/>
      <c r="AI104" s="112" t="n">
        <f aca="false">AI103+AI$7/100</f>
        <v>1.92</v>
      </c>
      <c r="AJ104" s="122" t="n">
        <f aca="false">AI104+IF($I$3="Forward", $D$9, $G$9)</f>
        <v>1.92</v>
      </c>
      <c r="AK104" s="112" t="n">
        <f aca="false">AI104*TAN(RADIANS(AM$7))-(IF($B$4, 9.807, 32.174)*AI104^2)/(2*AL$7^2*COS(RADIANS(AM$7))^2)+$D$7</f>
        <v>2.83203444374663</v>
      </c>
      <c r="AL104" s="123" t="n">
        <f aca="false">MIN($V$5,AK104)</f>
        <v>2.83203444374663</v>
      </c>
      <c r="AM104" s="112"/>
      <c r="AN104" s="112" t="n">
        <f aca="false">AN103+AN$7/100</f>
        <v>1.92</v>
      </c>
      <c r="AO104" s="112" t="n">
        <f aca="false">AN104</f>
        <v>1.92</v>
      </c>
      <c r="AP104" s="112" t="n">
        <f aca="false">AN104*TAN(RADIANS(AR$7))-(IF($B$4, 9.807, 32.174)*AN104^2)/(2*AQ$7^2*COS(RADIANS(AR$7))^2)+$D$7</f>
        <v>2.83203444374663</v>
      </c>
      <c r="AQ104" s="123" t="n">
        <f aca="false">MIN($V$5,AP104)</f>
        <v>2.83203444374663</v>
      </c>
      <c r="AR104" s="112"/>
      <c r="AS104" s="112" t="n">
        <f aca="false">AS103+AS$7/100</f>
        <v>1.92</v>
      </c>
      <c r="AT104" s="122" t="n">
        <f aca="false">AS104-IF($I$3="Forward", $D$9, $G$9)</f>
        <v>1.92</v>
      </c>
      <c r="AU104" s="112" t="n">
        <f aca="false">AS104*TAN(RADIANS(AW$7))-(IF($B$4, 9.807, 32.174)*AS104^2)/(2*AV$7^2*COS(RADIANS(AW$7))^2)+$D$7</f>
        <v>2.83203444374663</v>
      </c>
      <c r="AV104" s="123" t="n">
        <f aca="false">MIN($V$5,AU104)</f>
        <v>2.83203444374663</v>
      </c>
      <c r="AW104" s="112"/>
      <c r="AX104" s="112" t="n">
        <f aca="false">AX103+AX$7/100</f>
        <v>1.92</v>
      </c>
      <c r="AY104" s="122" t="n">
        <f aca="false">AX104+IF($I$3="Forward", $D$9, $G$9)</f>
        <v>1.92</v>
      </c>
      <c r="AZ104" s="112" t="n">
        <f aca="false">AX104*TAN(RADIANS(BB$7))-(IF($B$4, 9.807, 32.174)*AX104^2)/(2*BA$7^2*COS(RADIANS(BB$7))^2)+$D$7</f>
        <v>2.83203444374663</v>
      </c>
      <c r="BA104" s="123" t="n">
        <f aca="false">MIN($V$5,AZ104)</f>
        <v>2.83203444374663</v>
      </c>
      <c r="BB104" s="112"/>
      <c r="BC104" s="112" t="n">
        <f aca="false">BC103+BC$7/100</f>
        <v>1.92</v>
      </c>
      <c r="BD104" s="112" t="n">
        <f aca="false">BC104</f>
        <v>1.92</v>
      </c>
      <c r="BE104" s="112" t="n">
        <f aca="false">BC104*TAN(RADIANS(BG$7))-(IF($B$4, 9.807, 32.174)*BC104^2)/(2*BF$7^2*COS(RADIANS(BG$7))^2)+$D$7</f>
        <v>2.83203444374663</v>
      </c>
      <c r="BF104" s="123" t="n">
        <f aca="false">MIN($V$5,BE104)</f>
        <v>2.83203444374663</v>
      </c>
      <c r="BG104" s="112"/>
      <c r="BH104" s="112" t="n">
        <f aca="false">BH103+BH$7/100</f>
        <v>1.92</v>
      </c>
      <c r="BI104" s="122" t="n">
        <f aca="false">BH104-IF($I$3="Forward", $D$9, $G$9)</f>
        <v>1.92</v>
      </c>
      <c r="BJ104" s="112" t="n">
        <f aca="false">BH104*TAN(RADIANS(BL$7))-(IF($B$4, 9.807, 32.174)*BH104^2)/(2*BK$7^2*COS(RADIANS(BL$7))^2)+$D$7</f>
        <v>2.83203444374663</v>
      </c>
      <c r="BK104" s="123" t="n">
        <f aca="false">MIN($V$5,BJ104)</f>
        <v>2.83203444374663</v>
      </c>
      <c r="BL104" s="112"/>
      <c r="BM104" s="112" t="n">
        <f aca="false">BM103+BM$7/100</f>
        <v>1.92</v>
      </c>
      <c r="BN104" s="122" t="n">
        <f aca="false">BM104+IF($I$3="Forward", $D$9, $G$9)</f>
        <v>1.92</v>
      </c>
      <c r="BO104" s="112" t="n">
        <f aca="false">BM104*TAN(RADIANS(BQ$7))-(IF($B$4, 9.807, 32.174)*BM104^2)/(2*BP$7^2*COS(RADIANS(BQ$7))^2)+$D$7</f>
        <v>2.83203444374663</v>
      </c>
      <c r="BP104" s="123" t="n">
        <f aca="false">MIN($V$5,BO104)</f>
        <v>2.83203444374663</v>
      </c>
      <c r="BQ104" s="112"/>
      <c r="BR104" s="112" t="n">
        <f aca="false">BR103+BR$7/100</f>
        <v>1.92</v>
      </c>
      <c r="BS104" s="112" t="n">
        <f aca="false">BR104</f>
        <v>1.92</v>
      </c>
      <c r="BT104" s="112" t="n">
        <f aca="false">BR104*TAN(RADIANS(BV$7))-(IF($B$4, 9.807, 32.174)*BR104^2)/(2*BU$7^2*COS(RADIANS(BV$7))^2)+$D$7</f>
        <v>2.83203444374663</v>
      </c>
      <c r="BU104" s="123" t="n">
        <f aca="false">MIN($V$5,BT104)</f>
        <v>2.83203444374663</v>
      </c>
      <c r="BV104" s="112"/>
      <c r="BW104" s="112" t="n">
        <f aca="false">BW103+BW$7/100</f>
        <v>1.92</v>
      </c>
      <c r="BX104" s="122" t="n">
        <f aca="false">BW104-IF($I$3="Forward", $D$9, $G$9)</f>
        <v>1.92</v>
      </c>
      <c r="BY104" s="112" t="n">
        <f aca="false">BW104*TAN(RADIANS(CA$7))-(IF($B$4, 9.807, 32.174)*BW104^2)/(2*BZ$7^2*COS(RADIANS(CA$7))^2)+$D$7</f>
        <v>2.83203444374663</v>
      </c>
      <c r="BZ104" s="123" t="n">
        <f aca="false">MIN($V$5,BY104)</f>
        <v>2.83203444374663</v>
      </c>
      <c r="CA104" s="112"/>
      <c r="CB104" s="112" t="n">
        <f aca="false">CB103+CB$7/100</f>
        <v>1.92</v>
      </c>
      <c r="CC104" s="122" t="n">
        <f aca="false">CB104+IF($I$3="Forward", $D$9, $G$9)</f>
        <v>1.92</v>
      </c>
      <c r="CD104" s="112" t="n">
        <f aca="false">CB104*TAN(RADIANS(CF$7))-(IF($B$4, 9.807, 32.174)*CB104^2)/(2*CE$7^2*COS(RADIANS(CF$7))^2)+$D$7</f>
        <v>2.83203444374663</v>
      </c>
      <c r="CE104" s="123" t="n">
        <f aca="false">MIN($V$5,CD104)</f>
        <v>2.83203444374663</v>
      </c>
      <c r="CF104" s="112"/>
      <c r="CG104" s="124" t="n">
        <f aca="false">CG103+CG$7/100</f>
        <v>1.92</v>
      </c>
      <c r="CH104" s="124" t="n">
        <f aca="false">CG104</f>
        <v>1.92</v>
      </c>
      <c r="CI104" s="124" t="n">
        <f aca="false">CG104*TAN(RADIANS(CK$7))-(IF($B$4, 9.807, 32.174)*CG104^2)/(2*CJ$7^2*COS(RADIANS(CK$7))^2)+$D$7</f>
        <v>2.83203444374663</v>
      </c>
      <c r="CJ104" s="123" t="n">
        <f aca="false">MIN($V$5,CI104)</f>
        <v>2.83203444374663</v>
      </c>
      <c r="CK104" s="124"/>
      <c r="CL104" s="112" t="n">
        <f aca="false">CL103+CL$7/100</f>
        <v>1.92</v>
      </c>
      <c r="CM104" s="122" t="n">
        <f aca="false">CL104-IF($I$3="Forward", $D$9, $G$9)</f>
        <v>1.92</v>
      </c>
      <c r="CN104" s="112" t="n">
        <f aca="false">CL104*TAN(RADIANS(CP$7))-(IF($B$4, 9.807, 32.174)*CL104^2)/(2*CO$7^2*COS(RADIANS(CP$7))^2)+$D$7</f>
        <v>2.83203444374663</v>
      </c>
      <c r="CO104" s="123" t="n">
        <f aca="false">MIN($V$5,CN104)</f>
        <v>2.83203444374663</v>
      </c>
      <c r="CP104" s="112"/>
      <c r="CQ104" s="112" t="n">
        <f aca="false">CQ103+CQ$7/100</f>
        <v>1.92</v>
      </c>
      <c r="CR104" s="122" t="n">
        <f aca="false">CQ104+IF($I$3="Forward", $D$9, $G$9)</f>
        <v>1.92</v>
      </c>
      <c r="CS104" s="112" t="n">
        <f aca="false">CQ104*TAN(RADIANS(CU$7))-(IF($B$4, 9.807, 32.174)*CQ104^2)/(2*CT$7^2*COS(RADIANS(CU$7))^2)+$D$7</f>
        <v>2.83203444374663</v>
      </c>
      <c r="CT104" s="123" t="n">
        <f aca="false">MIN($V$5,CS104)</f>
        <v>2.83203444374663</v>
      </c>
      <c r="CU104" s="112"/>
      <c r="CV104" s="112" t="n">
        <f aca="false">CV103+CV$7/100</f>
        <v>1.92</v>
      </c>
      <c r="CW104" s="112" t="n">
        <f aca="false">CV104</f>
        <v>1.92</v>
      </c>
      <c r="CX104" s="112" t="n">
        <f aca="false">CV104*TAN(RADIANS(CZ$7))-(IF($B$4, 9.807, 32.174)*CV104^2)/(2*CY$7^2*COS(RADIANS(CZ$7))^2)+$D$7</f>
        <v>2.83203444374663</v>
      </c>
      <c r="CY104" s="123" t="n">
        <f aca="false">MIN($V$5,CX104)</f>
        <v>2.83203444374663</v>
      </c>
      <c r="CZ104" s="112"/>
      <c r="DA104" s="112" t="n">
        <f aca="false">DA103+DA$7/100</f>
        <v>1.92</v>
      </c>
      <c r="DB104" s="122" t="n">
        <f aca="false">DA104-IF($I$3="Forward", $D$9, $G$9)</f>
        <v>1.92</v>
      </c>
      <c r="DC104" s="112" t="n">
        <f aca="false">DA104*TAN(RADIANS(DE$7))-(IF($B$4, 9.807, 32.174)*DA104^2)/(2*DD$7^2*COS(RADIANS(DE$7))^2)+$D$7</f>
        <v>2.83203444374663</v>
      </c>
      <c r="DD104" s="123" t="n">
        <f aca="false">MIN($V$5,DC104)</f>
        <v>2.83203444374663</v>
      </c>
      <c r="DE104" s="112"/>
      <c r="DF104" s="112" t="n">
        <f aca="false">DF103+DF$7/100</f>
        <v>1.92</v>
      </c>
      <c r="DG104" s="122" t="n">
        <f aca="false">DF104+IF($I$3="Forward", $D$9, $G$9)</f>
        <v>1.92</v>
      </c>
      <c r="DH104" s="112" t="n">
        <f aca="false">DF104*TAN(RADIANS(DJ$7))-(IF($B$4, 9.807, 32.174)*DF104^2)/(2*DI$7^2*COS(RADIANS(DJ$7))^2)+$D$7</f>
        <v>2.83203444374663</v>
      </c>
      <c r="DI104" s="123" t="n">
        <f aca="false">MIN($V$5,DH104)</f>
        <v>2.83203444374663</v>
      </c>
      <c r="DJ104" s="112"/>
      <c r="DK104" s="112" t="n">
        <f aca="false">DK103+DK$7/100</f>
        <v>1.92</v>
      </c>
      <c r="DL104" s="112" t="n">
        <f aca="false">DK104</f>
        <v>1.92</v>
      </c>
      <c r="DM104" s="112" t="n">
        <f aca="false">DK104*TAN(RADIANS(DO$7))-(IF($B$4, 9.807, 32.174)*DK104^2)/(2*DN$7^2*COS(RADIANS(DO$7))^2)+$D$7</f>
        <v>2.83203444374663</v>
      </c>
      <c r="DN104" s="123" t="n">
        <f aca="false">MIN($V$5,DM104)</f>
        <v>2.83203444374663</v>
      </c>
      <c r="DO104" s="112"/>
      <c r="DP104" s="112" t="n">
        <f aca="false">DP103+DP$7/100</f>
        <v>1.92</v>
      </c>
      <c r="DQ104" s="122" t="n">
        <f aca="false">DP104-IF($I$3="Forward", $D$9, $G$9)</f>
        <v>1.92</v>
      </c>
      <c r="DR104" s="112" t="n">
        <f aca="false">DP104*TAN(RADIANS(DT$7))-(IF($B$4, 9.807, 32.174)*DP104^2)/(2*DS$7^2*COS(RADIANS(DT$7))^2)+$D$7</f>
        <v>2.83203444374663</v>
      </c>
      <c r="DS104" s="123" t="n">
        <f aca="false">MIN($V$5,DR104)</f>
        <v>2.83203444374663</v>
      </c>
      <c r="DT104" s="112"/>
      <c r="DU104" s="112" t="n">
        <f aca="false">DU103+DU$7/100</f>
        <v>1.92</v>
      </c>
      <c r="DV104" s="122" t="n">
        <f aca="false">DU104+IF($I$3="Forward", $D$9, $G$9)</f>
        <v>1.92</v>
      </c>
      <c r="DW104" s="112" t="n">
        <f aca="false">DU104*TAN(RADIANS(DY$7))-(IF($B$4, 9.807, 32.174)*DU104^2)/(2*DX$7^2*COS(RADIANS(DY$7))^2)+$D$7</f>
        <v>2.83203444374663</v>
      </c>
      <c r="DX104" s="123" t="n">
        <f aca="false">MIN($V$5,DW104)</f>
        <v>2.83203444374663</v>
      </c>
      <c r="DY104" s="112"/>
      <c r="DZ104" s="112" t="n">
        <f aca="false">DZ103+DZ$7/100</f>
        <v>1.92</v>
      </c>
      <c r="EA104" s="112" t="n">
        <f aca="false">DZ104</f>
        <v>1.92</v>
      </c>
      <c r="EB104" s="112" t="n">
        <f aca="false">DZ104*TAN(RADIANS(ED$7))-(IF($B$4, 9.807, 32.174)*DZ104^2)/(2*EC$7^2*COS(RADIANS(ED$7))^2)+$D$7</f>
        <v>2.83203444374663</v>
      </c>
      <c r="EC104" s="123" t="n">
        <f aca="false">MIN($V$5,EB104)</f>
        <v>2.83203444374663</v>
      </c>
      <c r="ED104" s="112"/>
      <c r="EE104" s="112" t="n">
        <f aca="false">EE103+EE$7/100</f>
        <v>1.92</v>
      </c>
      <c r="EF104" s="122" t="n">
        <f aca="false">EE104-IF($I$3="Forward", $D$9, $G$9)</f>
        <v>1.92</v>
      </c>
      <c r="EG104" s="112" t="n">
        <f aca="false">EE104*TAN(RADIANS(EI$7))-(IF($B$4, 9.807, 32.174)*EE104^2)/(2*EH$7^2*COS(RADIANS(EI$7))^2)+$D$7</f>
        <v>2.83203444374663</v>
      </c>
      <c r="EH104" s="123" t="n">
        <f aca="false">MIN($V$5,EG104)</f>
        <v>2.83203444374663</v>
      </c>
      <c r="EI104" s="112"/>
      <c r="EJ104" s="112" t="n">
        <f aca="false">EJ103+EJ$7/100</f>
        <v>1.92</v>
      </c>
      <c r="EK104" s="122" t="n">
        <f aca="false">EJ104+IF($I$3="Forward", $D$9, $G$9)</f>
        <v>1.92</v>
      </c>
      <c r="EL104" s="112" t="n">
        <f aca="false">EJ104*TAN(RADIANS(EN$7))-(IF($B$4, 9.807, 32.174)*EJ104^2)/(2*EM$7^2*COS(RADIANS(EN$7))^2)+$D$7</f>
        <v>2.83203444374663</v>
      </c>
      <c r="EM104" s="123" t="n">
        <f aca="false">MIN($V$5,EL104)</f>
        <v>2.83203444374663</v>
      </c>
      <c r="EN104" s="112"/>
      <c r="EO104" s="112" t="n">
        <f aca="false">EO103+EO$7/100</f>
        <v>1.92</v>
      </c>
      <c r="EP104" s="112" t="n">
        <f aca="false">EO104</f>
        <v>1.92</v>
      </c>
      <c r="EQ104" s="112" t="n">
        <f aca="false">EO104*TAN(RADIANS(ES$7))-(IF($B$4, 9.807, 32.174)*EO104^2)/(2*ER$7^2*COS(RADIANS(ES$7))^2)+$D$7</f>
        <v>2.83203444374663</v>
      </c>
      <c r="ER104" s="123" t="n">
        <f aca="false">MIN($V$5,EQ104)</f>
        <v>2.83203444374663</v>
      </c>
      <c r="ES104" s="112"/>
      <c r="ET104" s="112" t="n">
        <f aca="false">ET103+ET$7/100</f>
        <v>1.92</v>
      </c>
      <c r="EU104" s="122" t="n">
        <f aca="false">ET104-IF($I$3="Forward", $D$9, $G$9)</f>
        <v>1.92</v>
      </c>
      <c r="EV104" s="112" t="n">
        <f aca="false">ET104*TAN(RADIANS(EX$7))-(IF($B$4, 9.807, 32.174)*ET104^2)/(2*EW$7^2*COS(RADIANS(EX$7))^2)+$D$7</f>
        <v>2.83203444374663</v>
      </c>
      <c r="EW104" s="123" t="n">
        <f aca="false">MIN($V$5,EV104)</f>
        <v>2.83203444374663</v>
      </c>
      <c r="EX104" s="112"/>
    </row>
    <row r="105" s="131" customFormat="true" ht="15" hidden="false" customHeight="false" outlineLevel="0" collapsed="false">
      <c r="T105" s="112" t="n">
        <f aca="false">T104+T$7/100</f>
        <v>1.94</v>
      </c>
      <c r="U105" s="122" t="n">
        <f aca="false">T105+IF($I$3="Forward", $D$9, $G$9)</f>
        <v>1.94</v>
      </c>
      <c r="V105" s="112" t="n">
        <f aca="false">T105*TAN(RADIANS(X$7))-(IF($B$4, 9.807, 32.174)*T105^2)/(2*W$7^2*COS(RADIANS(X$7))^2)+$D$7</f>
        <v>2.72808860190174</v>
      </c>
      <c r="W105" s="123" t="n">
        <f aca="false">MIN($V$5,V105)</f>
        <v>2.72808860190174</v>
      </c>
      <c r="X105" s="112"/>
      <c r="Y105" s="112" t="n">
        <f aca="false">Y104+Y$7/100</f>
        <v>1.94</v>
      </c>
      <c r="Z105" s="112" t="n">
        <f aca="false">Y105</f>
        <v>1.94</v>
      </c>
      <c r="AA105" s="112" t="n">
        <f aca="false">Y105*TAN(RADIANS(AC$7))-(IF($B$4, 9.807, 32.174)*Y105^2)/(2*AB$7^2*COS(RADIANS(AC$7))^2)+$D$7</f>
        <v>2.72808860190174</v>
      </c>
      <c r="AB105" s="123" t="n">
        <f aca="false">MIN($V$5,AA105)</f>
        <v>2.72808860190174</v>
      </c>
      <c r="AC105" s="112"/>
      <c r="AD105" s="112" t="n">
        <f aca="false">AD104+AD$7/100</f>
        <v>1.94</v>
      </c>
      <c r="AE105" s="122" t="n">
        <f aca="false">AD105-IF($I$3="Forward", $D$9, $G$9)</f>
        <v>1.94</v>
      </c>
      <c r="AF105" s="112" t="n">
        <f aca="false">AD105*TAN(RADIANS(AH$7))-(IF($B$4, 9.807, 32.174)*AD105^2)/(2*AG$7^2*COS(RADIANS(AH$7))^2)+$D$7</f>
        <v>2.72808860190174</v>
      </c>
      <c r="AG105" s="123" t="n">
        <f aca="false">MIN($V$5,AF105)</f>
        <v>2.72808860190174</v>
      </c>
      <c r="AH105" s="112"/>
      <c r="AI105" s="112" t="n">
        <f aca="false">AI104+AI$7/100</f>
        <v>1.94</v>
      </c>
      <c r="AJ105" s="122" t="n">
        <f aca="false">AI105+IF($I$3="Forward", $D$9, $G$9)</f>
        <v>1.94</v>
      </c>
      <c r="AK105" s="112" t="n">
        <f aca="false">AI105*TAN(RADIANS(AM$7))-(IF($B$4, 9.807, 32.174)*AI105^2)/(2*AL$7^2*COS(RADIANS(AM$7))^2)+$D$7</f>
        <v>2.72808860190174</v>
      </c>
      <c r="AL105" s="123" t="n">
        <f aca="false">MIN($V$5,AK105)</f>
        <v>2.72808860190174</v>
      </c>
      <c r="AM105" s="112"/>
      <c r="AN105" s="112" t="n">
        <f aca="false">AN104+AN$7/100</f>
        <v>1.94</v>
      </c>
      <c r="AO105" s="112" t="n">
        <f aca="false">AN105</f>
        <v>1.94</v>
      </c>
      <c r="AP105" s="112" t="n">
        <f aca="false">AN105*TAN(RADIANS(AR$7))-(IF($B$4, 9.807, 32.174)*AN105^2)/(2*AQ$7^2*COS(RADIANS(AR$7))^2)+$D$7</f>
        <v>2.72808860190174</v>
      </c>
      <c r="AQ105" s="123" t="n">
        <f aca="false">MIN($V$5,AP105)</f>
        <v>2.72808860190174</v>
      </c>
      <c r="AR105" s="112"/>
      <c r="AS105" s="112" t="n">
        <f aca="false">AS104+AS$7/100</f>
        <v>1.94</v>
      </c>
      <c r="AT105" s="122" t="n">
        <f aca="false">AS105-IF($I$3="Forward", $D$9, $G$9)</f>
        <v>1.94</v>
      </c>
      <c r="AU105" s="112" t="n">
        <f aca="false">AS105*TAN(RADIANS(AW$7))-(IF($B$4, 9.807, 32.174)*AS105^2)/(2*AV$7^2*COS(RADIANS(AW$7))^2)+$D$7</f>
        <v>2.72808860190174</v>
      </c>
      <c r="AV105" s="123" t="n">
        <f aca="false">MIN($V$5,AU105)</f>
        <v>2.72808860190174</v>
      </c>
      <c r="AW105" s="112"/>
      <c r="AX105" s="112" t="n">
        <f aca="false">AX104+AX$7/100</f>
        <v>1.94</v>
      </c>
      <c r="AY105" s="122" t="n">
        <f aca="false">AX105+IF($I$3="Forward", $D$9, $G$9)</f>
        <v>1.94</v>
      </c>
      <c r="AZ105" s="112" t="n">
        <f aca="false">AX105*TAN(RADIANS(BB$7))-(IF($B$4, 9.807, 32.174)*AX105^2)/(2*BA$7^2*COS(RADIANS(BB$7))^2)+$D$7</f>
        <v>2.72808860190174</v>
      </c>
      <c r="BA105" s="123" t="n">
        <f aca="false">MIN($V$5,AZ105)</f>
        <v>2.72808860190174</v>
      </c>
      <c r="BB105" s="112"/>
      <c r="BC105" s="112" t="n">
        <f aca="false">BC104+BC$7/100</f>
        <v>1.94</v>
      </c>
      <c r="BD105" s="112" t="n">
        <f aca="false">BC105</f>
        <v>1.94</v>
      </c>
      <c r="BE105" s="112" t="n">
        <f aca="false">BC105*TAN(RADIANS(BG$7))-(IF($B$4, 9.807, 32.174)*BC105^2)/(2*BF$7^2*COS(RADIANS(BG$7))^2)+$D$7</f>
        <v>2.72808860190174</v>
      </c>
      <c r="BF105" s="123" t="n">
        <f aca="false">MIN($V$5,BE105)</f>
        <v>2.72808860190174</v>
      </c>
      <c r="BG105" s="112"/>
      <c r="BH105" s="112" t="n">
        <f aca="false">BH104+BH$7/100</f>
        <v>1.94</v>
      </c>
      <c r="BI105" s="122" t="n">
        <f aca="false">BH105-IF($I$3="Forward", $D$9, $G$9)</f>
        <v>1.94</v>
      </c>
      <c r="BJ105" s="112" t="n">
        <f aca="false">BH105*TAN(RADIANS(BL$7))-(IF($B$4, 9.807, 32.174)*BH105^2)/(2*BK$7^2*COS(RADIANS(BL$7))^2)+$D$7</f>
        <v>2.72808860190174</v>
      </c>
      <c r="BK105" s="123" t="n">
        <f aca="false">MIN($V$5,BJ105)</f>
        <v>2.72808860190174</v>
      </c>
      <c r="BL105" s="112"/>
      <c r="BM105" s="112" t="n">
        <f aca="false">BM104+BM$7/100</f>
        <v>1.94</v>
      </c>
      <c r="BN105" s="122" t="n">
        <f aca="false">BM105+IF($I$3="Forward", $D$9, $G$9)</f>
        <v>1.94</v>
      </c>
      <c r="BO105" s="112" t="n">
        <f aca="false">BM105*TAN(RADIANS(BQ$7))-(IF($B$4, 9.807, 32.174)*BM105^2)/(2*BP$7^2*COS(RADIANS(BQ$7))^2)+$D$7</f>
        <v>2.72808860190174</v>
      </c>
      <c r="BP105" s="123" t="n">
        <f aca="false">MIN($V$5,BO105)</f>
        <v>2.72808860190174</v>
      </c>
      <c r="BQ105" s="112"/>
      <c r="BR105" s="112" t="n">
        <f aca="false">BR104+BR$7/100</f>
        <v>1.94</v>
      </c>
      <c r="BS105" s="112" t="n">
        <f aca="false">BR105</f>
        <v>1.94</v>
      </c>
      <c r="BT105" s="112" t="n">
        <f aca="false">BR105*TAN(RADIANS(BV$7))-(IF($B$4, 9.807, 32.174)*BR105^2)/(2*BU$7^2*COS(RADIANS(BV$7))^2)+$D$7</f>
        <v>2.72808860190174</v>
      </c>
      <c r="BU105" s="123" t="n">
        <f aca="false">MIN($V$5,BT105)</f>
        <v>2.72808860190174</v>
      </c>
      <c r="BV105" s="112"/>
      <c r="BW105" s="112" t="n">
        <f aca="false">BW104+BW$7/100</f>
        <v>1.94</v>
      </c>
      <c r="BX105" s="122" t="n">
        <f aca="false">BW105-IF($I$3="Forward", $D$9, $G$9)</f>
        <v>1.94</v>
      </c>
      <c r="BY105" s="112" t="n">
        <f aca="false">BW105*TAN(RADIANS(CA$7))-(IF($B$4, 9.807, 32.174)*BW105^2)/(2*BZ$7^2*COS(RADIANS(CA$7))^2)+$D$7</f>
        <v>2.72808860190174</v>
      </c>
      <c r="BZ105" s="123" t="n">
        <f aca="false">MIN($V$5,BY105)</f>
        <v>2.72808860190174</v>
      </c>
      <c r="CA105" s="112"/>
      <c r="CB105" s="112" t="n">
        <f aca="false">CB104+CB$7/100</f>
        <v>1.94</v>
      </c>
      <c r="CC105" s="122" t="n">
        <f aca="false">CB105+IF($I$3="Forward", $D$9, $G$9)</f>
        <v>1.94</v>
      </c>
      <c r="CD105" s="112" t="n">
        <f aca="false">CB105*TAN(RADIANS(CF$7))-(IF($B$4, 9.807, 32.174)*CB105^2)/(2*CE$7^2*COS(RADIANS(CF$7))^2)+$D$7</f>
        <v>2.72808860190174</v>
      </c>
      <c r="CE105" s="123" t="n">
        <f aca="false">MIN($V$5,CD105)</f>
        <v>2.72808860190174</v>
      </c>
      <c r="CF105" s="112"/>
      <c r="CG105" s="124" t="n">
        <f aca="false">CG104+CG$7/100</f>
        <v>1.94</v>
      </c>
      <c r="CH105" s="124" t="n">
        <f aca="false">CG105</f>
        <v>1.94</v>
      </c>
      <c r="CI105" s="124" t="n">
        <f aca="false">CG105*TAN(RADIANS(CK$7))-(IF($B$4, 9.807, 32.174)*CG105^2)/(2*CJ$7^2*COS(RADIANS(CK$7))^2)+$D$7</f>
        <v>2.72808860190174</v>
      </c>
      <c r="CJ105" s="123" t="n">
        <f aca="false">MIN($V$5,CI105)</f>
        <v>2.72808860190174</v>
      </c>
      <c r="CK105" s="124"/>
      <c r="CL105" s="112" t="n">
        <f aca="false">CL104+CL$7/100</f>
        <v>1.94</v>
      </c>
      <c r="CM105" s="122" t="n">
        <f aca="false">CL105-IF($I$3="Forward", $D$9, $G$9)</f>
        <v>1.94</v>
      </c>
      <c r="CN105" s="112" t="n">
        <f aca="false">CL105*TAN(RADIANS(CP$7))-(IF($B$4, 9.807, 32.174)*CL105^2)/(2*CO$7^2*COS(RADIANS(CP$7))^2)+$D$7</f>
        <v>2.72808860190174</v>
      </c>
      <c r="CO105" s="123" t="n">
        <f aca="false">MIN($V$5,CN105)</f>
        <v>2.72808860190174</v>
      </c>
      <c r="CP105" s="112"/>
      <c r="CQ105" s="112" t="n">
        <f aca="false">CQ104+CQ$7/100</f>
        <v>1.94</v>
      </c>
      <c r="CR105" s="122" t="n">
        <f aca="false">CQ105+IF($I$3="Forward", $D$9, $G$9)</f>
        <v>1.94</v>
      </c>
      <c r="CS105" s="112" t="n">
        <f aca="false">CQ105*TAN(RADIANS(CU$7))-(IF($B$4, 9.807, 32.174)*CQ105^2)/(2*CT$7^2*COS(RADIANS(CU$7))^2)+$D$7</f>
        <v>2.72808860190174</v>
      </c>
      <c r="CT105" s="123" t="n">
        <f aca="false">MIN($V$5,CS105)</f>
        <v>2.72808860190174</v>
      </c>
      <c r="CU105" s="112"/>
      <c r="CV105" s="112" t="n">
        <f aca="false">CV104+CV$7/100</f>
        <v>1.94</v>
      </c>
      <c r="CW105" s="112" t="n">
        <f aca="false">CV105</f>
        <v>1.94</v>
      </c>
      <c r="CX105" s="112" t="n">
        <f aca="false">CV105*TAN(RADIANS(CZ$7))-(IF($B$4, 9.807, 32.174)*CV105^2)/(2*CY$7^2*COS(RADIANS(CZ$7))^2)+$D$7</f>
        <v>2.72808860190174</v>
      </c>
      <c r="CY105" s="123" t="n">
        <f aca="false">MIN($V$5,CX105)</f>
        <v>2.72808860190174</v>
      </c>
      <c r="CZ105" s="112"/>
      <c r="DA105" s="112" t="n">
        <f aca="false">DA104+DA$7/100</f>
        <v>1.94</v>
      </c>
      <c r="DB105" s="122" t="n">
        <f aca="false">DA105-IF($I$3="Forward", $D$9, $G$9)</f>
        <v>1.94</v>
      </c>
      <c r="DC105" s="112" t="n">
        <f aca="false">DA105*TAN(RADIANS(DE$7))-(IF($B$4, 9.807, 32.174)*DA105^2)/(2*DD$7^2*COS(RADIANS(DE$7))^2)+$D$7</f>
        <v>2.72808860190174</v>
      </c>
      <c r="DD105" s="123" t="n">
        <f aca="false">MIN($V$5,DC105)</f>
        <v>2.72808860190174</v>
      </c>
      <c r="DE105" s="112"/>
      <c r="DF105" s="112" t="n">
        <f aca="false">DF104+DF$7/100</f>
        <v>1.94</v>
      </c>
      <c r="DG105" s="122" t="n">
        <f aca="false">DF105+IF($I$3="Forward", $D$9, $G$9)</f>
        <v>1.94</v>
      </c>
      <c r="DH105" s="112" t="n">
        <f aca="false">DF105*TAN(RADIANS(DJ$7))-(IF($B$4, 9.807, 32.174)*DF105^2)/(2*DI$7^2*COS(RADIANS(DJ$7))^2)+$D$7</f>
        <v>2.72808860190174</v>
      </c>
      <c r="DI105" s="123" t="n">
        <f aca="false">MIN($V$5,DH105)</f>
        <v>2.72808860190174</v>
      </c>
      <c r="DJ105" s="112"/>
      <c r="DK105" s="112" t="n">
        <f aca="false">DK104+DK$7/100</f>
        <v>1.94</v>
      </c>
      <c r="DL105" s="112" t="n">
        <f aca="false">DK105</f>
        <v>1.94</v>
      </c>
      <c r="DM105" s="112" t="n">
        <f aca="false">DK105*TAN(RADIANS(DO$7))-(IF($B$4, 9.807, 32.174)*DK105^2)/(2*DN$7^2*COS(RADIANS(DO$7))^2)+$D$7</f>
        <v>2.72808860190174</v>
      </c>
      <c r="DN105" s="123" t="n">
        <f aca="false">MIN($V$5,DM105)</f>
        <v>2.72808860190174</v>
      </c>
      <c r="DO105" s="112"/>
      <c r="DP105" s="112" t="n">
        <f aca="false">DP104+DP$7/100</f>
        <v>1.94</v>
      </c>
      <c r="DQ105" s="122" t="n">
        <f aca="false">DP105-IF($I$3="Forward", $D$9, $G$9)</f>
        <v>1.94</v>
      </c>
      <c r="DR105" s="112" t="n">
        <f aca="false">DP105*TAN(RADIANS(DT$7))-(IF($B$4, 9.807, 32.174)*DP105^2)/(2*DS$7^2*COS(RADIANS(DT$7))^2)+$D$7</f>
        <v>2.72808860190174</v>
      </c>
      <c r="DS105" s="123" t="n">
        <f aca="false">MIN($V$5,DR105)</f>
        <v>2.72808860190174</v>
      </c>
      <c r="DT105" s="112"/>
      <c r="DU105" s="112" t="n">
        <f aca="false">DU104+DU$7/100</f>
        <v>1.94</v>
      </c>
      <c r="DV105" s="122" t="n">
        <f aca="false">DU105+IF($I$3="Forward", $D$9, $G$9)</f>
        <v>1.94</v>
      </c>
      <c r="DW105" s="112" t="n">
        <f aca="false">DU105*TAN(RADIANS(DY$7))-(IF($B$4, 9.807, 32.174)*DU105^2)/(2*DX$7^2*COS(RADIANS(DY$7))^2)+$D$7</f>
        <v>2.72808860190174</v>
      </c>
      <c r="DX105" s="123" t="n">
        <f aca="false">MIN($V$5,DW105)</f>
        <v>2.72808860190174</v>
      </c>
      <c r="DY105" s="112"/>
      <c r="DZ105" s="112" t="n">
        <f aca="false">DZ104+DZ$7/100</f>
        <v>1.94</v>
      </c>
      <c r="EA105" s="112" t="n">
        <f aca="false">DZ105</f>
        <v>1.94</v>
      </c>
      <c r="EB105" s="112" t="n">
        <f aca="false">DZ105*TAN(RADIANS(ED$7))-(IF($B$4, 9.807, 32.174)*DZ105^2)/(2*EC$7^2*COS(RADIANS(ED$7))^2)+$D$7</f>
        <v>2.72808860190174</v>
      </c>
      <c r="EC105" s="123" t="n">
        <f aca="false">MIN($V$5,EB105)</f>
        <v>2.72808860190174</v>
      </c>
      <c r="ED105" s="112"/>
      <c r="EE105" s="112" t="n">
        <f aca="false">EE104+EE$7/100</f>
        <v>1.94</v>
      </c>
      <c r="EF105" s="122" t="n">
        <f aca="false">EE105-IF($I$3="Forward", $D$9, $G$9)</f>
        <v>1.94</v>
      </c>
      <c r="EG105" s="112" t="n">
        <f aca="false">EE105*TAN(RADIANS(EI$7))-(IF($B$4, 9.807, 32.174)*EE105^2)/(2*EH$7^2*COS(RADIANS(EI$7))^2)+$D$7</f>
        <v>2.72808860190174</v>
      </c>
      <c r="EH105" s="123" t="n">
        <f aca="false">MIN($V$5,EG105)</f>
        <v>2.72808860190174</v>
      </c>
      <c r="EI105" s="112"/>
      <c r="EJ105" s="112" t="n">
        <f aca="false">EJ104+EJ$7/100</f>
        <v>1.94</v>
      </c>
      <c r="EK105" s="122" t="n">
        <f aca="false">EJ105+IF($I$3="Forward", $D$9, $G$9)</f>
        <v>1.94</v>
      </c>
      <c r="EL105" s="112" t="n">
        <f aca="false">EJ105*TAN(RADIANS(EN$7))-(IF($B$4, 9.807, 32.174)*EJ105^2)/(2*EM$7^2*COS(RADIANS(EN$7))^2)+$D$7</f>
        <v>2.72808860190174</v>
      </c>
      <c r="EM105" s="123" t="n">
        <f aca="false">MIN($V$5,EL105)</f>
        <v>2.72808860190174</v>
      </c>
      <c r="EN105" s="112"/>
      <c r="EO105" s="112" t="n">
        <f aca="false">EO104+EO$7/100</f>
        <v>1.94</v>
      </c>
      <c r="EP105" s="112" t="n">
        <f aca="false">EO105</f>
        <v>1.94</v>
      </c>
      <c r="EQ105" s="112" t="n">
        <f aca="false">EO105*TAN(RADIANS(ES$7))-(IF($B$4, 9.807, 32.174)*EO105^2)/(2*ER$7^2*COS(RADIANS(ES$7))^2)+$D$7</f>
        <v>2.72808860190174</v>
      </c>
      <c r="ER105" s="123" t="n">
        <f aca="false">MIN($V$5,EQ105)</f>
        <v>2.72808860190174</v>
      </c>
      <c r="ES105" s="112"/>
      <c r="ET105" s="112" t="n">
        <f aca="false">ET104+ET$7/100</f>
        <v>1.94</v>
      </c>
      <c r="EU105" s="122" t="n">
        <f aca="false">ET105-IF($I$3="Forward", $D$9, $G$9)</f>
        <v>1.94</v>
      </c>
      <c r="EV105" s="112" t="n">
        <f aca="false">ET105*TAN(RADIANS(EX$7))-(IF($B$4, 9.807, 32.174)*ET105^2)/(2*EW$7^2*COS(RADIANS(EX$7))^2)+$D$7</f>
        <v>2.72808860190174</v>
      </c>
      <c r="EW105" s="123" t="n">
        <f aca="false">MIN($V$5,EV105)</f>
        <v>2.72808860190174</v>
      </c>
      <c r="EX105" s="112"/>
    </row>
    <row r="106" s="131" customFormat="true" ht="15" hidden="false" customHeight="false" outlineLevel="0" collapsed="false">
      <c r="T106" s="112" t="n">
        <f aca="false">T105+T$7/100</f>
        <v>1.96</v>
      </c>
      <c r="U106" s="122" t="n">
        <f aca="false">T106+IF($I$3="Forward", $D$9, $G$9)</f>
        <v>1.96</v>
      </c>
      <c r="V106" s="112" t="n">
        <f aca="false">T106*TAN(RADIANS(X$7))-(IF($B$4, 9.807, 32.174)*T106^2)/(2*W$7^2*COS(RADIANS(X$7))^2)+$D$7</f>
        <v>2.62143424732901</v>
      </c>
      <c r="W106" s="123" t="n">
        <f aca="false">MIN($V$5,V106)</f>
        <v>2.62143424732901</v>
      </c>
      <c r="X106" s="112"/>
      <c r="Y106" s="112" t="n">
        <f aca="false">Y105+Y$7/100</f>
        <v>1.96</v>
      </c>
      <c r="Z106" s="112" t="n">
        <f aca="false">Y106</f>
        <v>1.96</v>
      </c>
      <c r="AA106" s="112" t="n">
        <f aca="false">Y106*TAN(RADIANS(AC$7))-(IF($B$4, 9.807, 32.174)*Y106^2)/(2*AB$7^2*COS(RADIANS(AC$7))^2)+$D$7</f>
        <v>2.62143424732901</v>
      </c>
      <c r="AB106" s="123" t="n">
        <f aca="false">MIN($V$5,AA106)</f>
        <v>2.62143424732901</v>
      </c>
      <c r="AC106" s="112"/>
      <c r="AD106" s="112" t="n">
        <f aca="false">AD105+AD$7/100</f>
        <v>1.96</v>
      </c>
      <c r="AE106" s="122" t="n">
        <f aca="false">AD106-IF($I$3="Forward", $D$9, $G$9)</f>
        <v>1.96</v>
      </c>
      <c r="AF106" s="112" t="n">
        <f aca="false">AD106*TAN(RADIANS(AH$7))-(IF($B$4, 9.807, 32.174)*AD106^2)/(2*AG$7^2*COS(RADIANS(AH$7))^2)+$D$7</f>
        <v>2.62143424732901</v>
      </c>
      <c r="AG106" s="123" t="n">
        <f aca="false">MIN($V$5,AF106)</f>
        <v>2.62143424732901</v>
      </c>
      <c r="AH106" s="112"/>
      <c r="AI106" s="112" t="n">
        <f aca="false">AI105+AI$7/100</f>
        <v>1.96</v>
      </c>
      <c r="AJ106" s="122" t="n">
        <f aca="false">AI106+IF($I$3="Forward", $D$9, $G$9)</f>
        <v>1.96</v>
      </c>
      <c r="AK106" s="112" t="n">
        <f aca="false">AI106*TAN(RADIANS(AM$7))-(IF($B$4, 9.807, 32.174)*AI106^2)/(2*AL$7^2*COS(RADIANS(AM$7))^2)+$D$7</f>
        <v>2.62143424732901</v>
      </c>
      <c r="AL106" s="123" t="n">
        <f aca="false">MIN($V$5,AK106)</f>
        <v>2.62143424732901</v>
      </c>
      <c r="AM106" s="112"/>
      <c r="AN106" s="112" t="n">
        <f aca="false">AN105+AN$7/100</f>
        <v>1.96</v>
      </c>
      <c r="AO106" s="112" t="n">
        <f aca="false">AN106</f>
        <v>1.96</v>
      </c>
      <c r="AP106" s="112" t="n">
        <f aca="false">AN106*TAN(RADIANS(AR$7))-(IF($B$4, 9.807, 32.174)*AN106^2)/(2*AQ$7^2*COS(RADIANS(AR$7))^2)+$D$7</f>
        <v>2.62143424732901</v>
      </c>
      <c r="AQ106" s="123" t="n">
        <f aca="false">MIN($V$5,AP106)</f>
        <v>2.62143424732901</v>
      </c>
      <c r="AR106" s="112"/>
      <c r="AS106" s="112" t="n">
        <f aca="false">AS105+AS$7/100</f>
        <v>1.96</v>
      </c>
      <c r="AT106" s="122" t="n">
        <f aca="false">AS106-IF($I$3="Forward", $D$9, $G$9)</f>
        <v>1.96</v>
      </c>
      <c r="AU106" s="112" t="n">
        <f aca="false">AS106*TAN(RADIANS(AW$7))-(IF($B$4, 9.807, 32.174)*AS106^2)/(2*AV$7^2*COS(RADIANS(AW$7))^2)+$D$7</f>
        <v>2.62143424732901</v>
      </c>
      <c r="AV106" s="123" t="n">
        <f aca="false">MIN($V$5,AU106)</f>
        <v>2.62143424732901</v>
      </c>
      <c r="AW106" s="112"/>
      <c r="AX106" s="112" t="n">
        <f aca="false">AX105+AX$7/100</f>
        <v>1.96</v>
      </c>
      <c r="AY106" s="122" t="n">
        <f aca="false">AX106+IF($I$3="Forward", $D$9, $G$9)</f>
        <v>1.96</v>
      </c>
      <c r="AZ106" s="112" t="n">
        <f aca="false">AX106*TAN(RADIANS(BB$7))-(IF($B$4, 9.807, 32.174)*AX106^2)/(2*BA$7^2*COS(RADIANS(BB$7))^2)+$D$7</f>
        <v>2.62143424732901</v>
      </c>
      <c r="BA106" s="123" t="n">
        <f aca="false">MIN($V$5,AZ106)</f>
        <v>2.62143424732901</v>
      </c>
      <c r="BB106" s="112"/>
      <c r="BC106" s="112" t="n">
        <f aca="false">BC105+BC$7/100</f>
        <v>1.96</v>
      </c>
      <c r="BD106" s="112" t="n">
        <f aca="false">BC106</f>
        <v>1.96</v>
      </c>
      <c r="BE106" s="112" t="n">
        <f aca="false">BC106*TAN(RADIANS(BG$7))-(IF($B$4, 9.807, 32.174)*BC106^2)/(2*BF$7^2*COS(RADIANS(BG$7))^2)+$D$7</f>
        <v>2.62143424732901</v>
      </c>
      <c r="BF106" s="123" t="n">
        <f aca="false">MIN($V$5,BE106)</f>
        <v>2.62143424732901</v>
      </c>
      <c r="BG106" s="112"/>
      <c r="BH106" s="112" t="n">
        <f aca="false">BH105+BH$7/100</f>
        <v>1.96</v>
      </c>
      <c r="BI106" s="122" t="n">
        <f aca="false">BH106-IF($I$3="Forward", $D$9, $G$9)</f>
        <v>1.96</v>
      </c>
      <c r="BJ106" s="112" t="n">
        <f aca="false">BH106*TAN(RADIANS(BL$7))-(IF($B$4, 9.807, 32.174)*BH106^2)/(2*BK$7^2*COS(RADIANS(BL$7))^2)+$D$7</f>
        <v>2.62143424732901</v>
      </c>
      <c r="BK106" s="123" t="n">
        <f aca="false">MIN($V$5,BJ106)</f>
        <v>2.62143424732901</v>
      </c>
      <c r="BL106" s="112"/>
      <c r="BM106" s="112" t="n">
        <f aca="false">BM105+BM$7/100</f>
        <v>1.96</v>
      </c>
      <c r="BN106" s="122" t="n">
        <f aca="false">BM106+IF($I$3="Forward", $D$9, $G$9)</f>
        <v>1.96</v>
      </c>
      <c r="BO106" s="112" t="n">
        <f aca="false">BM106*TAN(RADIANS(BQ$7))-(IF($B$4, 9.807, 32.174)*BM106^2)/(2*BP$7^2*COS(RADIANS(BQ$7))^2)+$D$7</f>
        <v>2.62143424732901</v>
      </c>
      <c r="BP106" s="123" t="n">
        <f aca="false">MIN($V$5,BO106)</f>
        <v>2.62143424732901</v>
      </c>
      <c r="BQ106" s="112"/>
      <c r="BR106" s="112" t="n">
        <f aca="false">BR105+BR$7/100</f>
        <v>1.96</v>
      </c>
      <c r="BS106" s="112" t="n">
        <f aca="false">BR106</f>
        <v>1.96</v>
      </c>
      <c r="BT106" s="112" t="n">
        <f aca="false">BR106*TAN(RADIANS(BV$7))-(IF($B$4, 9.807, 32.174)*BR106^2)/(2*BU$7^2*COS(RADIANS(BV$7))^2)+$D$7</f>
        <v>2.62143424732901</v>
      </c>
      <c r="BU106" s="123" t="n">
        <f aca="false">MIN($V$5,BT106)</f>
        <v>2.62143424732901</v>
      </c>
      <c r="BV106" s="112"/>
      <c r="BW106" s="112" t="n">
        <f aca="false">BW105+BW$7/100</f>
        <v>1.96</v>
      </c>
      <c r="BX106" s="122" t="n">
        <f aca="false">BW106-IF($I$3="Forward", $D$9, $G$9)</f>
        <v>1.96</v>
      </c>
      <c r="BY106" s="112" t="n">
        <f aca="false">BW106*TAN(RADIANS(CA$7))-(IF($B$4, 9.807, 32.174)*BW106^2)/(2*BZ$7^2*COS(RADIANS(CA$7))^2)+$D$7</f>
        <v>2.62143424732901</v>
      </c>
      <c r="BZ106" s="123" t="n">
        <f aca="false">MIN($V$5,BY106)</f>
        <v>2.62143424732901</v>
      </c>
      <c r="CA106" s="112"/>
      <c r="CB106" s="112" t="n">
        <f aca="false">CB105+CB$7/100</f>
        <v>1.96</v>
      </c>
      <c r="CC106" s="122" t="n">
        <f aca="false">CB106+IF($I$3="Forward", $D$9, $G$9)</f>
        <v>1.96</v>
      </c>
      <c r="CD106" s="112" t="n">
        <f aca="false">CB106*TAN(RADIANS(CF$7))-(IF($B$4, 9.807, 32.174)*CB106^2)/(2*CE$7^2*COS(RADIANS(CF$7))^2)+$D$7</f>
        <v>2.62143424732901</v>
      </c>
      <c r="CE106" s="123" t="n">
        <f aca="false">MIN($V$5,CD106)</f>
        <v>2.62143424732901</v>
      </c>
      <c r="CF106" s="112"/>
      <c r="CG106" s="124" t="n">
        <f aca="false">CG105+CG$7/100</f>
        <v>1.96</v>
      </c>
      <c r="CH106" s="124" t="n">
        <f aca="false">CG106</f>
        <v>1.96</v>
      </c>
      <c r="CI106" s="124" t="n">
        <f aca="false">CG106*TAN(RADIANS(CK$7))-(IF($B$4, 9.807, 32.174)*CG106^2)/(2*CJ$7^2*COS(RADIANS(CK$7))^2)+$D$7</f>
        <v>2.62143424732901</v>
      </c>
      <c r="CJ106" s="123" t="n">
        <f aca="false">MIN($V$5,CI106)</f>
        <v>2.62143424732901</v>
      </c>
      <c r="CK106" s="124"/>
      <c r="CL106" s="112" t="n">
        <f aca="false">CL105+CL$7/100</f>
        <v>1.96</v>
      </c>
      <c r="CM106" s="122" t="n">
        <f aca="false">CL106-IF($I$3="Forward", $D$9, $G$9)</f>
        <v>1.96</v>
      </c>
      <c r="CN106" s="112" t="n">
        <f aca="false">CL106*TAN(RADIANS(CP$7))-(IF($B$4, 9.807, 32.174)*CL106^2)/(2*CO$7^2*COS(RADIANS(CP$7))^2)+$D$7</f>
        <v>2.62143424732901</v>
      </c>
      <c r="CO106" s="123" t="n">
        <f aca="false">MIN($V$5,CN106)</f>
        <v>2.62143424732901</v>
      </c>
      <c r="CP106" s="112"/>
      <c r="CQ106" s="112" t="n">
        <f aca="false">CQ105+CQ$7/100</f>
        <v>1.96</v>
      </c>
      <c r="CR106" s="122" t="n">
        <f aca="false">CQ106+IF($I$3="Forward", $D$9, $G$9)</f>
        <v>1.96</v>
      </c>
      <c r="CS106" s="112" t="n">
        <f aca="false">CQ106*TAN(RADIANS(CU$7))-(IF($B$4, 9.807, 32.174)*CQ106^2)/(2*CT$7^2*COS(RADIANS(CU$7))^2)+$D$7</f>
        <v>2.62143424732901</v>
      </c>
      <c r="CT106" s="123" t="n">
        <f aca="false">MIN($V$5,CS106)</f>
        <v>2.62143424732901</v>
      </c>
      <c r="CU106" s="112"/>
      <c r="CV106" s="112" t="n">
        <f aca="false">CV105+CV$7/100</f>
        <v>1.96</v>
      </c>
      <c r="CW106" s="112" t="n">
        <f aca="false">CV106</f>
        <v>1.96</v>
      </c>
      <c r="CX106" s="112" t="n">
        <f aca="false">CV106*TAN(RADIANS(CZ$7))-(IF($B$4, 9.807, 32.174)*CV106^2)/(2*CY$7^2*COS(RADIANS(CZ$7))^2)+$D$7</f>
        <v>2.62143424732901</v>
      </c>
      <c r="CY106" s="123" t="n">
        <f aca="false">MIN($V$5,CX106)</f>
        <v>2.62143424732901</v>
      </c>
      <c r="CZ106" s="112"/>
      <c r="DA106" s="112" t="n">
        <f aca="false">DA105+DA$7/100</f>
        <v>1.96</v>
      </c>
      <c r="DB106" s="122" t="n">
        <f aca="false">DA106-IF($I$3="Forward", $D$9, $G$9)</f>
        <v>1.96</v>
      </c>
      <c r="DC106" s="112" t="n">
        <f aca="false">DA106*TAN(RADIANS(DE$7))-(IF($B$4, 9.807, 32.174)*DA106^2)/(2*DD$7^2*COS(RADIANS(DE$7))^2)+$D$7</f>
        <v>2.62143424732901</v>
      </c>
      <c r="DD106" s="123" t="n">
        <f aca="false">MIN($V$5,DC106)</f>
        <v>2.62143424732901</v>
      </c>
      <c r="DE106" s="112"/>
      <c r="DF106" s="112" t="n">
        <f aca="false">DF105+DF$7/100</f>
        <v>1.96</v>
      </c>
      <c r="DG106" s="122" t="n">
        <f aca="false">DF106+IF($I$3="Forward", $D$9, $G$9)</f>
        <v>1.96</v>
      </c>
      <c r="DH106" s="112" t="n">
        <f aca="false">DF106*TAN(RADIANS(DJ$7))-(IF($B$4, 9.807, 32.174)*DF106^2)/(2*DI$7^2*COS(RADIANS(DJ$7))^2)+$D$7</f>
        <v>2.62143424732901</v>
      </c>
      <c r="DI106" s="123" t="n">
        <f aca="false">MIN($V$5,DH106)</f>
        <v>2.62143424732901</v>
      </c>
      <c r="DJ106" s="112"/>
      <c r="DK106" s="112" t="n">
        <f aca="false">DK105+DK$7/100</f>
        <v>1.96</v>
      </c>
      <c r="DL106" s="112" t="n">
        <f aca="false">DK106</f>
        <v>1.96</v>
      </c>
      <c r="DM106" s="112" t="n">
        <f aca="false">DK106*TAN(RADIANS(DO$7))-(IF($B$4, 9.807, 32.174)*DK106^2)/(2*DN$7^2*COS(RADIANS(DO$7))^2)+$D$7</f>
        <v>2.62143424732901</v>
      </c>
      <c r="DN106" s="123" t="n">
        <f aca="false">MIN($V$5,DM106)</f>
        <v>2.62143424732901</v>
      </c>
      <c r="DO106" s="112"/>
      <c r="DP106" s="112" t="n">
        <f aca="false">DP105+DP$7/100</f>
        <v>1.96</v>
      </c>
      <c r="DQ106" s="122" t="n">
        <f aca="false">DP106-IF($I$3="Forward", $D$9, $G$9)</f>
        <v>1.96</v>
      </c>
      <c r="DR106" s="112" t="n">
        <f aca="false">DP106*TAN(RADIANS(DT$7))-(IF($B$4, 9.807, 32.174)*DP106^2)/(2*DS$7^2*COS(RADIANS(DT$7))^2)+$D$7</f>
        <v>2.62143424732901</v>
      </c>
      <c r="DS106" s="123" t="n">
        <f aca="false">MIN($V$5,DR106)</f>
        <v>2.62143424732901</v>
      </c>
      <c r="DT106" s="112"/>
      <c r="DU106" s="112" t="n">
        <f aca="false">DU105+DU$7/100</f>
        <v>1.96</v>
      </c>
      <c r="DV106" s="122" t="n">
        <f aca="false">DU106+IF($I$3="Forward", $D$9, $G$9)</f>
        <v>1.96</v>
      </c>
      <c r="DW106" s="112" t="n">
        <f aca="false">DU106*TAN(RADIANS(DY$7))-(IF($B$4, 9.807, 32.174)*DU106^2)/(2*DX$7^2*COS(RADIANS(DY$7))^2)+$D$7</f>
        <v>2.62143424732901</v>
      </c>
      <c r="DX106" s="123" t="n">
        <f aca="false">MIN($V$5,DW106)</f>
        <v>2.62143424732901</v>
      </c>
      <c r="DY106" s="112"/>
      <c r="DZ106" s="112" t="n">
        <f aca="false">DZ105+DZ$7/100</f>
        <v>1.96</v>
      </c>
      <c r="EA106" s="112" t="n">
        <f aca="false">DZ106</f>
        <v>1.96</v>
      </c>
      <c r="EB106" s="112" t="n">
        <f aca="false">DZ106*TAN(RADIANS(ED$7))-(IF($B$4, 9.807, 32.174)*DZ106^2)/(2*EC$7^2*COS(RADIANS(ED$7))^2)+$D$7</f>
        <v>2.62143424732901</v>
      </c>
      <c r="EC106" s="123" t="n">
        <f aca="false">MIN($V$5,EB106)</f>
        <v>2.62143424732901</v>
      </c>
      <c r="ED106" s="112"/>
      <c r="EE106" s="112" t="n">
        <f aca="false">EE105+EE$7/100</f>
        <v>1.96</v>
      </c>
      <c r="EF106" s="122" t="n">
        <f aca="false">EE106-IF($I$3="Forward", $D$9, $G$9)</f>
        <v>1.96</v>
      </c>
      <c r="EG106" s="112" t="n">
        <f aca="false">EE106*TAN(RADIANS(EI$7))-(IF($B$4, 9.807, 32.174)*EE106^2)/(2*EH$7^2*COS(RADIANS(EI$7))^2)+$D$7</f>
        <v>2.62143424732901</v>
      </c>
      <c r="EH106" s="123" t="n">
        <f aca="false">MIN($V$5,EG106)</f>
        <v>2.62143424732901</v>
      </c>
      <c r="EI106" s="112"/>
      <c r="EJ106" s="112" t="n">
        <f aca="false">EJ105+EJ$7/100</f>
        <v>1.96</v>
      </c>
      <c r="EK106" s="122" t="n">
        <f aca="false">EJ106+IF($I$3="Forward", $D$9, $G$9)</f>
        <v>1.96</v>
      </c>
      <c r="EL106" s="112" t="n">
        <f aca="false">EJ106*TAN(RADIANS(EN$7))-(IF($B$4, 9.807, 32.174)*EJ106^2)/(2*EM$7^2*COS(RADIANS(EN$7))^2)+$D$7</f>
        <v>2.62143424732901</v>
      </c>
      <c r="EM106" s="123" t="n">
        <f aca="false">MIN($V$5,EL106)</f>
        <v>2.62143424732901</v>
      </c>
      <c r="EN106" s="112"/>
      <c r="EO106" s="112" t="n">
        <f aca="false">EO105+EO$7/100</f>
        <v>1.96</v>
      </c>
      <c r="EP106" s="112" t="n">
        <f aca="false">EO106</f>
        <v>1.96</v>
      </c>
      <c r="EQ106" s="112" t="n">
        <f aca="false">EO106*TAN(RADIANS(ES$7))-(IF($B$4, 9.807, 32.174)*EO106^2)/(2*ER$7^2*COS(RADIANS(ES$7))^2)+$D$7</f>
        <v>2.62143424732901</v>
      </c>
      <c r="ER106" s="123" t="n">
        <f aca="false">MIN($V$5,EQ106)</f>
        <v>2.62143424732901</v>
      </c>
      <c r="ES106" s="112"/>
      <c r="ET106" s="112" t="n">
        <f aca="false">ET105+ET$7/100</f>
        <v>1.96</v>
      </c>
      <c r="EU106" s="122" t="n">
        <f aca="false">ET106-IF($I$3="Forward", $D$9, $G$9)</f>
        <v>1.96</v>
      </c>
      <c r="EV106" s="112" t="n">
        <f aca="false">ET106*TAN(RADIANS(EX$7))-(IF($B$4, 9.807, 32.174)*ET106^2)/(2*EW$7^2*COS(RADIANS(EX$7))^2)+$D$7</f>
        <v>2.62143424732901</v>
      </c>
      <c r="EW106" s="123" t="n">
        <f aca="false">MIN($V$5,EV106)</f>
        <v>2.62143424732901</v>
      </c>
      <c r="EX106" s="112"/>
    </row>
    <row r="107" s="131" customFormat="true" ht="15" hidden="false" customHeight="false" outlineLevel="0" collapsed="false">
      <c r="T107" s="112" t="n">
        <f aca="false">T106+T$7/100</f>
        <v>1.98</v>
      </c>
      <c r="U107" s="122" t="n">
        <f aca="false">T107+IF($I$3="Forward", $D$9, $G$9)</f>
        <v>1.98</v>
      </c>
      <c r="V107" s="112" t="n">
        <f aca="false">T107*TAN(RADIANS(X$7))-(IF($B$4, 9.807, 32.174)*T107^2)/(2*W$7^2*COS(RADIANS(X$7))^2)+$D$7</f>
        <v>2.51207138002842</v>
      </c>
      <c r="W107" s="123" t="n">
        <f aca="false">MIN($V$5,V107)</f>
        <v>2.51207138002842</v>
      </c>
      <c r="X107" s="112"/>
      <c r="Y107" s="112" t="n">
        <f aca="false">Y106+Y$7/100</f>
        <v>1.98</v>
      </c>
      <c r="Z107" s="112" t="n">
        <f aca="false">Y107</f>
        <v>1.98</v>
      </c>
      <c r="AA107" s="112" t="n">
        <f aca="false">Y107*TAN(RADIANS(AC$7))-(IF($B$4, 9.807, 32.174)*Y107^2)/(2*AB$7^2*COS(RADIANS(AC$7))^2)+$D$7</f>
        <v>2.51207138002842</v>
      </c>
      <c r="AB107" s="123" t="n">
        <f aca="false">MIN($V$5,AA107)</f>
        <v>2.51207138002842</v>
      </c>
      <c r="AC107" s="112"/>
      <c r="AD107" s="112" t="n">
        <f aca="false">AD106+AD$7/100</f>
        <v>1.98</v>
      </c>
      <c r="AE107" s="122" t="n">
        <f aca="false">AD107-IF($I$3="Forward", $D$9, $G$9)</f>
        <v>1.98</v>
      </c>
      <c r="AF107" s="112" t="n">
        <f aca="false">AD107*TAN(RADIANS(AH$7))-(IF($B$4, 9.807, 32.174)*AD107^2)/(2*AG$7^2*COS(RADIANS(AH$7))^2)+$D$7</f>
        <v>2.51207138002842</v>
      </c>
      <c r="AG107" s="123" t="n">
        <f aca="false">MIN($V$5,AF107)</f>
        <v>2.51207138002842</v>
      </c>
      <c r="AH107" s="112"/>
      <c r="AI107" s="112" t="n">
        <f aca="false">AI106+AI$7/100</f>
        <v>1.98</v>
      </c>
      <c r="AJ107" s="122" t="n">
        <f aca="false">AI107+IF($I$3="Forward", $D$9, $G$9)</f>
        <v>1.98</v>
      </c>
      <c r="AK107" s="112" t="n">
        <f aca="false">AI107*TAN(RADIANS(AM$7))-(IF($B$4, 9.807, 32.174)*AI107^2)/(2*AL$7^2*COS(RADIANS(AM$7))^2)+$D$7</f>
        <v>2.51207138002842</v>
      </c>
      <c r="AL107" s="123" t="n">
        <f aca="false">MIN($V$5,AK107)</f>
        <v>2.51207138002842</v>
      </c>
      <c r="AM107" s="112"/>
      <c r="AN107" s="112" t="n">
        <f aca="false">AN106+AN$7/100</f>
        <v>1.98</v>
      </c>
      <c r="AO107" s="112" t="n">
        <f aca="false">AN107</f>
        <v>1.98</v>
      </c>
      <c r="AP107" s="112" t="n">
        <f aca="false">AN107*TAN(RADIANS(AR$7))-(IF($B$4, 9.807, 32.174)*AN107^2)/(2*AQ$7^2*COS(RADIANS(AR$7))^2)+$D$7</f>
        <v>2.51207138002842</v>
      </c>
      <c r="AQ107" s="123" t="n">
        <f aca="false">MIN($V$5,AP107)</f>
        <v>2.51207138002842</v>
      </c>
      <c r="AR107" s="112"/>
      <c r="AS107" s="112" t="n">
        <f aca="false">AS106+AS$7/100</f>
        <v>1.98</v>
      </c>
      <c r="AT107" s="122" t="n">
        <f aca="false">AS107-IF($I$3="Forward", $D$9, $G$9)</f>
        <v>1.98</v>
      </c>
      <c r="AU107" s="112" t="n">
        <f aca="false">AS107*TAN(RADIANS(AW$7))-(IF($B$4, 9.807, 32.174)*AS107^2)/(2*AV$7^2*COS(RADIANS(AW$7))^2)+$D$7</f>
        <v>2.51207138002842</v>
      </c>
      <c r="AV107" s="123" t="n">
        <f aca="false">MIN($V$5,AU107)</f>
        <v>2.51207138002842</v>
      </c>
      <c r="AW107" s="112"/>
      <c r="AX107" s="112" t="n">
        <f aca="false">AX106+AX$7/100</f>
        <v>1.98</v>
      </c>
      <c r="AY107" s="122" t="n">
        <f aca="false">AX107+IF($I$3="Forward", $D$9, $G$9)</f>
        <v>1.98</v>
      </c>
      <c r="AZ107" s="112" t="n">
        <f aca="false">AX107*TAN(RADIANS(BB$7))-(IF($B$4, 9.807, 32.174)*AX107^2)/(2*BA$7^2*COS(RADIANS(BB$7))^2)+$D$7</f>
        <v>2.51207138002842</v>
      </c>
      <c r="BA107" s="123" t="n">
        <f aca="false">MIN($V$5,AZ107)</f>
        <v>2.51207138002842</v>
      </c>
      <c r="BB107" s="112"/>
      <c r="BC107" s="112" t="n">
        <f aca="false">BC106+BC$7/100</f>
        <v>1.98</v>
      </c>
      <c r="BD107" s="112" t="n">
        <f aca="false">BC107</f>
        <v>1.98</v>
      </c>
      <c r="BE107" s="112" t="n">
        <f aca="false">BC107*TAN(RADIANS(BG$7))-(IF($B$4, 9.807, 32.174)*BC107^2)/(2*BF$7^2*COS(RADIANS(BG$7))^2)+$D$7</f>
        <v>2.51207138002842</v>
      </c>
      <c r="BF107" s="123" t="n">
        <f aca="false">MIN($V$5,BE107)</f>
        <v>2.51207138002842</v>
      </c>
      <c r="BG107" s="112"/>
      <c r="BH107" s="112" t="n">
        <f aca="false">BH106+BH$7/100</f>
        <v>1.98</v>
      </c>
      <c r="BI107" s="122" t="n">
        <f aca="false">BH107-IF($I$3="Forward", $D$9, $G$9)</f>
        <v>1.98</v>
      </c>
      <c r="BJ107" s="112" t="n">
        <f aca="false">BH107*TAN(RADIANS(BL$7))-(IF($B$4, 9.807, 32.174)*BH107^2)/(2*BK$7^2*COS(RADIANS(BL$7))^2)+$D$7</f>
        <v>2.51207138002842</v>
      </c>
      <c r="BK107" s="123" t="n">
        <f aca="false">MIN($V$5,BJ107)</f>
        <v>2.51207138002842</v>
      </c>
      <c r="BL107" s="112"/>
      <c r="BM107" s="112" t="n">
        <f aca="false">BM106+BM$7/100</f>
        <v>1.98</v>
      </c>
      <c r="BN107" s="122" t="n">
        <f aca="false">BM107+IF($I$3="Forward", $D$9, $G$9)</f>
        <v>1.98</v>
      </c>
      <c r="BO107" s="112" t="n">
        <f aca="false">BM107*TAN(RADIANS(BQ$7))-(IF($B$4, 9.807, 32.174)*BM107^2)/(2*BP$7^2*COS(RADIANS(BQ$7))^2)+$D$7</f>
        <v>2.51207138002842</v>
      </c>
      <c r="BP107" s="123" t="n">
        <f aca="false">MIN($V$5,BO107)</f>
        <v>2.51207138002842</v>
      </c>
      <c r="BQ107" s="112"/>
      <c r="BR107" s="112" t="n">
        <f aca="false">BR106+BR$7/100</f>
        <v>1.98</v>
      </c>
      <c r="BS107" s="112" t="n">
        <f aca="false">BR107</f>
        <v>1.98</v>
      </c>
      <c r="BT107" s="112" t="n">
        <f aca="false">BR107*TAN(RADIANS(BV$7))-(IF($B$4, 9.807, 32.174)*BR107^2)/(2*BU$7^2*COS(RADIANS(BV$7))^2)+$D$7</f>
        <v>2.51207138002842</v>
      </c>
      <c r="BU107" s="123" t="n">
        <f aca="false">MIN($V$5,BT107)</f>
        <v>2.51207138002842</v>
      </c>
      <c r="BV107" s="112"/>
      <c r="BW107" s="112" t="n">
        <f aca="false">BW106+BW$7/100</f>
        <v>1.98</v>
      </c>
      <c r="BX107" s="122" t="n">
        <f aca="false">BW107-IF($I$3="Forward", $D$9, $G$9)</f>
        <v>1.98</v>
      </c>
      <c r="BY107" s="112" t="n">
        <f aca="false">BW107*TAN(RADIANS(CA$7))-(IF($B$4, 9.807, 32.174)*BW107^2)/(2*BZ$7^2*COS(RADIANS(CA$7))^2)+$D$7</f>
        <v>2.51207138002842</v>
      </c>
      <c r="BZ107" s="123" t="n">
        <f aca="false">MIN($V$5,BY107)</f>
        <v>2.51207138002842</v>
      </c>
      <c r="CA107" s="112"/>
      <c r="CB107" s="112" t="n">
        <f aca="false">CB106+CB$7/100</f>
        <v>1.98</v>
      </c>
      <c r="CC107" s="122" t="n">
        <f aca="false">CB107+IF($I$3="Forward", $D$9, $G$9)</f>
        <v>1.98</v>
      </c>
      <c r="CD107" s="112" t="n">
        <f aca="false">CB107*TAN(RADIANS(CF$7))-(IF($B$4, 9.807, 32.174)*CB107^2)/(2*CE$7^2*COS(RADIANS(CF$7))^2)+$D$7</f>
        <v>2.51207138002842</v>
      </c>
      <c r="CE107" s="123" t="n">
        <f aca="false">MIN($V$5,CD107)</f>
        <v>2.51207138002842</v>
      </c>
      <c r="CF107" s="112"/>
      <c r="CG107" s="124" t="n">
        <f aca="false">CG106+CG$7/100</f>
        <v>1.98</v>
      </c>
      <c r="CH107" s="124" t="n">
        <f aca="false">CG107</f>
        <v>1.98</v>
      </c>
      <c r="CI107" s="124" t="n">
        <f aca="false">CG107*TAN(RADIANS(CK$7))-(IF($B$4, 9.807, 32.174)*CG107^2)/(2*CJ$7^2*COS(RADIANS(CK$7))^2)+$D$7</f>
        <v>2.51207138002842</v>
      </c>
      <c r="CJ107" s="123" t="n">
        <f aca="false">MIN($V$5,CI107)</f>
        <v>2.51207138002842</v>
      </c>
      <c r="CK107" s="124"/>
      <c r="CL107" s="112" t="n">
        <f aca="false">CL106+CL$7/100</f>
        <v>1.98</v>
      </c>
      <c r="CM107" s="122" t="n">
        <f aca="false">CL107-IF($I$3="Forward", $D$9, $G$9)</f>
        <v>1.98</v>
      </c>
      <c r="CN107" s="112" t="n">
        <f aca="false">CL107*TAN(RADIANS(CP$7))-(IF($B$4, 9.807, 32.174)*CL107^2)/(2*CO$7^2*COS(RADIANS(CP$7))^2)+$D$7</f>
        <v>2.51207138002842</v>
      </c>
      <c r="CO107" s="123" t="n">
        <f aca="false">MIN($V$5,CN107)</f>
        <v>2.51207138002842</v>
      </c>
      <c r="CP107" s="112"/>
      <c r="CQ107" s="112" t="n">
        <f aca="false">CQ106+CQ$7/100</f>
        <v>1.98</v>
      </c>
      <c r="CR107" s="122" t="n">
        <f aca="false">CQ107+IF($I$3="Forward", $D$9, $G$9)</f>
        <v>1.98</v>
      </c>
      <c r="CS107" s="112" t="n">
        <f aca="false">CQ107*TAN(RADIANS(CU$7))-(IF($B$4, 9.807, 32.174)*CQ107^2)/(2*CT$7^2*COS(RADIANS(CU$7))^2)+$D$7</f>
        <v>2.51207138002842</v>
      </c>
      <c r="CT107" s="123" t="n">
        <f aca="false">MIN($V$5,CS107)</f>
        <v>2.51207138002842</v>
      </c>
      <c r="CU107" s="112"/>
      <c r="CV107" s="112" t="n">
        <f aca="false">CV106+CV$7/100</f>
        <v>1.98</v>
      </c>
      <c r="CW107" s="112" t="n">
        <f aca="false">CV107</f>
        <v>1.98</v>
      </c>
      <c r="CX107" s="112" t="n">
        <f aca="false">CV107*TAN(RADIANS(CZ$7))-(IF($B$4, 9.807, 32.174)*CV107^2)/(2*CY$7^2*COS(RADIANS(CZ$7))^2)+$D$7</f>
        <v>2.51207138002842</v>
      </c>
      <c r="CY107" s="123" t="n">
        <f aca="false">MIN($V$5,CX107)</f>
        <v>2.51207138002842</v>
      </c>
      <c r="CZ107" s="112"/>
      <c r="DA107" s="112" t="n">
        <f aca="false">DA106+DA$7/100</f>
        <v>1.98</v>
      </c>
      <c r="DB107" s="122" t="n">
        <f aca="false">DA107-IF($I$3="Forward", $D$9, $G$9)</f>
        <v>1.98</v>
      </c>
      <c r="DC107" s="112" t="n">
        <f aca="false">DA107*TAN(RADIANS(DE$7))-(IF($B$4, 9.807, 32.174)*DA107^2)/(2*DD$7^2*COS(RADIANS(DE$7))^2)+$D$7</f>
        <v>2.51207138002842</v>
      </c>
      <c r="DD107" s="123" t="n">
        <f aca="false">MIN($V$5,DC107)</f>
        <v>2.51207138002842</v>
      </c>
      <c r="DE107" s="112"/>
      <c r="DF107" s="112" t="n">
        <f aca="false">DF106+DF$7/100</f>
        <v>1.98</v>
      </c>
      <c r="DG107" s="122" t="n">
        <f aca="false">DF107+IF($I$3="Forward", $D$9, $G$9)</f>
        <v>1.98</v>
      </c>
      <c r="DH107" s="112" t="n">
        <f aca="false">DF107*TAN(RADIANS(DJ$7))-(IF($B$4, 9.807, 32.174)*DF107^2)/(2*DI$7^2*COS(RADIANS(DJ$7))^2)+$D$7</f>
        <v>2.51207138002842</v>
      </c>
      <c r="DI107" s="123" t="n">
        <f aca="false">MIN($V$5,DH107)</f>
        <v>2.51207138002842</v>
      </c>
      <c r="DJ107" s="112"/>
      <c r="DK107" s="112" t="n">
        <f aca="false">DK106+DK$7/100</f>
        <v>1.98</v>
      </c>
      <c r="DL107" s="112" t="n">
        <f aca="false">DK107</f>
        <v>1.98</v>
      </c>
      <c r="DM107" s="112" t="n">
        <f aca="false">DK107*TAN(RADIANS(DO$7))-(IF($B$4, 9.807, 32.174)*DK107^2)/(2*DN$7^2*COS(RADIANS(DO$7))^2)+$D$7</f>
        <v>2.51207138002842</v>
      </c>
      <c r="DN107" s="123" t="n">
        <f aca="false">MIN($V$5,DM107)</f>
        <v>2.51207138002842</v>
      </c>
      <c r="DO107" s="112"/>
      <c r="DP107" s="112" t="n">
        <f aca="false">DP106+DP$7/100</f>
        <v>1.98</v>
      </c>
      <c r="DQ107" s="122" t="n">
        <f aca="false">DP107-IF($I$3="Forward", $D$9, $G$9)</f>
        <v>1.98</v>
      </c>
      <c r="DR107" s="112" t="n">
        <f aca="false">DP107*TAN(RADIANS(DT$7))-(IF($B$4, 9.807, 32.174)*DP107^2)/(2*DS$7^2*COS(RADIANS(DT$7))^2)+$D$7</f>
        <v>2.51207138002842</v>
      </c>
      <c r="DS107" s="123" t="n">
        <f aca="false">MIN($V$5,DR107)</f>
        <v>2.51207138002842</v>
      </c>
      <c r="DT107" s="112"/>
      <c r="DU107" s="112" t="n">
        <f aca="false">DU106+DU$7/100</f>
        <v>1.98</v>
      </c>
      <c r="DV107" s="122" t="n">
        <f aca="false">DU107+IF($I$3="Forward", $D$9, $G$9)</f>
        <v>1.98</v>
      </c>
      <c r="DW107" s="112" t="n">
        <f aca="false">DU107*TAN(RADIANS(DY$7))-(IF($B$4, 9.807, 32.174)*DU107^2)/(2*DX$7^2*COS(RADIANS(DY$7))^2)+$D$7</f>
        <v>2.51207138002842</v>
      </c>
      <c r="DX107" s="123" t="n">
        <f aca="false">MIN($V$5,DW107)</f>
        <v>2.51207138002842</v>
      </c>
      <c r="DY107" s="112"/>
      <c r="DZ107" s="112" t="n">
        <f aca="false">DZ106+DZ$7/100</f>
        <v>1.98</v>
      </c>
      <c r="EA107" s="112" t="n">
        <f aca="false">DZ107</f>
        <v>1.98</v>
      </c>
      <c r="EB107" s="112" t="n">
        <f aca="false">DZ107*TAN(RADIANS(ED$7))-(IF($B$4, 9.807, 32.174)*DZ107^2)/(2*EC$7^2*COS(RADIANS(ED$7))^2)+$D$7</f>
        <v>2.51207138002842</v>
      </c>
      <c r="EC107" s="123" t="n">
        <f aca="false">MIN($V$5,EB107)</f>
        <v>2.51207138002842</v>
      </c>
      <c r="ED107" s="112"/>
      <c r="EE107" s="112" t="n">
        <f aca="false">EE106+EE$7/100</f>
        <v>1.98</v>
      </c>
      <c r="EF107" s="122" t="n">
        <f aca="false">EE107-IF($I$3="Forward", $D$9, $G$9)</f>
        <v>1.98</v>
      </c>
      <c r="EG107" s="112" t="n">
        <f aca="false">EE107*TAN(RADIANS(EI$7))-(IF($B$4, 9.807, 32.174)*EE107^2)/(2*EH$7^2*COS(RADIANS(EI$7))^2)+$D$7</f>
        <v>2.51207138002842</v>
      </c>
      <c r="EH107" s="123" t="n">
        <f aca="false">MIN($V$5,EG107)</f>
        <v>2.51207138002842</v>
      </c>
      <c r="EI107" s="112"/>
      <c r="EJ107" s="112" t="n">
        <f aca="false">EJ106+EJ$7/100</f>
        <v>1.98</v>
      </c>
      <c r="EK107" s="122" t="n">
        <f aca="false">EJ107+IF($I$3="Forward", $D$9, $G$9)</f>
        <v>1.98</v>
      </c>
      <c r="EL107" s="112" t="n">
        <f aca="false">EJ107*TAN(RADIANS(EN$7))-(IF($B$4, 9.807, 32.174)*EJ107^2)/(2*EM$7^2*COS(RADIANS(EN$7))^2)+$D$7</f>
        <v>2.51207138002842</v>
      </c>
      <c r="EM107" s="123" t="n">
        <f aca="false">MIN($V$5,EL107)</f>
        <v>2.51207138002842</v>
      </c>
      <c r="EN107" s="112"/>
      <c r="EO107" s="112" t="n">
        <f aca="false">EO106+EO$7/100</f>
        <v>1.98</v>
      </c>
      <c r="EP107" s="112" t="n">
        <f aca="false">EO107</f>
        <v>1.98</v>
      </c>
      <c r="EQ107" s="112" t="n">
        <f aca="false">EO107*TAN(RADIANS(ES$7))-(IF($B$4, 9.807, 32.174)*EO107^2)/(2*ER$7^2*COS(RADIANS(ES$7))^2)+$D$7</f>
        <v>2.51207138002842</v>
      </c>
      <c r="ER107" s="123" t="n">
        <f aca="false">MIN($V$5,EQ107)</f>
        <v>2.51207138002842</v>
      </c>
      <c r="ES107" s="112"/>
      <c r="ET107" s="112" t="n">
        <f aca="false">ET106+ET$7/100</f>
        <v>1.98</v>
      </c>
      <c r="EU107" s="122" t="n">
        <f aca="false">ET107-IF($I$3="Forward", $D$9, $G$9)</f>
        <v>1.98</v>
      </c>
      <c r="EV107" s="112" t="n">
        <f aca="false">ET107*TAN(RADIANS(EX$7))-(IF($B$4, 9.807, 32.174)*ET107^2)/(2*EW$7^2*COS(RADIANS(EX$7))^2)+$D$7</f>
        <v>2.51207138002842</v>
      </c>
      <c r="EW107" s="123" t="n">
        <f aca="false">MIN($V$5,EV107)</f>
        <v>2.51207138002842</v>
      </c>
      <c r="EX107" s="112"/>
    </row>
    <row r="108" s="131" customFormat="true" ht="15" hidden="false" customHeight="false" outlineLevel="0" collapsed="false">
      <c r="T108" s="112" t="n">
        <f aca="false">T107+T$7/100</f>
        <v>2</v>
      </c>
      <c r="U108" s="122" t="n">
        <f aca="false">T108+IF($I$3="Forward", $D$9, $G$9)</f>
        <v>2</v>
      </c>
      <c r="V108" s="112" t="n">
        <f aca="false">T108*TAN(RADIANS(X$7))-(IF($B$4, 9.807, 32.174)*T108^2)/(2*W$7^2*COS(RADIANS(X$7))^2)+$D$7</f>
        <v>2.39999999999999</v>
      </c>
      <c r="W108" s="123" t="n">
        <f aca="false">MIN($V$5,V108)</f>
        <v>2.39999999999999</v>
      </c>
      <c r="X108" s="112"/>
      <c r="Y108" s="112" t="n">
        <f aca="false">Y107+Y$7/100</f>
        <v>2</v>
      </c>
      <c r="Z108" s="112" t="n">
        <f aca="false">Y108</f>
        <v>2</v>
      </c>
      <c r="AA108" s="112" t="n">
        <f aca="false">Y108*TAN(RADIANS(AC$7))-(IF($B$4, 9.807, 32.174)*Y108^2)/(2*AB$7^2*COS(RADIANS(AC$7))^2)+$D$7</f>
        <v>2.39999999999999</v>
      </c>
      <c r="AB108" s="123" t="n">
        <f aca="false">MIN($V$5,AA108)</f>
        <v>2.39999999999999</v>
      </c>
      <c r="AC108" s="112"/>
      <c r="AD108" s="112" t="n">
        <f aca="false">AD107+AD$7/100</f>
        <v>2</v>
      </c>
      <c r="AE108" s="122" t="n">
        <f aca="false">AD108-IF($I$3="Forward", $D$9, $G$9)</f>
        <v>2</v>
      </c>
      <c r="AF108" s="112" t="n">
        <f aca="false">AD108*TAN(RADIANS(AH$7))-(IF($B$4, 9.807, 32.174)*AD108^2)/(2*AG$7^2*COS(RADIANS(AH$7))^2)+$D$7</f>
        <v>2.39999999999999</v>
      </c>
      <c r="AG108" s="123" t="n">
        <f aca="false">MIN($V$5,AF108)</f>
        <v>2.39999999999999</v>
      </c>
      <c r="AH108" s="112"/>
      <c r="AI108" s="112" t="n">
        <f aca="false">AI107+AI$7/100</f>
        <v>2</v>
      </c>
      <c r="AJ108" s="122" t="n">
        <f aca="false">AI108+IF($I$3="Forward", $D$9, $G$9)</f>
        <v>2</v>
      </c>
      <c r="AK108" s="112" t="n">
        <f aca="false">AI108*TAN(RADIANS(AM$7))-(IF($B$4, 9.807, 32.174)*AI108^2)/(2*AL$7^2*COS(RADIANS(AM$7))^2)+$D$7</f>
        <v>2.39999999999999</v>
      </c>
      <c r="AL108" s="123" t="n">
        <f aca="false">MIN($V$5,AK108)</f>
        <v>2.39999999999999</v>
      </c>
      <c r="AM108" s="112"/>
      <c r="AN108" s="112" t="n">
        <f aca="false">AN107+AN$7/100</f>
        <v>2</v>
      </c>
      <c r="AO108" s="112" t="n">
        <f aca="false">AN108</f>
        <v>2</v>
      </c>
      <c r="AP108" s="112" t="n">
        <f aca="false">AN108*TAN(RADIANS(AR$7))-(IF($B$4, 9.807, 32.174)*AN108^2)/(2*AQ$7^2*COS(RADIANS(AR$7))^2)+$D$7</f>
        <v>2.39999999999999</v>
      </c>
      <c r="AQ108" s="123" t="n">
        <f aca="false">MIN($V$5,AP108)</f>
        <v>2.39999999999999</v>
      </c>
      <c r="AR108" s="112"/>
      <c r="AS108" s="112" t="n">
        <f aca="false">AS107+AS$7/100</f>
        <v>2</v>
      </c>
      <c r="AT108" s="122" t="n">
        <f aca="false">AS108-IF($I$3="Forward", $D$9, $G$9)</f>
        <v>2</v>
      </c>
      <c r="AU108" s="112" t="n">
        <f aca="false">AS108*TAN(RADIANS(AW$7))-(IF($B$4, 9.807, 32.174)*AS108^2)/(2*AV$7^2*COS(RADIANS(AW$7))^2)+$D$7</f>
        <v>2.39999999999999</v>
      </c>
      <c r="AV108" s="123" t="n">
        <f aca="false">MIN($V$5,AU108)</f>
        <v>2.39999999999999</v>
      </c>
      <c r="AW108" s="112"/>
      <c r="AX108" s="112" t="n">
        <f aca="false">AX107+AX$7/100</f>
        <v>2</v>
      </c>
      <c r="AY108" s="122" t="n">
        <f aca="false">AX108+IF($I$3="Forward", $D$9, $G$9)</f>
        <v>2</v>
      </c>
      <c r="AZ108" s="112" t="n">
        <f aca="false">AX108*TAN(RADIANS(BB$7))-(IF($B$4, 9.807, 32.174)*AX108^2)/(2*BA$7^2*COS(RADIANS(BB$7))^2)+$D$7</f>
        <v>2.39999999999999</v>
      </c>
      <c r="BA108" s="123" t="n">
        <f aca="false">MIN($V$5,AZ108)</f>
        <v>2.39999999999999</v>
      </c>
      <c r="BB108" s="112"/>
      <c r="BC108" s="112" t="n">
        <f aca="false">BC107+BC$7/100</f>
        <v>2</v>
      </c>
      <c r="BD108" s="112" t="n">
        <f aca="false">BC108</f>
        <v>2</v>
      </c>
      <c r="BE108" s="112" t="n">
        <f aca="false">BC108*TAN(RADIANS(BG$7))-(IF($B$4, 9.807, 32.174)*BC108^2)/(2*BF$7^2*COS(RADIANS(BG$7))^2)+$D$7</f>
        <v>2.39999999999999</v>
      </c>
      <c r="BF108" s="123" t="n">
        <f aca="false">MIN($V$5,BE108)</f>
        <v>2.39999999999999</v>
      </c>
      <c r="BG108" s="112"/>
      <c r="BH108" s="112" t="n">
        <f aca="false">BH107+BH$7/100</f>
        <v>2</v>
      </c>
      <c r="BI108" s="122" t="n">
        <f aca="false">BH108-IF($I$3="Forward", $D$9, $G$9)</f>
        <v>2</v>
      </c>
      <c r="BJ108" s="112" t="n">
        <f aca="false">BH108*TAN(RADIANS(BL$7))-(IF($B$4, 9.807, 32.174)*BH108^2)/(2*BK$7^2*COS(RADIANS(BL$7))^2)+$D$7</f>
        <v>2.39999999999999</v>
      </c>
      <c r="BK108" s="123" t="n">
        <f aca="false">MIN($V$5,BJ108)</f>
        <v>2.39999999999999</v>
      </c>
      <c r="BL108" s="112"/>
      <c r="BM108" s="112" t="n">
        <f aca="false">BM107+BM$7/100</f>
        <v>2</v>
      </c>
      <c r="BN108" s="122" t="n">
        <f aca="false">BM108+IF($I$3="Forward", $D$9, $G$9)</f>
        <v>2</v>
      </c>
      <c r="BO108" s="112" t="n">
        <f aca="false">BM108*TAN(RADIANS(BQ$7))-(IF($B$4, 9.807, 32.174)*BM108^2)/(2*BP$7^2*COS(RADIANS(BQ$7))^2)+$D$7</f>
        <v>2.39999999999999</v>
      </c>
      <c r="BP108" s="123" t="n">
        <f aca="false">MIN($V$5,BO108)</f>
        <v>2.39999999999999</v>
      </c>
      <c r="BQ108" s="112"/>
      <c r="BR108" s="112" t="n">
        <f aca="false">BR107+BR$7/100</f>
        <v>2</v>
      </c>
      <c r="BS108" s="112" t="n">
        <f aca="false">BR108</f>
        <v>2</v>
      </c>
      <c r="BT108" s="112" t="n">
        <f aca="false">BR108*TAN(RADIANS(BV$7))-(IF($B$4, 9.807, 32.174)*BR108^2)/(2*BU$7^2*COS(RADIANS(BV$7))^2)+$D$7</f>
        <v>2.39999999999999</v>
      </c>
      <c r="BU108" s="123" t="n">
        <f aca="false">MIN($V$5,BT108)</f>
        <v>2.39999999999999</v>
      </c>
      <c r="BV108" s="112"/>
      <c r="BW108" s="112" t="n">
        <f aca="false">BW107+BW$7/100</f>
        <v>2</v>
      </c>
      <c r="BX108" s="122" t="n">
        <f aca="false">BW108-IF($I$3="Forward", $D$9, $G$9)</f>
        <v>2</v>
      </c>
      <c r="BY108" s="112" t="n">
        <f aca="false">BW108*TAN(RADIANS(CA$7))-(IF($B$4, 9.807, 32.174)*BW108^2)/(2*BZ$7^2*COS(RADIANS(CA$7))^2)+$D$7</f>
        <v>2.39999999999999</v>
      </c>
      <c r="BZ108" s="123" t="n">
        <f aca="false">MIN($V$5,BY108)</f>
        <v>2.39999999999999</v>
      </c>
      <c r="CA108" s="112"/>
      <c r="CB108" s="112" t="n">
        <f aca="false">CB107+CB$7/100</f>
        <v>2</v>
      </c>
      <c r="CC108" s="122" t="n">
        <f aca="false">CB108+IF($I$3="Forward", $D$9, $G$9)</f>
        <v>2</v>
      </c>
      <c r="CD108" s="112" t="n">
        <f aca="false">CB108*TAN(RADIANS(CF$7))-(IF($B$4, 9.807, 32.174)*CB108^2)/(2*CE$7^2*COS(RADIANS(CF$7))^2)+$D$7</f>
        <v>2.39999999999999</v>
      </c>
      <c r="CE108" s="123" t="n">
        <f aca="false">MIN($V$5,CD108)</f>
        <v>2.39999999999999</v>
      </c>
      <c r="CF108" s="112"/>
      <c r="CG108" s="124" t="n">
        <f aca="false">CG107+CG$7/100</f>
        <v>2</v>
      </c>
      <c r="CH108" s="124" t="n">
        <f aca="false">CG108</f>
        <v>2</v>
      </c>
      <c r="CI108" s="124" t="n">
        <f aca="false">CG108*TAN(RADIANS(CK$7))-(IF($B$4, 9.807, 32.174)*CG108^2)/(2*CJ$7^2*COS(RADIANS(CK$7))^2)+$D$7</f>
        <v>2.39999999999999</v>
      </c>
      <c r="CJ108" s="123" t="n">
        <f aca="false">MIN($V$5,CI108)</f>
        <v>2.39999999999999</v>
      </c>
      <c r="CK108" s="124"/>
      <c r="CL108" s="112" t="n">
        <f aca="false">CL107+CL$7/100</f>
        <v>2</v>
      </c>
      <c r="CM108" s="122" t="n">
        <f aca="false">CL108-IF($I$3="Forward", $D$9, $G$9)</f>
        <v>2</v>
      </c>
      <c r="CN108" s="112" t="n">
        <f aca="false">CL108*TAN(RADIANS(CP$7))-(IF($B$4, 9.807, 32.174)*CL108^2)/(2*CO$7^2*COS(RADIANS(CP$7))^2)+$D$7</f>
        <v>2.39999999999999</v>
      </c>
      <c r="CO108" s="123" t="n">
        <f aca="false">MIN($V$5,CN108)</f>
        <v>2.39999999999999</v>
      </c>
      <c r="CP108" s="112"/>
      <c r="CQ108" s="112" t="n">
        <f aca="false">CQ107+CQ$7/100</f>
        <v>2</v>
      </c>
      <c r="CR108" s="122" t="n">
        <f aca="false">CQ108+IF($I$3="Forward", $D$9, $G$9)</f>
        <v>2</v>
      </c>
      <c r="CS108" s="112" t="n">
        <f aca="false">CQ108*TAN(RADIANS(CU$7))-(IF($B$4, 9.807, 32.174)*CQ108^2)/(2*CT$7^2*COS(RADIANS(CU$7))^2)+$D$7</f>
        <v>2.39999999999999</v>
      </c>
      <c r="CT108" s="123" t="n">
        <f aca="false">MIN($V$5,CS108)</f>
        <v>2.39999999999999</v>
      </c>
      <c r="CU108" s="112"/>
      <c r="CV108" s="112" t="n">
        <f aca="false">CV107+CV$7/100</f>
        <v>2</v>
      </c>
      <c r="CW108" s="112" t="n">
        <f aca="false">CV108</f>
        <v>2</v>
      </c>
      <c r="CX108" s="112" t="n">
        <f aca="false">CV108*TAN(RADIANS(CZ$7))-(IF($B$4, 9.807, 32.174)*CV108^2)/(2*CY$7^2*COS(RADIANS(CZ$7))^2)+$D$7</f>
        <v>2.39999999999999</v>
      </c>
      <c r="CY108" s="123" t="n">
        <f aca="false">MIN($V$5,CX108)</f>
        <v>2.39999999999999</v>
      </c>
      <c r="CZ108" s="112"/>
      <c r="DA108" s="112" t="n">
        <f aca="false">DA107+DA$7/100</f>
        <v>2</v>
      </c>
      <c r="DB108" s="122" t="n">
        <f aca="false">DA108-IF($I$3="Forward", $D$9, $G$9)</f>
        <v>2</v>
      </c>
      <c r="DC108" s="112" t="n">
        <f aca="false">DA108*TAN(RADIANS(DE$7))-(IF($B$4, 9.807, 32.174)*DA108^2)/(2*DD$7^2*COS(RADIANS(DE$7))^2)+$D$7</f>
        <v>2.39999999999999</v>
      </c>
      <c r="DD108" s="123" t="n">
        <f aca="false">MIN($V$5,DC108)</f>
        <v>2.39999999999999</v>
      </c>
      <c r="DE108" s="112"/>
      <c r="DF108" s="112" t="n">
        <f aca="false">DF107+DF$7/100</f>
        <v>2</v>
      </c>
      <c r="DG108" s="122" t="n">
        <f aca="false">DF108+IF($I$3="Forward", $D$9, $G$9)</f>
        <v>2</v>
      </c>
      <c r="DH108" s="112" t="n">
        <f aca="false">DF108*TAN(RADIANS(DJ$7))-(IF($B$4, 9.807, 32.174)*DF108^2)/(2*DI$7^2*COS(RADIANS(DJ$7))^2)+$D$7</f>
        <v>2.39999999999999</v>
      </c>
      <c r="DI108" s="123" t="n">
        <f aca="false">MIN($V$5,DH108)</f>
        <v>2.39999999999999</v>
      </c>
      <c r="DJ108" s="112"/>
      <c r="DK108" s="112" t="n">
        <f aca="false">DK107+DK$7/100</f>
        <v>2</v>
      </c>
      <c r="DL108" s="112" t="n">
        <f aca="false">DK108</f>
        <v>2</v>
      </c>
      <c r="DM108" s="112" t="n">
        <f aca="false">DK108*TAN(RADIANS(DO$7))-(IF($B$4, 9.807, 32.174)*DK108^2)/(2*DN$7^2*COS(RADIANS(DO$7))^2)+$D$7</f>
        <v>2.39999999999999</v>
      </c>
      <c r="DN108" s="123" t="n">
        <f aca="false">MIN($V$5,DM108)</f>
        <v>2.39999999999999</v>
      </c>
      <c r="DO108" s="112"/>
      <c r="DP108" s="112" t="n">
        <f aca="false">DP107+DP$7/100</f>
        <v>2</v>
      </c>
      <c r="DQ108" s="122" t="n">
        <f aca="false">DP108-IF($I$3="Forward", $D$9, $G$9)</f>
        <v>2</v>
      </c>
      <c r="DR108" s="112" t="n">
        <f aca="false">DP108*TAN(RADIANS(DT$7))-(IF($B$4, 9.807, 32.174)*DP108^2)/(2*DS$7^2*COS(RADIANS(DT$7))^2)+$D$7</f>
        <v>2.39999999999999</v>
      </c>
      <c r="DS108" s="123" t="n">
        <f aca="false">MIN($V$5,DR108)</f>
        <v>2.39999999999999</v>
      </c>
      <c r="DT108" s="112"/>
      <c r="DU108" s="112" t="n">
        <f aca="false">DU107+DU$7/100</f>
        <v>2</v>
      </c>
      <c r="DV108" s="122" t="n">
        <f aca="false">DU108+IF($I$3="Forward", $D$9, $G$9)</f>
        <v>2</v>
      </c>
      <c r="DW108" s="112" t="n">
        <f aca="false">DU108*TAN(RADIANS(DY$7))-(IF($B$4, 9.807, 32.174)*DU108^2)/(2*DX$7^2*COS(RADIANS(DY$7))^2)+$D$7</f>
        <v>2.39999999999999</v>
      </c>
      <c r="DX108" s="123" t="n">
        <f aca="false">MIN($V$5,DW108)</f>
        <v>2.39999999999999</v>
      </c>
      <c r="DY108" s="112"/>
      <c r="DZ108" s="112" t="n">
        <f aca="false">DZ107+DZ$7/100</f>
        <v>2</v>
      </c>
      <c r="EA108" s="112" t="n">
        <f aca="false">DZ108</f>
        <v>2</v>
      </c>
      <c r="EB108" s="112" t="n">
        <f aca="false">DZ108*TAN(RADIANS(ED$7))-(IF($B$4, 9.807, 32.174)*DZ108^2)/(2*EC$7^2*COS(RADIANS(ED$7))^2)+$D$7</f>
        <v>2.39999999999999</v>
      </c>
      <c r="EC108" s="123" t="n">
        <f aca="false">MIN($V$5,EB108)</f>
        <v>2.39999999999999</v>
      </c>
      <c r="ED108" s="112"/>
      <c r="EE108" s="112" t="n">
        <f aca="false">EE107+EE$7/100</f>
        <v>2</v>
      </c>
      <c r="EF108" s="122" t="n">
        <f aca="false">EE108-IF($I$3="Forward", $D$9, $G$9)</f>
        <v>2</v>
      </c>
      <c r="EG108" s="112" t="n">
        <f aca="false">EE108*TAN(RADIANS(EI$7))-(IF($B$4, 9.807, 32.174)*EE108^2)/(2*EH$7^2*COS(RADIANS(EI$7))^2)+$D$7</f>
        <v>2.39999999999999</v>
      </c>
      <c r="EH108" s="123" t="n">
        <f aca="false">MIN($V$5,EG108)</f>
        <v>2.39999999999999</v>
      </c>
      <c r="EI108" s="112"/>
      <c r="EJ108" s="112" t="n">
        <f aca="false">EJ107+EJ$7/100</f>
        <v>2</v>
      </c>
      <c r="EK108" s="122" t="n">
        <f aca="false">EJ108+IF($I$3="Forward", $D$9, $G$9)</f>
        <v>2</v>
      </c>
      <c r="EL108" s="112" t="n">
        <f aca="false">EJ108*TAN(RADIANS(EN$7))-(IF($B$4, 9.807, 32.174)*EJ108^2)/(2*EM$7^2*COS(RADIANS(EN$7))^2)+$D$7</f>
        <v>2.39999999999999</v>
      </c>
      <c r="EM108" s="123" t="n">
        <f aca="false">MIN($V$5,EL108)</f>
        <v>2.39999999999999</v>
      </c>
      <c r="EN108" s="112"/>
      <c r="EO108" s="112" t="n">
        <f aca="false">EO107+EO$7/100</f>
        <v>2</v>
      </c>
      <c r="EP108" s="112" t="n">
        <f aca="false">EO108</f>
        <v>2</v>
      </c>
      <c r="EQ108" s="112" t="n">
        <f aca="false">EO108*TAN(RADIANS(ES$7))-(IF($B$4, 9.807, 32.174)*EO108^2)/(2*ER$7^2*COS(RADIANS(ES$7))^2)+$D$7</f>
        <v>2.39999999999999</v>
      </c>
      <c r="ER108" s="123" t="n">
        <f aca="false">MIN($V$5,EQ108)</f>
        <v>2.39999999999999</v>
      </c>
      <c r="ES108" s="112"/>
      <c r="ET108" s="112" t="n">
        <f aca="false">ET107+ET$7/100</f>
        <v>2</v>
      </c>
      <c r="EU108" s="122" t="n">
        <f aca="false">ET108-IF($I$3="Forward", $D$9, $G$9)</f>
        <v>2</v>
      </c>
      <c r="EV108" s="112" t="n">
        <f aca="false">ET108*TAN(RADIANS(EX$7))-(IF($B$4, 9.807, 32.174)*ET108^2)/(2*EW$7^2*COS(RADIANS(EX$7))^2)+$D$7</f>
        <v>2.39999999999999</v>
      </c>
      <c r="EW108" s="123" t="n">
        <f aca="false">MIN($V$5,EV108)</f>
        <v>2.39999999999999</v>
      </c>
      <c r="EX108" s="112"/>
    </row>
    <row r="110" customFormat="false" ht="15" hidden="false" customHeight="false" outlineLevel="0" collapsed="false">
      <c r="T110" s="114" t="n">
        <f aca="false">$D$8-$D$9</f>
        <v>10</v>
      </c>
      <c r="U110" s="114" t="n">
        <f aca="false">$D$8</f>
        <v>10</v>
      </c>
      <c r="V110" s="114" t="n">
        <f aca="false">$D$8+$D$9</f>
        <v>10</v>
      </c>
      <c r="W110" s="114" t="n">
        <f aca="false">$D$8-$D$9</f>
        <v>10</v>
      </c>
      <c r="X110" s="114" t="n">
        <f aca="false">$D$8</f>
        <v>10</v>
      </c>
      <c r="Y110" s="114" t="n">
        <f aca="false">$D$8+$D$9</f>
        <v>10</v>
      </c>
      <c r="Z110" s="114" t="n">
        <f aca="false">$D$8-$D$9</f>
        <v>10</v>
      </c>
      <c r="AA110" s="114" t="n">
        <f aca="false">$D$8</f>
        <v>10</v>
      </c>
      <c r="AB110" s="114" t="n">
        <f aca="false">$D$8+$D$9</f>
        <v>10</v>
      </c>
      <c r="AC110" s="114" t="n">
        <f aca="false">$D$8-$D$9</f>
        <v>10</v>
      </c>
      <c r="AD110" s="114" t="n">
        <f aca="false">$D$8</f>
        <v>10</v>
      </c>
      <c r="AE110" s="114" t="n">
        <f aca="false">$D$8+$D$9</f>
        <v>10</v>
      </c>
      <c r="AF110" s="114" t="n">
        <f aca="false">$D$8-$D$9</f>
        <v>10</v>
      </c>
      <c r="AG110" s="114" t="n">
        <f aca="false">$D$8</f>
        <v>10</v>
      </c>
      <c r="AH110" s="114" t="n">
        <f aca="false">$D$8+$D$9</f>
        <v>10</v>
      </c>
      <c r="AI110" s="114" t="n">
        <f aca="false">$D$8-$D$9</f>
        <v>10</v>
      </c>
      <c r="AJ110" s="114" t="n">
        <f aca="false">$D$8</f>
        <v>10</v>
      </c>
      <c r="AK110" s="114" t="n">
        <f aca="false">$D$8+$D$9</f>
        <v>10</v>
      </c>
      <c r="AL110" s="114" t="n">
        <f aca="false">$D$8-$D$9</f>
        <v>10</v>
      </c>
      <c r="AM110" s="114" t="n">
        <f aca="false">$D$8</f>
        <v>10</v>
      </c>
      <c r="AN110" s="114" t="n">
        <f aca="false">$D$8+$D$9</f>
        <v>10</v>
      </c>
      <c r="AO110" s="114" t="n">
        <f aca="false">$D$8-$D$9</f>
        <v>10</v>
      </c>
      <c r="AP110" s="114" t="n">
        <f aca="false">$D$8</f>
        <v>10</v>
      </c>
      <c r="AQ110" s="114" t="n">
        <f aca="false">$D$8+$D$9</f>
        <v>10</v>
      </c>
      <c r="AR110" s="114" t="n">
        <f aca="false">$D$8-$D$9</f>
        <v>10</v>
      </c>
      <c r="AS110" s="114" t="n">
        <f aca="false">$D$8</f>
        <v>10</v>
      </c>
      <c r="AT110" s="114" t="n">
        <f aca="false">$D$8+$D$9</f>
        <v>10</v>
      </c>
    </row>
    <row r="111" s="131" customFormat="true" ht="15" hidden="false" customHeight="false" outlineLevel="0" collapsed="false">
      <c r="T111" s="114" t="n">
        <f aca="false">$D$10*(1-$D$11)</f>
        <v>20</v>
      </c>
      <c r="U111" s="114" t="n">
        <f aca="false">$D$10*(1-$D$11)</f>
        <v>20</v>
      </c>
      <c r="V111" s="114" t="n">
        <f aca="false">$D$10*(1-$D$11)</f>
        <v>20</v>
      </c>
      <c r="W111" s="114" t="n">
        <f aca="false">$D$10</f>
        <v>20</v>
      </c>
      <c r="X111" s="114" t="n">
        <f aca="false">$D$10</f>
        <v>20</v>
      </c>
      <c r="Y111" s="114" t="n">
        <f aca="false">$D$10</f>
        <v>20</v>
      </c>
      <c r="Z111" s="114" t="n">
        <f aca="false">$D$10*(1+$D$11)</f>
        <v>20</v>
      </c>
      <c r="AA111" s="114" t="n">
        <f aca="false">$D$10*(1+$D$11)</f>
        <v>20</v>
      </c>
      <c r="AB111" s="114" t="n">
        <f aca="false">$D$10*(1+$D$11)</f>
        <v>20</v>
      </c>
      <c r="AC111" s="114" t="n">
        <f aca="false">$D$10*(1-$D$11)</f>
        <v>20</v>
      </c>
      <c r="AD111" s="114" t="n">
        <f aca="false">$D$10*(1-$D$11)</f>
        <v>20</v>
      </c>
      <c r="AE111" s="114" t="n">
        <f aca="false">$D$10*(1-$D$11)</f>
        <v>20</v>
      </c>
      <c r="AF111" s="114" t="n">
        <f aca="false">$D$10</f>
        <v>20</v>
      </c>
      <c r="AG111" s="114" t="n">
        <f aca="false">$D$10</f>
        <v>20</v>
      </c>
      <c r="AH111" s="114" t="n">
        <f aca="false">$D$10</f>
        <v>20</v>
      </c>
      <c r="AI111" s="114" t="n">
        <f aca="false">$D$10*(1+$D$11)</f>
        <v>20</v>
      </c>
      <c r="AJ111" s="114" t="n">
        <f aca="false">$D$10*(1+$D$11)</f>
        <v>20</v>
      </c>
      <c r="AK111" s="114" t="n">
        <f aca="false">$D$10*(1+$D$11)</f>
        <v>20</v>
      </c>
      <c r="AL111" s="114" t="n">
        <f aca="false">$D$10*(1-$D$11)</f>
        <v>20</v>
      </c>
      <c r="AM111" s="114" t="n">
        <f aca="false">$D$10*(1-$D$11)</f>
        <v>20</v>
      </c>
      <c r="AN111" s="114" t="n">
        <f aca="false">$D$10*(1-$D$11)</f>
        <v>20</v>
      </c>
      <c r="AO111" s="114" t="n">
        <f aca="false">$D$10</f>
        <v>20</v>
      </c>
      <c r="AP111" s="114" t="n">
        <f aca="false">$D$10</f>
        <v>20</v>
      </c>
      <c r="AQ111" s="114" t="n">
        <f aca="false">$D$10</f>
        <v>20</v>
      </c>
      <c r="AR111" s="114" t="n">
        <f aca="false">$D$10*(1+$D$11)</f>
        <v>20</v>
      </c>
      <c r="AS111" s="114" t="n">
        <f aca="false">$D$10*(1+$D$11)</f>
        <v>20</v>
      </c>
      <c r="AT111" s="114" t="n">
        <f aca="false">$D$10*(1+$D$11)</f>
        <v>20</v>
      </c>
      <c r="AU111" s="112"/>
      <c r="AV111" s="112"/>
      <c r="AW111" s="112"/>
      <c r="AX111" s="112"/>
      <c r="AY111" s="112"/>
      <c r="AZ111" s="112"/>
      <c r="BA111" s="112"/>
      <c r="BB111" s="112"/>
      <c r="BC111" s="112"/>
      <c r="BD111" s="112"/>
      <c r="BE111" s="112"/>
      <c r="BF111" s="112"/>
      <c r="BG111" s="112"/>
      <c r="BH111" s="112"/>
      <c r="BI111" s="112"/>
      <c r="BJ111" s="112"/>
      <c r="BK111" s="112"/>
      <c r="BL111" s="112"/>
      <c r="BM111" s="112"/>
      <c r="BN111" s="112"/>
      <c r="BO111" s="112"/>
      <c r="BP111" s="112"/>
      <c r="BQ111" s="112"/>
      <c r="BR111" s="112"/>
      <c r="BS111" s="112"/>
      <c r="BT111" s="112"/>
      <c r="BU111" s="112"/>
      <c r="BV111" s="112"/>
      <c r="BW111" s="112"/>
      <c r="BX111" s="112"/>
      <c r="BY111" s="112"/>
      <c r="BZ111" s="112"/>
      <c r="CA111" s="112"/>
      <c r="CB111" s="112"/>
      <c r="CC111" s="112"/>
      <c r="CD111" s="112"/>
      <c r="CE111" s="112"/>
      <c r="CF111" s="112"/>
      <c r="CG111" s="112"/>
      <c r="CH111" s="112"/>
      <c r="CI111" s="112"/>
      <c r="CJ111" s="112"/>
      <c r="CK111" s="112"/>
      <c r="CL111" s="112"/>
      <c r="CM111" s="112"/>
      <c r="CN111" s="112"/>
      <c r="CO111" s="112"/>
      <c r="CP111" s="112"/>
      <c r="CQ111" s="112"/>
      <c r="CR111" s="112"/>
      <c r="CS111" s="112"/>
      <c r="CT111" s="112"/>
      <c r="CU111" s="112"/>
      <c r="CV111" s="112"/>
      <c r="CW111" s="112"/>
      <c r="CX111" s="112"/>
      <c r="CY111" s="112"/>
      <c r="CZ111" s="112"/>
      <c r="DA111" s="112"/>
      <c r="DB111" s="112"/>
      <c r="DC111" s="112"/>
      <c r="DD111" s="112"/>
      <c r="DE111" s="112"/>
      <c r="DF111" s="112"/>
      <c r="DG111" s="112"/>
      <c r="DH111" s="112"/>
      <c r="DI111" s="112"/>
      <c r="DJ111" s="112"/>
      <c r="DK111" s="112"/>
      <c r="DL111" s="112"/>
      <c r="DM111" s="112"/>
      <c r="DN111" s="112"/>
      <c r="DO111" s="112"/>
      <c r="DP111" s="112"/>
      <c r="DQ111" s="112"/>
      <c r="DR111" s="112"/>
      <c r="DS111" s="112"/>
      <c r="DT111" s="112"/>
      <c r="DU111" s="112"/>
      <c r="DV111" s="112"/>
      <c r="DW111" s="112"/>
      <c r="DX111" s="112"/>
      <c r="DY111" s="112"/>
      <c r="DZ111" s="112"/>
      <c r="EA111" s="112"/>
      <c r="EB111" s="112"/>
      <c r="EC111" s="112"/>
      <c r="ED111" s="112"/>
      <c r="EE111" s="112"/>
      <c r="EF111" s="112"/>
      <c r="EG111" s="112"/>
      <c r="EH111" s="112"/>
      <c r="EI111" s="112"/>
      <c r="EJ111" s="112"/>
      <c r="EK111" s="112"/>
      <c r="EL111" s="112"/>
      <c r="EM111" s="112"/>
      <c r="EN111" s="112"/>
      <c r="EO111" s="112"/>
      <c r="EP111" s="112"/>
      <c r="EQ111" s="112"/>
      <c r="ER111" s="112"/>
      <c r="ES111" s="112"/>
      <c r="ET111" s="112"/>
      <c r="EU111" s="112"/>
      <c r="EV111" s="112"/>
      <c r="EW111" s="112"/>
      <c r="EX111" s="112"/>
    </row>
    <row r="112" s="131" customFormat="true" ht="15" hidden="false" customHeight="false" outlineLevel="0" collapsed="false">
      <c r="T112" s="115" t="n">
        <f aca="false">$D$12-$D$13</f>
        <v>80</v>
      </c>
      <c r="U112" s="115" t="n">
        <f aca="false">$D$12-$D$13</f>
        <v>80</v>
      </c>
      <c r="V112" s="115" t="n">
        <f aca="false">$D$12-$D$13</f>
        <v>80</v>
      </c>
      <c r="W112" s="115" t="n">
        <f aca="false">$D$12-$D$13</f>
        <v>80</v>
      </c>
      <c r="X112" s="115" t="n">
        <f aca="false">$D$12-$D$13</f>
        <v>80</v>
      </c>
      <c r="Y112" s="115" t="n">
        <f aca="false">$D$12-$D$13</f>
        <v>80</v>
      </c>
      <c r="Z112" s="115" t="n">
        <f aca="false">$D$12-$D$13</f>
        <v>80</v>
      </c>
      <c r="AA112" s="115" t="n">
        <f aca="false">$D$12-$D$13</f>
        <v>80</v>
      </c>
      <c r="AB112" s="115" t="n">
        <f aca="false">$D$12-$D$13</f>
        <v>80</v>
      </c>
      <c r="AC112" s="115" t="n">
        <f aca="false">$D$12</f>
        <v>80</v>
      </c>
      <c r="AD112" s="115" t="n">
        <f aca="false">$D$12</f>
        <v>80</v>
      </c>
      <c r="AE112" s="115" t="n">
        <f aca="false">$D$12</f>
        <v>80</v>
      </c>
      <c r="AF112" s="115" t="n">
        <f aca="false">$D$12</f>
        <v>80</v>
      </c>
      <c r="AG112" s="115" t="n">
        <f aca="false">$D$12</f>
        <v>80</v>
      </c>
      <c r="AH112" s="115" t="n">
        <f aca="false">$D$12</f>
        <v>80</v>
      </c>
      <c r="AI112" s="115" t="n">
        <f aca="false">$D$12</f>
        <v>80</v>
      </c>
      <c r="AJ112" s="115" t="n">
        <f aca="false">$D$12</f>
        <v>80</v>
      </c>
      <c r="AK112" s="115" t="n">
        <f aca="false">$D$12</f>
        <v>80</v>
      </c>
      <c r="AL112" s="115" t="n">
        <f aca="false">$D$12+$D$13</f>
        <v>80</v>
      </c>
      <c r="AM112" s="115" t="n">
        <f aca="false">$D$12+$D$13</f>
        <v>80</v>
      </c>
      <c r="AN112" s="115" t="n">
        <f aca="false">$D$12+$D$13</f>
        <v>80</v>
      </c>
      <c r="AO112" s="115" t="n">
        <f aca="false">$D$12+$D$13</f>
        <v>80</v>
      </c>
      <c r="AP112" s="115" t="n">
        <f aca="false">$D$12+$D$13</f>
        <v>80</v>
      </c>
      <c r="AQ112" s="115" t="n">
        <f aca="false">$D$12+$D$13</f>
        <v>80</v>
      </c>
      <c r="AR112" s="115" t="n">
        <f aca="false">$D$12+$D$13</f>
        <v>80</v>
      </c>
      <c r="AS112" s="115" t="n">
        <f aca="false">$D$12+$D$13</f>
        <v>80</v>
      </c>
      <c r="AT112" s="115" t="n">
        <f aca="false">$D$12+$D$13</f>
        <v>80</v>
      </c>
      <c r="AU112" s="112"/>
      <c r="AV112" s="112"/>
      <c r="AW112" s="112"/>
      <c r="AX112" s="112"/>
      <c r="AY112" s="112"/>
      <c r="AZ112" s="112"/>
      <c r="BA112" s="112"/>
      <c r="BB112" s="112"/>
      <c r="BC112" s="112"/>
      <c r="BD112" s="112"/>
      <c r="BE112" s="112"/>
      <c r="BF112" s="112"/>
      <c r="BG112" s="112"/>
      <c r="BH112" s="112"/>
      <c r="BI112" s="112"/>
      <c r="BJ112" s="112"/>
      <c r="BK112" s="112"/>
      <c r="BL112" s="112"/>
      <c r="BM112" s="112"/>
      <c r="BN112" s="112"/>
      <c r="BO112" s="112"/>
      <c r="BP112" s="112"/>
      <c r="BQ112" s="112"/>
      <c r="BR112" s="112"/>
      <c r="BS112" s="112"/>
      <c r="BT112" s="112"/>
      <c r="BU112" s="112"/>
      <c r="BV112" s="112"/>
      <c r="BW112" s="112"/>
      <c r="BX112" s="112"/>
      <c r="BY112" s="112"/>
      <c r="BZ112" s="112"/>
      <c r="CA112" s="112"/>
      <c r="CB112" s="112"/>
      <c r="CC112" s="112"/>
      <c r="CD112" s="112"/>
      <c r="CE112" s="112"/>
      <c r="CF112" s="112"/>
      <c r="CG112" s="112"/>
      <c r="CH112" s="112"/>
      <c r="CI112" s="112"/>
      <c r="CJ112" s="112"/>
      <c r="CK112" s="112"/>
      <c r="CL112" s="112"/>
      <c r="CM112" s="112"/>
      <c r="CN112" s="112"/>
      <c r="CO112" s="112"/>
      <c r="CP112" s="112"/>
      <c r="CQ112" s="112"/>
      <c r="CR112" s="112"/>
      <c r="CS112" s="112"/>
      <c r="CT112" s="112"/>
      <c r="CU112" s="112"/>
      <c r="CV112" s="112"/>
      <c r="CW112" s="112"/>
      <c r="CX112" s="112"/>
      <c r="CY112" s="112"/>
      <c r="CZ112" s="112"/>
      <c r="DA112" s="112"/>
      <c r="DB112" s="112"/>
      <c r="DC112" s="112"/>
      <c r="DD112" s="112"/>
      <c r="DE112" s="112"/>
      <c r="DF112" s="112"/>
      <c r="DG112" s="112"/>
      <c r="DH112" s="112"/>
      <c r="DI112" s="112"/>
      <c r="DJ112" s="112"/>
      <c r="DK112" s="112"/>
      <c r="DL112" s="112"/>
      <c r="DM112" s="112"/>
      <c r="DN112" s="112"/>
      <c r="DO112" s="112"/>
      <c r="DP112" s="112"/>
      <c r="DQ112" s="112"/>
      <c r="DR112" s="112"/>
      <c r="DS112" s="112"/>
      <c r="DT112" s="112"/>
      <c r="DU112" s="112"/>
      <c r="DV112" s="112"/>
      <c r="DW112" s="112"/>
      <c r="DX112" s="112"/>
      <c r="DY112" s="112"/>
      <c r="DZ112" s="112"/>
      <c r="EA112" s="112"/>
      <c r="EB112" s="112"/>
      <c r="EC112" s="112"/>
      <c r="ED112" s="112"/>
      <c r="EE112" s="112"/>
      <c r="EF112" s="112"/>
      <c r="EG112" s="112"/>
      <c r="EH112" s="112"/>
      <c r="EI112" s="112"/>
      <c r="EJ112" s="112"/>
      <c r="EK112" s="112"/>
      <c r="EL112" s="112"/>
      <c r="EM112" s="112"/>
      <c r="EN112" s="112"/>
      <c r="EO112" s="112"/>
      <c r="EP112" s="112"/>
      <c r="EQ112" s="112"/>
      <c r="ER112" s="112"/>
      <c r="ES112" s="112"/>
      <c r="ET112" s="112"/>
      <c r="EU112" s="112"/>
      <c r="EV112" s="112"/>
      <c r="EW112" s="112"/>
      <c r="EX112" s="112"/>
    </row>
    <row r="113" s="131" customFormat="true" ht="15" hidden="false" customHeight="false" outlineLevel="0" collapsed="false">
      <c r="T113" s="116" t="n">
        <f aca="false">T110*TAN(RADIANS(T112))-(IF($B$4, 9.807, 32.174)*T110^2)/(2*T111^2*COS(RADIANS(T112))^2)+$D$7</f>
        <v>16.2585892784145</v>
      </c>
      <c r="U113" s="116" t="n">
        <f aca="false">U110*TAN(RADIANS(U112))-(IF($B$4, 9.807, 32.174)*U110^2)/(2*U111^2*COS(RADIANS(U112))^2)+$D$7</f>
        <v>16.2585892784145</v>
      </c>
      <c r="V113" s="116" t="n">
        <f aca="false">V110*TAN(RADIANS(V112))-(IF($B$4, 9.807, 32.174)*V110^2)/(2*V111^2*COS(RADIANS(V112))^2)+$D$7</f>
        <v>16.2585892784145</v>
      </c>
      <c r="W113" s="116" t="n">
        <f aca="false">W110*TAN(RADIANS(W112))-(IF($B$4, 9.807, 32.174)*W110^2)/(2*W111^2*COS(RADIANS(W112))^2)+$D$7</f>
        <v>16.2585892784145</v>
      </c>
      <c r="X113" s="116" t="n">
        <f aca="false">X110*TAN(RADIANS(X112))-(IF($B$4, 9.807, 32.174)*X110^2)/(2*X111^2*COS(RADIANS(X112))^2)+$D$7</f>
        <v>16.2585892784145</v>
      </c>
      <c r="Y113" s="116" t="n">
        <f aca="false">Y110*TAN(RADIANS(Y112))-(IF($B$4, 9.807, 32.174)*Y110^2)/(2*Y111^2*COS(RADIANS(Y112))^2)+$D$7</f>
        <v>16.2585892784145</v>
      </c>
      <c r="Z113" s="116" t="n">
        <f aca="false">Z110*TAN(RADIANS(Z112))-(IF($B$4, 9.807, 32.174)*Z110^2)/(2*Z111^2*COS(RADIANS(Z112))^2)+$D$7</f>
        <v>16.2585892784145</v>
      </c>
      <c r="AA113" s="116" t="n">
        <f aca="false">AA110*TAN(RADIANS(AA112))-(IF($B$4, 9.807, 32.174)*AA110^2)/(2*AA111^2*COS(RADIANS(AA112))^2)+$D$7</f>
        <v>16.2585892784145</v>
      </c>
      <c r="AB113" s="116" t="n">
        <f aca="false">AB110*TAN(RADIANS(AB112))-(IF($B$4, 9.807, 32.174)*AB110^2)/(2*AB111^2*COS(RADIANS(AB112))^2)+$D$7</f>
        <v>16.2585892784145</v>
      </c>
      <c r="AC113" s="116" t="n">
        <f aca="false">AC110*TAN(RADIANS(AC112))-(IF($B$4, 9.807, 32.174)*AC110^2)/(2*AC111^2*COS(RADIANS(AC112))^2)+$D$7</f>
        <v>16.2585892784145</v>
      </c>
      <c r="AD113" s="116" t="n">
        <f aca="false">AD110*TAN(RADIANS(AD112))-(IF($B$4, 9.807, 32.174)*AD110^2)/(2*AD111^2*COS(RADIANS(AD112))^2)+$D$7</f>
        <v>16.2585892784145</v>
      </c>
      <c r="AE113" s="116" t="n">
        <f aca="false">AE110*TAN(RADIANS(AE112))-(IF($B$4, 9.807, 32.174)*AE110^2)/(2*AE111^2*COS(RADIANS(AE112))^2)+$D$7</f>
        <v>16.2585892784145</v>
      </c>
      <c r="AF113" s="116" t="n">
        <f aca="false">AF110*TAN(RADIANS(AF112))-(IF($B$4, 9.807, 32.174)*AF110^2)/(2*AF111^2*COS(RADIANS(AF112))^2)+$D$7</f>
        <v>16.2585892784145</v>
      </c>
      <c r="AG113" s="116" t="n">
        <f aca="false">AG110*TAN(RADIANS(AG112))-(IF($B$4, 9.807, 32.174)*AG110^2)/(2*AG111^2*COS(RADIANS(AG112))^2)+$D$7</f>
        <v>16.2585892784145</v>
      </c>
      <c r="AH113" s="116" t="n">
        <f aca="false">AH110*TAN(RADIANS(AH112))-(IF($B$4, 9.807, 32.174)*AH110^2)/(2*AH111^2*COS(RADIANS(AH112))^2)+$D$7</f>
        <v>16.2585892784145</v>
      </c>
      <c r="AI113" s="116" t="n">
        <f aca="false">AI110*TAN(RADIANS(AI112))-(IF($B$4, 9.807, 32.174)*AI110^2)/(2*AI111^2*COS(RADIANS(AI112))^2)+$D$7</f>
        <v>16.2585892784145</v>
      </c>
      <c r="AJ113" s="116" t="n">
        <f aca="false">AJ110*TAN(RADIANS(AJ112))-(IF($B$4, 9.807, 32.174)*AJ110^2)/(2*AJ111^2*COS(RADIANS(AJ112))^2)+$D$7</f>
        <v>16.2585892784145</v>
      </c>
      <c r="AK113" s="116" t="n">
        <f aca="false">AK110*TAN(RADIANS(AK112))-(IF($B$4, 9.807, 32.174)*AK110^2)/(2*AK111^2*COS(RADIANS(AK112))^2)+$D$7</f>
        <v>16.2585892784145</v>
      </c>
      <c r="AL113" s="116" t="n">
        <f aca="false">AL110*TAN(RADIANS(AL112))-(IF($B$4, 9.807, 32.174)*AL110^2)/(2*AL111^2*COS(RADIANS(AL112))^2)+$D$7</f>
        <v>16.2585892784145</v>
      </c>
      <c r="AM113" s="116" t="n">
        <f aca="false">AM110*TAN(RADIANS(AM112))-(IF($B$4, 9.807, 32.174)*AM110^2)/(2*AM111^2*COS(RADIANS(AM112))^2)+$D$7</f>
        <v>16.2585892784145</v>
      </c>
      <c r="AN113" s="116" t="n">
        <f aca="false">AN110*TAN(RADIANS(AN112))-(IF($B$4, 9.807, 32.174)*AN110^2)/(2*AN111^2*COS(RADIANS(AN112))^2)+$D$7</f>
        <v>16.2585892784145</v>
      </c>
      <c r="AO113" s="116" t="n">
        <f aca="false">AO110*TAN(RADIANS(AO112))-(IF($B$4, 9.807, 32.174)*AO110^2)/(2*AO111^2*COS(RADIANS(AO112))^2)+$D$7</f>
        <v>16.2585892784145</v>
      </c>
      <c r="AP113" s="116" t="n">
        <f aca="false">AP110*TAN(RADIANS(AP112))-(IF($B$4, 9.807, 32.174)*AP110^2)/(2*AP111^2*COS(RADIANS(AP112))^2)+$D$7</f>
        <v>16.2585892784145</v>
      </c>
      <c r="AQ113" s="116" t="n">
        <f aca="false">AQ110*TAN(RADIANS(AQ112))-(IF($B$4, 9.807, 32.174)*AQ110^2)/(2*AQ111^2*COS(RADIANS(AQ112))^2)+$D$7</f>
        <v>16.2585892784145</v>
      </c>
      <c r="AR113" s="116" t="n">
        <f aca="false">AR110*TAN(RADIANS(AR112))-(IF($B$4, 9.807, 32.174)*AR110^2)/(2*AR111^2*COS(RADIANS(AR112))^2)+$D$7</f>
        <v>16.2585892784145</v>
      </c>
      <c r="AS113" s="116" t="n">
        <f aca="false">AS110*TAN(RADIANS(AS112))-(IF($B$4, 9.807, 32.174)*AS110^2)/(2*AS111^2*COS(RADIANS(AS112))^2)+$D$7</f>
        <v>16.2585892784145</v>
      </c>
      <c r="AT113" s="116" t="n">
        <f aca="false">AT110*TAN(RADIANS(AT112))-(IF($B$4, 9.807, 32.174)*AT110^2)/(2*AT111^2*COS(RADIANS(AT112))^2)+$D$7</f>
        <v>16.2585892784145</v>
      </c>
      <c r="AU113" s="112"/>
      <c r="AV113" s="112"/>
      <c r="AW113" s="112"/>
      <c r="AX113" s="112"/>
      <c r="AY113" s="112"/>
      <c r="AZ113" s="112"/>
      <c r="BA113" s="112"/>
      <c r="BB113" s="112"/>
      <c r="BC113" s="112"/>
      <c r="BD113" s="112"/>
      <c r="BE113" s="112"/>
      <c r="BF113" s="112"/>
      <c r="BG113" s="112"/>
      <c r="BH113" s="112"/>
      <c r="BI113" s="112"/>
      <c r="BJ113" s="112"/>
      <c r="BK113" s="112"/>
      <c r="BL113" s="112"/>
      <c r="BM113" s="112"/>
      <c r="BN113" s="112"/>
      <c r="BO113" s="112"/>
      <c r="BP113" s="112"/>
      <c r="BQ113" s="112"/>
      <c r="BR113" s="112"/>
      <c r="BS113" s="112"/>
      <c r="BT113" s="112"/>
      <c r="BU113" s="112"/>
      <c r="BV113" s="112"/>
      <c r="BW113" s="112"/>
      <c r="BX113" s="112"/>
      <c r="BY113" s="112"/>
      <c r="BZ113" s="112"/>
      <c r="CA113" s="112"/>
      <c r="CB113" s="112"/>
      <c r="CC113" s="112"/>
      <c r="CD113" s="112"/>
      <c r="CE113" s="112"/>
      <c r="CF113" s="112"/>
      <c r="CG113" s="112"/>
      <c r="CH113" s="112"/>
      <c r="CI113" s="112"/>
      <c r="CJ113" s="112"/>
      <c r="CK113" s="112"/>
      <c r="CL113" s="112"/>
      <c r="CM113" s="112"/>
      <c r="CN113" s="112"/>
      <c r="CO113" s="112"/>
      <c r="CP113" s="112"/>
      <c r="CQ113" s="112"/>
      <c r="CR113" s="112"/>
      <c r="CS113" s="112"/>
      <c r="CT113" s="112"/>
      <c r="CU113" s="112"/>
      <c r="CV113" s="112"/>
      <c r="CW113" s="112"/>
      <c r="CX113" s="112"/>
      <c r="CY113" s="112"/>
      <c r="CZ113" s="112"/>
      <c r="DA113" s="112"/>
      <c r="DB113" s="112"/>
      <c r="DC113" s="112"/>
      <c r="DD113" s="112"/>
      <c r="DE113" s="112"/>
      <c r="DF113" s="112"/>
      <c r="DG113" s="112"/>
      <c r="DH113" s="112"/>
      <c r="DI113" s="112"/>
      <c r="DJ113" s="112"/>
      <c r="DK113" s="112"/>
      <c r="DL113" s="112"/>
      <c r="DM113" s="112"/>
      <c r="DN113" s="112"/>
      <c r="DO113" s="112"/>
      <c r="DP113" s="112"/>
      <c r="DQ113" s="112"/>
      <c r="DR113" s="112"/>
      <c r="DS113" s="112"/>
      <c r="DT113" s="112"/>
      <c r="DU113" s="112"/>
      <c r="DV113" s="112"/>
      <c r="DW113" s="112"/>
      <c r="DX113" s="112"/>
      <c r="DY113" s="112"/>
      <c r="DZ113" s="112"/>
      <c r="EA113" s="112"/>
      <c r="EB113" s="112"/>
      <c r="EC113" s="112"/>
      <c r="ED113" s="112"/>
      <c r="EE113" s="112"/>
      <c r="EF113" s="112"/>
      <c r="EG113" s="112"/>
      <c r="EH113" s="112"/>
      <c r="EI113" s="112"/>
      <c r="EJ113" s="112"/>
      <c r="EK113" s="112"/>
      <c r="EL113" s="112"/>
      <c r="EM113" s="112"/>
      <c r="EN113" s="112"/>
      <c r="EO113" s="112"/>
      <c r="EP113" s="112"/>
      <c r="EQ113" s="112"/>
      <c r="ER113" s="112"/>
      <c r="ES113" s="112"/>
      <c r="ET113" s="112"/>
      <c r="EU113" s="112"/>
      <c r="EV113" s="112"/>
      <c r="EW113" s="112"/>
      <c r="EX113" s="112"/>
    </row>
    <row r="114" s="131" customFormat="true" ht="15" hidden="false" customHeight="false" outlineLevel="0" collapsed="false">
      <c r="T114" s="115" t="n">
        <f aca="false">DEGREES(ATAN(2*(T113-$D$7)/T110-TAN(RADIANS(T112))))</f>
        <v>-67.8745146015099</v>
      </c>
      <c r="U114" s="115" t="n">
        <f aca="false">DEGREES(ATAN(2*(U113-$D$7)/U110-TAN(RADIANS(U112))))</f>
        <v>-67.8745146015099</v>
      </c>
      <c r="V114" s="115" t="n">
        <f aca="false">DEGREES(ATAN(2*(V113-$D$7)/V110-TAN(RADIANS(V112))))</f>
        <v>-67.8745146015099</v>
      </c>
      <c r="W114" s="115" t="n">
        <f aca="false">DEGREES(ATAN(2*(W113-$D$7)/W110-TAN(RADIANS(W112))))</f>
        <v>-67.8745146015099</v>
      </c>
      <c r="X114" s="115" t="n">
        <f aca="false">DEGREES(ATAN(2*(X113-$D$7)/X110-TAN(RADIANS(X112))))</f>
        <v>-67.8745146015099</v>
      </c>
      <c r="Y114" s="115" t="n">
        <f aca="false">DEGREES(ATAN(2*(Y113-$D$7)/Y110-TAN(RADIANS(Y112))))</f>
        <v>-67.8745146015099</v>
      </c>
      <c r="Z114" s="115" t="n">
        <f aca="false">DEGREES(ATAN(2*(Z113-$D$7)/Z110-TAN(RADIANS(Z112))))</f>
        <v>-67.8745146015099</v>
      </c>
      <c r="AA114" s="115" t="n">
        <f aca="false">DEGREES(ATAN(2*(AA113-$D$7)/AA110-TAN(RADIANS(AA112))))</f>
        <v>-67.8745146015099</v>
      </c>
      <c r="AB114" s="115" t="n">
        <f aca="false">DEGREES(ATAN(2*(AB113-$D$7)/AB110-TAN(RADIANS(AB112))))</f>
        <v>-67.8745146015099</v>
      </c>
      <c r="AC114" s="115" t="n">
        <f aca="false">DEGREES(ATAN(2*(AC113-$D$7)/AC110-TAN(RADIANS(AC112))))</f>
        <v>-67.8745146015099</v>
      </c>
      <c r="AD114" s="115" t="n">
        <f aca="false">DEGREES(ATAN(2*(AD113-$D$7)/AD110-TAN(RADIANS(AD112))))</f>
        <v>-67.8745146015099</v>
      </c>
      <c r="AE114" s="115" t="n">
        <f aca="false">DEGREES(ATAN(2*(AE113-$D$7)/AE110-TAN(RADIANS(AE112))))</f>
        <v>-67.8745146015099</v>
      </c>
      <c r="AF114" s="115" t="n">
        <f aca="false">DEGREES(ATAN(2*(AF113-$D$7)/AF110-TAN(RADIANS(AF112))))</f>
        <v>-67.8745146015099</v>
      </c>
      <c r="AG114" s="115" t="n">
        <f aca="false">DEGREES(ATAN(2*(AG113-$D$7)/AG110-TAN(RADIANS(AG112))))</f>
        <v>-67.8745146015099</v>
      </c>
      <c r="AH114" s="115" t="n">
        <f aca="false">DEGREES(ATAN(2*(AH113-$D$7)/AH110-TAN(RADIANS(AH112))))</f>
        <v>-67.8745146015099</v>
      </c>
      <c r="AI114" s="115" t="n">
        <f aca="false">DEGREES(ATAN(2*(AI113-$D$7)/AI110-TAN(RADIANS(AI112))))</f>
        <v>-67.8745146015099</v>
      </c>
      <c r="AJ114" s="115" t="n">
        <f aca="false">DEGREES(ATAN(2*(AJ113-$D$7)/AJ110-TAN(RADIANS(AJ112))))</f>
        <v>-67.8745146015099</v>
      </c>
      <c r="AK114" s="115" t="n">
        <f aca="false">DEGREES(ATAN(2*(AK113-$D$7)/AK110-TAN(RADIANS(AK112))))</f>
        <v>-67.8745146015099</v>
      </c>
      <c r="AL114" s="115" t="n">
        <f aca="false">DEGREES(ATAN(2*(AL113-$D$7)/AL110-TAN(RADIANS(AL112))))</f>
        <v>-67.8745146015099</v>
      </c>
      <c r="AM114" s="115" t="n">
        <f aca="false">DEGREES(ATAN(2*(AM113-$D$7)/AM110-TAN(RADIANS(AM112))))</f>
        <v>-67.8745146015099</v>
      </c>
      <c r="AN114" s="115" t="n">
        <f aca="false">DEGREES(ATAN(2*(AN113-$D$7)/AN110-TAN(RADIANS(AN112))))</f>
        <v>-67.8745146015099</v>
      </c>
      <c r="AO114" s="115" t="n">
        <f aca="false">DEGREES(ATAN(2*(AO113-$D$7)/AO110-TAN(RADIANS(AO112))))</f>
        <v>-67.8745146015099</v>
      </c>
      <c r="AP114" s="115" t="n">
        <f aca="false">DEGREES(ATAN(2*(AP113-$D$7)/AP110-TAN(RADIANS(AP112))))</f>
        <v>-67.8745146015099</v>
      </c>
      <c r="AQ114" s="115" t="n">
        <f aca="false">DEGREES(ATAN(2*(AQ113-$D$7)/AQ110-TAN(RADIANS(AQ112))))</f>
        <v>-67.8745146015099</v>
      </c>
      <c r="AR114" s="115" t="n">
        <f aca="false">DEGREES(ATAN(2*(AR113-$D$7)/AR110-TAN(RADIANS(AR112))))</f>
        <v>-67.8745146015099</v>
      </c>
      <c r="AS114" s="115" t="n">
        <f aca="false">DEGREES(ATAN(2*(AS113-$D$7)/AS110-TAN(RADIANS(AS112))))</f>
        <v>-67.8745146015099</v>
      </c>
      <c r="AT114" s="115" t="n">
        <f aca="false">DEGREES(ATAN(2*(AT113-$D$7)/AT110-TAN(RADIANS(AT112))))</f>
        <v>-67.8745146015099</v>
      </c>
      <c r="AU114" s="112"/>
      <c r="AV114" s="112"/>
      <c r="AW114" s="112"/>
      <c r="AX114" s="112"/>
      <c r="AY114" s="112"/>
      <c r="AZ114" s="112"/>
      <c r="BA114" s="112"/>
      <c r="BB114" s="112"/>
      <c r="BC114" s="112"/>
      <c r="BD114" s="112"/>
      <c r="BE114" s="112"/>
      <c r="BF114" s="112"/>
      <c r="BG114" s="112"/>
      <c r="BH114" s="112"/>
      <c r="BI114" s="112"/>
      <c r="BJ114" s="112"/>
      <c r="BK114" s="112"/>
      <c r="BL114" s="112"/>
      <c r="BM114" s="112"/>
      <c r="BN114" s="112"/>
      <c r="BO114" s="112"/>
      <c r="BP114" s="112"/>
      <c r="BQ114" s="112"/>
      <c r="BR114" s="112"/>
      <c r="BS114" s="112"/>
      <c r="BT114" s="112"/>
      <c r="BU114" s="112"/>
      <c r="BV114" s="112"/>
      <c r="BW114" s="112"/>
      <c r="BX114" s="112"/>
      <c r="BY114" s="112"/>
      <c r="BZ114" s="112"/>
      <c r="CA114" s="112"/>
      <c r="CB114" s="112"/>
      <c r="CC114" s="112"/>
      <c r="CD114" s="112"/>
      <c r="CE114" s="112"/>
      <c r="CF114" s="112"/>
      <c r="CG114" s="112"/>
      <c r="CH114" s="112"/>
      <c r="CI114" s="112"/>
      <c r="CJ114" s="112"/>
      <c r="CK114" s="112"/>
      <c r="CL114" s="112"/>
      <c r="CM114" s="112"/>
      <c r="CN114" s="112"/>
      <c r="CO114" s="112"/>
      <c r="CP114" s="112"/>
      <c r="CQ114" s="112"/>
      <c r="CR114" s="112"/>
      <c r="CS114" s="112"/>
      <c r="CT114" s="112"/>
      <c r="CU114" s="112"/>
      <c r="CV114" s="112"/>
      <c r="CW114" s="112"/>
      <c r="CX114" s="112"/>
      <c r="CY114" s="112"/>
      <c r="CZ114" s="112"/>
      <c r="DA114" s="112"/>
      <c r="DB114" s="112"/>
      <c r="DC114" s="112"/>
      <c r="DD114" s="112"/>
      <c r="DE114" s="112"/>
      <c r="DF114" s="112"/>
      <c r="DG114" s="112"/>
      <c r="DH114" s="112"/>
      <c r="DI114" s="112"/>
      <c r="DJ114" s="112"/>
      <c r="DK114" s="112"/>
      <c r="DL114" s="112"/>
      <c r="DM114" s="112"/>
      <c r="DN114" s="112"/>
      <c r="DO114" s="112"/>
      <c r="DP114" s="112"/>
      <c r="DQ114" s="112"/>
      <c r="DR114" s="112"/>
      <c r="DS114" s="112"/>
      <c r="DT114" s="112"/>
      <c r="DU114" s="112"/>
      <c r="DV114" s="112"/>
      <c r="DW114" s="112"/>
      <c r="DX114" s="112"/>
      <c r="DY114" s="112"/>
      <c r="DZ114" s="112"/>
      <c r="EA114" s="112"/>
      <c r="EB114" s="112"/>
      <c r="EC114" s="112"/>
      <c r="ED114" s="112"/>
      <c r="EE114" s="112"/>
      <c r="EF114" s="112"/>
      <c r="EG114" s="112"/>
      <c r="EH114" s="112"/>
      <c r="EI114" s="112"/>
      <c r="EJ114" s="112"/>
      <c r="EK114" s="112"/>
      <c r="EL114" s="112"/>
      <c r="EM114" s="112"/>
      <c r="EN114" s="112"/>
      <c r="EO114" s="112"/>
      <c r="EP114" s="112"/>
      <c r="EQ114" s="112"/>
      <c r="ER114" s="112"/>
      <c r="ES114" s="112"/>
      <c r="ET114" s="112"/>
      <c r="EU114" s="112"/>
      <c r="EV114" s="112"/>
      <c r="EW114" s="112"/>
      <c r="EX114" s="112"/>
    </row>
    <row r="115" s="131" customFormat="true" ht="15" hidden="false" customHeight="false" outlineLevel="0" collapsed="false">
      <c r="T115" s="112"/>
      <c r="U115" s="112"/>
      <c r="V115" s="112"/>
      <c r="W115" s="112"/>
      <c r="X115" s="112"/>
      <c r="Y115" s="112"/>
      <c r="Z115" s="112"/>
      <c r="AA115" s="112"/>
      <c r="AB115" s="112"/>
      <c r="AC115" s="112"/>
      <c r="AD115" s="112"/>
      <c r="AE115" s="112"/>
      <c r="AF115" s="112"/>
      <c r="AG115" s="112"/>
      <c r="AH115" s="112"/>
      <c r="AI115" s="112"/>
      <c r="AJ115" s="112"/>
      <c r="AK115" s="112"/>
      <c r="AL115" s="112"/>
      <c r="AM115" s="112"/>
      <c r="AN115" s="112"/>
      <c r="AO115" s="112"/>
      <c r="AP115" s="112"/>
      <c r="AQ115" s="112"/>
      <c r="AR115" s="112"/>
      <c r="AS115" s="112"/>
      <c r="AT115" s="112"/>
      <c r="AU115" s="112"/>
      <c r="AV115" s="112"/>
      <c r="AW115" s="112"/>
      <c r="AX115" s="112"/>
      <c r="AY115" s="112"/>
      <c r="AZ115" s="112"/>
      <c r="BA115" s="112"/>
      <c r="BB115" s="112"/>
      <c r="BC115" s="112"/>
      <c r="BD115" s="112"/>
      <c r="BE115" s="112"/>
      <c r="BF115" s="112"/>
      <c r="BG115" s="112"/>
      <c r="BH115" s="112"/>
      <c r="BI115" s="112"/>
      <c r="BJ115" s="112"/>
      <c r="BK115" s="112"/>
      <c r="BL115" s="112"/>
      <c r="BM115" s="112"/>
      <c r="BN115" s="112"/>
      <c r="BO115" s="112"/>
      <c r="BP115" s="112"/>
      <c r="BQ115" s="112"/>
      <c r="BR115" s="112"/>
      <c r="BS115" s="112"/>
      <c r="BT115" s="112"/>
      <c r="BU115" s="112"/>
      <c r="BV115" s="112"/>
      <c r="BW115" s="112"/>
      <c r="BX115" s="112"/>
      <c r="BY115" s="112"/>
      <c r="BZ115" s="112"/>
      <c r="CA115" s="112"/>
      <c r="CB115" s="112"/>
      <c r="CC115" s="112"/>
      <c r="CD115" s="112"/>
      <c r="CE115" s="112"/>
      <c r="CF115" s="112"/>
      <c r="CG115" s="112"/>
      <c r="CH115" s="112"/>
      <c r="CI115" s="112"/>
      <c r="CJ115" s="112"/>
      <c r="CK115" s="112"/>
      <c r="CL115" s="112"/>
      <c r="CM115" s="112"/>
      <c r="CN115" s="112"/>
      <c r="CO115" s="112"/>
      <c r="CP115" s="112"/>
      <c r="CQ115" s="112"/>
      <c r="CR115" s="112"/>
      <c r="CS115" s="112"/>
      <c r="CT115" s="112"/>
      <c r="CU115" s="112"/>
      <c r="CV115" s="112"/>
      <c r="CW115" s="112"/>
      <c r="CX115" s="112"/>
      <c r="CY115" s="112"/>
      <c r="CZ115" s="112"/>
      <c r="DA115" s="112"/>
      <c r="DB115" s="112"/>
      <c r="DC115" s="112"/>
      <c r="DD115" s="112"/>
      <c r="DE115" s="112"/>
      <c r="DF115" s="112"/>
      <c r="DG115" s="112"/>
      <c r="DH115" s="112"/>
      <c r="DI115" s="112"/>
      <c r="DJ115" s="112"/>
      <c r="DK115" s="112"/>
      <c r="DL115" s="112"/>
      <c r="DM115" s="112"/>
      <c r="DN115" s="112"/>
      <c r="DO115" s="112"/>
      <c r="DP115" s="112"/>
      <c r="DQ115" s="112"/>
      <c r="DR115" s="112"/>
      <c r="DS115" s="112"/>
      <c r="DT115" s="112"/>
      <c r="DU115" s="112"/>
      <c r="DV115" s="112"/>
      <c r="DW115" s="112"/>
      <c r="DX115" s="112"/>
      <c r="DY115" s="112"/>
      <c r="DZ115" s="112"/>
      <c r="EA115" s="112"/>
      <c r="EB115" s="112"/>
      <c r="EC115" s="112"/>
      <c r="ED115" s="112"/>
      <c r="EE115" s="112"/>
      <c r="EF115" s="112"/>
      <c r="EG115" s="112"/>
      <c r="EH115" s="112"/>
      <c r="EI115" s="112"/>
      <c r="EJ115" s="112"/>
      <c r="EK115" s="112"/>
      <c r="EL115" s="112"/>
      <c r="EM115" s="112"/>
      <c r="EN115" s="112"/>
      <c r="EO115" s="112"/>
      <c r="EP115" s="112"/>
      <c r="EQ115" s="112"/>
      <c r="ER115" s="112"/>
      <c r="ES115" s="112"/>
      <c r="ET115" s="112"/>
      <c r="EU115" s="112"/>
      <c r="EV115" s="112"/>
      <c r="EW115" s="112"/>
      <c r="EX115" s="112"/>
    </row>
    <row r="116" customFormat="false" ht="15" hidden="false" customHeight="false" outlineLevel="0" collapsed="false">
      <c r="T116" s="114" t="n">
        <f aca="false">$G$8-$G$9</f>
        <v>2</v>
      </c>
      <c r="U116" s="114" t="n">
        <f aca="false">$G$8</f>
        <v>2</v>
      </c>
      <c r="V116" s="114" t="n">
        <f aca="false">$G$8+$G$9</f>
        <v>2</v>
      </c>
      <c r="W116" s="114" t="n">
        <f aca="false">$G$8-$G$9</f>
        <v>2</v>
      </c>
      <c r="X116" s="114" t="n">
        <f aca="false">$G$8</f>
        <v>2</v>
      </c>
      <c r="Y116" s="114" t="n">
        <f aca="false">$G$8+$G$9</f>
        <v>2</v>
      </c>
      <c r="Z116" s="114" t="n">
        <f aca="false">$G$8-$G$9</f>
        <v>2</v>
      </c>
      <c r="AA116" s="114" t="n">
        <f aca="false">$G$8</f>
        <v>2</v>
      </c>
      <c r="AB116" s="114" t="n">
        <f aca="false">$G$8+$G$9</f>
        <v>2</v>
      </c>
      <c r="AC116" s="114" t="n">
        <f aca="false">$G$8-$G$9</f>
        <v>2</v>
      </c>
      <c r="AD116" s="114" t="n">
        <f aca="false">$G$8</f>
        <v>2</v>
      </c>
      <c r="AE116" s="114" t="n">
        <f aca="false">$G$8+$G$9</f>
        <v>2</v>
      </c>
      <c r="AF116" s="114" t="n">
        <f aca="false">$G$8-$G$9</f>
        <v>2</v>
      </c>
      <c r="AG116" s="114" t="n">
        <f aca="false">$G$8</f>
        <v>2</v>
      </c>
      <c r="AH116" s="114" t="n">
        <f aca="false">$G$8+$G$9</f>
        <v>2</v>
      </c>
      <c r="AI116" s="114" t="n">
        <f aca="false">$G$8-$G$9</f>
        <v>2</v>
      </c>
      <c r="AJ116" s="114" t="n">
        <f aca="false">$G$8</f>
        <v>2</v>
      </c>
      <c r="AK116" s="114" t="n">
        <f aca="false">$G$8+$G$9</f>
        <v>2</v>
      </c>
      <c r="AL116" s="114" t="n">
        <f aca="false">$G$8-$G$9</f>
        <v>2</v>
      </c>
      <c r="AM116" s="114" t="n">
        <f aca="false">$G$8</f>
        <v>2</v>
      </c>
      <c r="AN116" s="114" t="n">
        <f aca="false">$G$8+$G$9</f>
        <v>2</v>
      </c>
      <c r="AO116" s="114" t="n">
        <f aca="false">$G$8-$G$9</f>
        <v>2</v>
      </c>
      <c r="AP116" s="114" t="n">
        <f aca="false">$G$8</f>
        <v>2</v>
      </c>
      <c r="AQ116" s="114" t="n">
        <f aca="false">$G$8+$G$9</f>
        <v>2</v>
      </c>
      <c r="AR116" s="114" t="n">
        <f aca="false">$G$8-$G$9</f>
        <v>2</v>
      </c>
      <c r="AS116" s="114" t="n">
        <f aca="false">$G$8</f>
        <v>2</v>
      </c>
      <c r="AT116" s="114" t="n">
        <f aca="false">$G$8+$G$9</f>
        <v>2</v>
      </c>
    </row>
    <row r="117" s="131" customFormat="true" ht="15" hidden="false" customHeight="false" outlineLevel="0" collapsed="false">
      <c r="T117" s="114" t="n">
        <f aca="false">$G$10-$G$11</f>
        <v>2.5</v>
      </c>
      <c r="U117" s="114" t="n">
        <f aca="false">$G$10-$G$11</f>
        <v>2.5</v>
      </c>
      <c r="V117" s="114" t="n">
        <f aca="false">$G$10-$G$11</f>
        <v>2.5</v>
      </c>
      <c r="W117" s="114" t="n">
        <f aca="false">$G$10</f>
        <v>2.5</v>
      </c>
      <c r="X117" s="114" t="n">
        <f aca="false">$G$10</f>
        <v>2.5</v>
      </c>
      <c r="Y117" s="114" t="n">
        <f aca="false">$G$10</f>
        <v>2.5</v>
      </c>
      <c r="Z117" s="114" t="n">
        <f aca="false">$G$10+$G$11</f>
        <v>2.5</v>
      </c>
      <c r="AA117" s="114" t="n">
        <f aca="false">$G$10+$G$11</f>
        <v>2.5</v>
      </c>
      <c r="AB117" s="114" t="n">
        <f aca="false">$G$10+$G$11</f>
        <v>2.5</v>
      </c>
      <c r="AC117" s="114" t="n">
        <f aca="false">$G$10-$G$11</f>
        <v>2.5</v>
      </c>
      <c r="AD117" s="114" t="n">
        <f aca="false">$G$10-$G$11</f>
        <v>2.5</v>
      </c>
      <c r="AE117" s="114" t="n">
        <f aca="false">$G$10-$G$11</f>
        <v>2.5</v>
      </c>
      <c r="AF117" s="114" t="n">
        <f aca="false">$G$10</f>
        <v>2.5</v>
      </c>
      <c r="AG117" s="114" t="n">
        <f aca="false">$G$10</f>
        <v>2.5</v>
      </c>
      <c r="AH117" s="114" t="n">
        <f aca="false">$G$10</f>
        <v>2.5</v>
      </c>
      <c r="AI117" s="114" t="n">
        <f aca="false">$G$10+$G$11</f>
        <v>2.5</v>
      </c>
      <c r="AJ117" s="114" t="n">
        <f aca="false">$G$10+$G$11</f>
        <v>2.5</v>
      </c>
      <c r="AK117" s="114" t="n">
        <f aca="false">$G$10+$G$11</f>
        <v>2.5</v>
      </c>
      <c r="AL117" s="114" t="n">
        <f aca="false">$G$10-$G$11</f>
        <v>2.5</v>
      </c>
      <c r="AM117" s="114" t="n">
        <f aca="false">$G$10-$G$11</f>
        <v>2.5</v>
      </c>
      <c r="AN117" s="114" t="n">
        <f aca="false">$G$10-$G$11</f>
        <v>2.5</v>
      </c>
      <c r="AO117" s="114" t="n">
        <f aca="false">$G$10</f>
        <v>2.5</v>
      </c>
      <c r="AP117" s="114" t="n">
        <f aca="false">$G$10</f>
        <v>2.5</v>
      </c>
      <c r="AQ117" s="114" t="n">
        <f aca="false">$G$10</f>
        <v>2.5</v>
      </c>
      <c r="AR117" s="114" t="n">
        <f aca="false">$G$10+$G$11</f>
        <v>2.5</v>
      </c>
      <c r="AS117" s="114" t="n">
        <f aca="false">$G$10+$G$11</f>
        <v>2.5</v>
      </c>
      <c r="AT117" s="114" t="n">
        <f aca="false">$G$10+$G$11</f>
        <v>2.5</v>
      </c>
      <c r="AU117" s="112"/>
      <c r="AV117" s="112"/>
      <c r="AW117" s="112"/>
      <c r="AX117" s="112"/>
      <c r="AY117" s="112"/>
      <c r="AZ117" s="112"/>
      <c r="BA117" s="112"/>
      <c r="BB117" s="112"/>
      <c r="BC117" s="112"/>
      <c r="BD117" s="112"/>
      <c r="BE117" s="112"/>
      <c r="BF117" s="112"/>
      <c r="BG117" s="112"/>
      <c r="BH117" s="112"/>
      <c r="BI117" s="112"/>
      <c r="BJ117" s="112"/>
      <c r="BK117" s="112"/>
      <c r="BL117" s="112"/>
      <c r="BM117" s="112"/>
      <c r="BN117" s="112"/>
      <c r="BO117" s="112"/>
      <c r="BP117" s="112"/>
      <c r="BQ117" s="112"/>
      <c r="BR117" s="112"/>
      <c r="BS117" s="112"/>
      <c r="BT117" s="112"/>
      <c r="BU117" s="112"/>
      <c r="BV117" s="112"/>
      <c r="BW117" s="112"/>
      <c r="BX117" s="112"/>
      <c r="BY117" s="112"/>
      <c r="BZ117" s="112"/>
      <c r="CA117" s="112"/>
      <c r="CB117" s="112"/>
      <c r="CC117" s="112"/>
      <c r="CD117" s="112"/>
      <c r="CE117" s="112"/>
      <c r="CF117" s="112"/>
      <c r="CG117" s="112"/>
      <c r="CH117" s="112"/>
      <c r="CI117" s="112"/>
      <c r="CJ117" s="112"/>
      <c r="CK117" s="112"/>
      <c r="CL117" s="112"/>
      <c r="CM117" s="112"/>
      <c r="CN117" s="112"/>
      <c r="CO117" s="112"/>
      <c r="CP117" s="112"/>
      <c r="CQ117" s="112"/>
      <c r="CR117" s="112"/>
      <c r="CS117" s="112"/>
      <c r="CT117" s="112"/>
      <c r="CU117" s="112"/>
      <c r="CV117" s="112"/>
      <c r="CW117" s="112"/>
      <c r="CX117" s="112"/>
      <c r="CY117" s="112"/>
      <c r="CZ117" s="112"/>
      <c r="DA117" s="112"/>
      <c r="DB117" s="112"/>
      <c r="DC117" s="112"/>
      <c r="DD117" s="112"/>
      <c r="DE117" s="112"/>
      <c r="DF117" s="112"/>
      <c r="DG117" s="112"/>
      <c r="DH117" s="112"/>
      <c r="DI117" s="112"/>
      <c r="DJ117" s="112"/>
      <c r="DK117" s="112"/>
      <c r="DL117" s="112"/>
      <c r="DM117" s="112"/>
      <c r="DN117" s="112"/>
      <c r="DO117" s="112"/>
      <c r="DP117" s="112"/>
      <c r="DQ117" s="112"/>
      <c r="DR117" s="112"/>
      <c r="DS117" s="112"/>
      <c r="DT117" s="112"/>
      <c r="DU117" s="112"/>
      <c r="DV117" s="112"/>
      <c r="DW117" s="112"/>
      <c r="DX117" s="112"/>
      <c r="DY117" s="112"/>
      <c r="DZ117" s="112"/>
      <c r="EA117" s="112"/>
      <c r="EB117" s="112"/>
      <c r="EC117" s="112"/>
      <c r="ED117" s="112"/>
      <c r="EE117" s="112"/>
      <c r="EF117" s="112"/>
      <c r="EG117" s="112"/>
      <c r="EH117" s="112"/>
      <c r="EI117" s="112"/>
      <c r="EJ117" s="112"/>
      <c r="EK117" s="112"/>
      <c r="EL117" s="112"/>
      <c r="EM117" s="112"/>
      <c r="EN117" s="112"/>
      <c r="EO117" s="112"/>
      <c r="EP117" s="112"/>
      <c r="EQ117" s="112"/>
      <c r="ER117" s="112"/>
      <c r="ES117" s="112"/>
      <c r="ET117" s="112"/>
      <c r="EU117" s="112"/>
      <c r="EV117" s="112"/>
      <c r="EW117" s="112"/>
      <c r="EX117" s="112"/>
    </row>
    <row r="118" s="131" customFormat="true" ht="15" hidden="false" customHeight="false" outlineLevel="0" collapsed="false">
      <c r="T118" s="114" t="n">
        <f aca="false">$G$12-$G$13</f>
        <v>-80</v>
      </c>
      <c r="U118" s="114" t="n">
        <f aca="false">$G$12-$G$13</f>
        <v>-80</v>
      </c>
      <c r="V118" s="114" t="n">
        <f aca="false">$G$12-$G$13</f>
        <v>-80</v>
      </c>
      <c r="W118" s="114" t="n">
        <f aca="false">$G$12-$G$13</f>
        <v>-80</v>
      </c>
      <c r="X118" s="114" t="n">
        <f aca="false">$G$12-$G$13</f>
        <v>-80</v>
      </c>
      <c r="Y118" s="114" t="n">
        <f aca="false">$G$12-$G$13</f>
        <v>-80</v>
      </c>
      <c r="Z118" s="114" t="n">
        <f aca="false">$G$12-$G$13</f>
        <v>-80</v>
      </c>
      <c r="AA118" s="114" t="n">
        <f aca="false">$G$12-$G$13</f>
        <v>-80</v>
      </c>
      <c r="AB118" s="114" t="n">
        <f aca="false">$G$12-$G$13</f>
        <v>-80</v>
      </c>
      <c r="AC118" s="114" t="n">
        <f aca="false">$G$12</f>
        <v>-80</v>
      </c>
      <c r="AD118" s="114" t="n">
        <f aca="false">$G$12</f>
        <v>-80</v>
      </c>
      <c r="AE118" s="114" t="n">
        <f aca="false">$G$12</f>
        <v>-80</v>
      </c>
      <c r="AF118" s="114" t="n">
        <f aca="false">$G$12</f>
        <v>-80</v>
      </c>
      <c r="AG118" s="114" t="n">
        <f aca="false">$G$12</f>
        <v>-80</v>
      </c>
      <c r="AH118" s="114" t="n">
        <f aca="false">$G$12</f>
        <v>-80</v>
      </c>
      <c r="AI118" s="114" t="n">
        <f aca="false">$G$12</f>
        <v>-80</v>
      </c>
      <c r="AJ118" s="114" t="n">
        <f aca="false">$G$12</f>
        <v>-80</v>
      </c>
      <c r="AK118" s="114" t="n">
        <f aca="false">$G$12</f>
        <v>-80</v>
      </c>
      <c r="AL118" s="114" t="n">
        <f aca="false">$G$12+$G$13</f>
        <v>-80</v>
      </c>
      <c r="AM118" s="114" t="n">
        <f aca="false">$G$12+$G$13</f>
        <v>-80</v>
      </c>
      <c r="AN118" s="114" t="n">
        <f aca="false">$G$12+$G$13</f>
        <v>-80</v>
      </c>
      <c r="AO118" s="114" t="n">
        <f aca="false">$G$12+$G$13</f>
        <v>-80</v>
      </c>
      <c r="AP118" s="114" t="n">
        <f aca="false">$G$12+$G$13</f>
        <v>-80</v>
      </c>
      <c r="AQ118" s="114" t="n">
        <f aca="false">$G$12+$G$13</f>
        <v>-80</v>
      </c>
      <c r="AR118" s="114" t="n">
        <f aca="false">$G$12+$G$13</f>
        <v>-80</v>
      </c>
      <c r="AS118" s="114" t="n">
        <f aca="false">$G$12+$G$13</f>
        <v>-80</v>
      </c>
      <c r="AT118" s="114" t="n">
        <f aca="false">$G$12+$G$13</f>
        <v>-80</v>
      </c>
      <c r="AU118" s="112"/>
      <c r="AV118" s="112"/>
      <c r="AW118" s="112"/>
      <c r="AX118" s="112"/>
      <c r="AY118" s="112"/>
      <c r="AZ118" s="112"/>
      <c r="BA118" s="112"/>
      <c r="BB118" s="112"/>
      <c r="BC118" s="112"/>
      <c r="BD118" s="112"/>
      <c r="BE118" s="112"/>
      <c r="BF118" s="112"/>
      <c r="BG118" s="112"/>
      <c r="BH118" s="112"/>
      <c r="BI118" s="112"/>
      <c r="BJ118" s="112"/>
      <c r="BK118" s="112"/>
      <c r="BL118" s="112"/>
      <c r="BM118" s="112"/>
      <c r="BN118" s="112"/>
      <c r="BO118" s="112"/>
      <c r="BP118" s="112"/>
      <c r="BQ118" s="112"/>
      <c r="BR118" s="112"/>
      <c r="BS118" s="112"/>
      <c r="BT118" s="112"/>
      <c r="BU118" s="112"/>
      <c r="BV118" s="112"/>
      <c r="BW118" s="112"/>
      <c r="BX118" s="112"/>
      <c r="BY118" s="112"/>
      <c r="BZ118" s="112"/>
      <c r="CA118" s="112"/>
      <c r="CB118" s="112"/>
      <c r="CC118" s="112"/>
      <c r="CD118" s="112"/>
      <c r="CE118" s="112"/>
      <c r="CF118" s="112"/>
      <c r="CG118" s="112"/>
      <c r="CH118" s="112"/>
      <c r="CI118" s="112"/>
      <c r="CJ118" s="112"/>
      <c r="CK118" s="112"/>
      <c r="CL118" s="112"/>
      <c r="CM118" s="112"/>
      <c r="CN118" s="112"/>
      <c r="CO118" s="112"/>
      <c r="CP118" s="112"/>
      <c r="CQ118" s="112"/>
      <c r="CR118" s="112"/>
      <c r="CS118" s="112"/>
      <c r="CT118" s="112"/>
      <c r="CU118" s="112"/>
      <c r="CV118" s="112"/>
      <c r="CW118" s="112"/>
      <c r="CX118" s="112"/>
      <c r="CY118" s="112"/>
      <c r="CZ118" s="112"/>
      <c r="DA118" s="112"/>
      <c r="DB118" s="112"/>
      <c r="DC118" s="112"/>
      <c r="DD118" s="112"/>
      <c r="DE118" s="112"/>
      <c r="DF118" s="112"/>
      <c r="DG118" s="112"/>
      <c r="DH118" s="112"/>
      <c r="DI118" s="112"/>
      <c r="DJ118" s="112"/>
      <c r="DK118" s="112"/>
      <c r="DL118" s="112"/>
      <c r="DM118" s="112"/>
      <c r="DN118" s="112"/>
      <c r="DO118" s="112"/>
      <c r="DP118" s="112"/>
      <c r="DQ118" s="112"/>
      <c r="DR118" s="112"/>
      <c r="DS118" s="112"/>
      <c r="DT118" s="112"/>
      <c r="DU118" s="112"/>
      <c r="DV118" s="112"/>
      <c r="DW118" s="112"/>
      <c r="DX118" s="112"/>
      <c r="DY118" s="112"/>
      <c r="DZ118" s="112"/>
      <c r="EA118" s="112"/>
      <c r="EB118" s="112"/>
      <c r="EC118" s="112"/>
      <c r="ED118" s="112"/>
      <c r="EE118" s="112"/>
      <c r="EF118" s="112"/>
      <c r="EG118" s="112"/>
      <c r="EH118" s="112"/>
      <c r="EI118" s="112"/>
      <c r="EJ118" s="112"/>
      <c r="EK118" s="112"/>
      <c r="EL118" s="112"/>
      <c r="EM118" s="112"/>
      <c r="EN118" s="112"/>
      <c r="EO118" s="112"/>
      <c r="EP118" s="112"/>
      <c r="EQ118" s="112"/>
      <c r="ER118" s="112"/>
      <c r="ES118" s="112"/>
      <c r="ET118" s="112"/>
      <c r="EU118" s="112"/>
      <c r="EV118" s="112"/>
      <c r="EW118" s="112"/>
      <c r="EX118" s="112"/>
    </row>
    <row r="119" s="131" customFormat="true" ht="15" hidden="false" customHeight="false" outlineLevel="0" collapsed="false">
      <c r="T119" s="114" t="n">
        <f aca="false">SQRT((IF($B$4, 9.807, 32.174)*T116)/(ABS(TAN(RADIANS(T120))-TAN(RADIANS(T118)))))/COS(RADIANS(T120))</f>
        <v>9.54893468356343</v>
      </c>
      <c r="U119" s="114" t="n">
        <f aca="false">SQRT((IF($B$4, 9.807, 32.174)*U116)/(ABS(TAN(RADIANS(U120))-TAN(RADIANS(U118)))))/COS(RADIANS(U120))</f>
        <v>9.54893468356343</v>
      </c>
      <c r="V119" s="114" t="n">
        <f aca="false">SQRT((IF($B$4, 9.807, 32.174)*V116)/(ABS(TAN(RADIANS(V120))-TAN(RADIANS(V118)))))/COS(RADIANS(V120))</f>
        <v>9.54893468356343</v>
      </c>
      <c r="W119" s="114" t="n">
        <f aca="false">SQRT((IF($B$4, 9.807, 32.174)*W116)/(ABS(TAN(RADIANS(W120))-TAN(RADIANS(W118)))))/COS(RADIANS(W120))</f>
        <v>9.54893468356343</v>
      </c>
      <c r="X119" s="114" t="n">
        <f aca="false">SQRT((IF($B$4, 9.807, 32.174)*X116)/(ABS(TAN(RADIANS(X120))-TAN(RADIANS(X118)))))/COS(RADIANS(X120))</f>
        <v>9.54893468356343</v>
      </c>
      <c r="Y119" s="114" t="n">
        <f aca="false">SQRT((IF($B$4, 9.807, 32.174)*Y116)/(ABS(TAN(RADIANS(Y120))-TAN(RADIANS(Y118)))))/COS(RADIANS(Y120))</f>
        <v>9.54893468356343</v>
      </c>
      <c r="Z119" s="114" t="n">
        <f aca="false">SQRT((IF($B$4, 9.807, 32.174)*Z116)/(ABS(TAN(RADIANS(Z120))-TAN(RADIANS(Z118)))))/COS(RADIANS(Z120))</f>
        <v>9.54893468356343</v>
      </c>
      <c r="AA119" s="114" t="n">
        <f aca="false">SQRT((IF($B$4, 9.807, 32.174)*AA116)/(ABS(TAN(RADIANS(AA120))-TAN(RADIANS(AA118)))))/COS(RADIANS(AA120))</f>
        <v>9.54893468356343</v>
      </c>
      <c r="AB119" s="114" t="n">
        <f aca="false">SQRT((IF($B$4, 9.807, 32.174)*AB116)/(ABS(TAN(RADIANS(AB120))-TAN(RADIANS(AB118)))))/COS(RADIANS(AB120))</f>
        <v>9.54893468356343</v>
      </c>
      <c r="AC119" s="114" t="n">
        <f aca="false">SQRT((IF($B$4, 9.807, 32.174)*AC116)/(ABS(TAN(RADIANS(AC120))-TAN(RADIANS(AC118)))))/COS(RADIANS(AC120))</f>
        <v>9.54893468356343</v>
      </c>
      <c r="AD119" s="114" t="n">
        <f aca="false">SQRT((IF($B$4, 9.807, 32.174)*AD116)/(ABS(TAN(RADIANS(AD120))-TAN(RADIANS(AD118)))))/COS(RADIANS(AD120))</f>
        <v>9.54893468356343</v>
      </c>
      <c r="AE119" s="114" t="n">
        <f aca="false">SQRT((IF($B$4, 9.807, 32.174)*AE116)/(ABS(TAN(RADIANS(AE120))-TAN(RADIANS(AE118)))))/COS(RADIANS(AE120))</f>
        <v>9.54893468356343</v>
      </c>
      <c r="AF119" s="114" t="n">
        <f aca="false">SQRT((IF($B$4, 9.807, 32.174)*AF116)/(ABS(TAN(RADIANS(AF120))-TAN(RADIANS(AF118)))))/COS(RADIANS(AF120))</f>
        <v>9.54893468356343</v>
      </c>
      <c r="AG119" s="114" t="n">
        <f aca="false">SQRT((IF($B$4, 9.807, 32.174)*AG116)/(ABS(TAN(RADIANS(AG120))-TAN(RADIANS(AG118)))))/COS(RADIANS(AG120))</f>
        <v>9.54893468356343</v>
      </c>
      <c r="AH119" s="114" t="n">
        <f aca="false">SQRT((IF($B$4, 9.807, 32.174)*AH116)/(ABS(TAN(RADIANS(AH120))-TAN(RADIANS(AH118)))))/COS(RADIANS(AH120))</f>
        <v>9.54893468356343</v>
      </c>
      <c r="AI119" s="114" t="n">
        <f aca="false">SQRT((IF($B$4, 9.807, 32.174)*AI116)/(ABS(TAN(RADIANS(AI120))-TAN(RADIANS(AI118)))))/COS(RADIANS(AI120))</f>
        <v>9.54893468356343</v>
      </c>
      <c r="AJ119" s="114" t="n">
        <f aca="false">SQRT((IF($B$4, 9.807, 32.174)*AJ116)/(ABS(TAN(RADIANS(AJ120))-TAN(RADIANS(AJ118)))))/COS(RADIANS(AJ120))</f>
        <v>9.54893468356343</v>
      </c>
      <c r="AK119" s="114" t="n">
        <f aca="false">SQRT((IF($B$4, 9.807, 32.174)*AK116)/(ABS(TAN(RADIANS(AK120))-TAN(RADIANS(AK118)))))/COS(RADIANS(AK120))</f>
        <v>9.54893468356343</v>
      </c>
      <c r="AL119" s="114" t="n">
        <f aca="false">SQRT((IF($B$4, 9.807, 32.174)*AL116)/(ABS(TAN(RADIANS(AL120))-TAN(RADIANS(AL118)))))/COS(RADIANS(AL120))</f>
        <v>9.54893468356343</v>
      </c>
      <c r="AM119" s="114" t="n">
        <f aca="false">SQRT((IF($B$4, 9.807, 32.174)*AM116)/(ABS(TAN(RADIANS(AM120))-TAN(RADIANS(AM118)))))/COS(RADIANS(AM120))</f>
        <v>9.54893468356343</v>
      </c>
      <c r="AN119" s="114" t="n">
        <f aca="false">SQRT((IF($B$4, 9.807, 32.174)*AN116)/(ABS(TAN(RADIANS(AN120))-TAN(RADIANS(AN118)))))/COS(RADIANS(AN120))</f>
        <v>9.54893468356343</v>
      </c>
      <c r="AO119" s="114" t="n">
        <f aca="false">SQRT((IF($B$4, 9.807, 32.174)*AO116)/(ABS(TAN(RADIANS(AO120))-TAN(RADIANS(AO118)))))/COS(RADIANS(AO120))</f>
        <v>9.54893468356343</v>
      </c>
      <c r="AP119" s="114" t="n">
        <f aca="false">SQRT((IF($B$4, 9.807, 32.174)*AP116)/(ABS(TAN(RADIANS(AP120))-TAN(RADIANS(AP118)))))/COS(RADIANS(AP120))</f>
        <v>9.54893468356343</v>
      </c>
      <c r="AQ119" s="114" t="n">
        <f aca="false">SQRT((IF($B$4, 9.807, 32.174)*AQ116)/(ABS(TAN(RADIANS(AQ120))-TAN(RADIANS(AQ118)))))/COS(RADIANS(AQ120))</f>
        <v>9.54893468356343</v>
      </c>
      <c r="AR119" s="114" t="n">
        <f aca="false">SQRT((IF($B$4, 9.807, 32.174)*AR116)/(ABS(TAN(RADIANS(AR120))-TAN(RADIANS(AR118)))))/COS(RADIANS(AR120))</f>
        <v>9.54893468356343</v>
      </c>
      <c r="AS119" s="114" t="n">
        <f aca="false">SQRT((IF($B$4, 9.807, 32.174)*AS116)/(ABS(TAN(RADIANS(AS120))-TAN(RADIANS(AS118)))))/COS(RADIANS(AS120))</f>
        <v>9.54893468356343</v>
      </c>
      <c r="AT119" s="114" t="n">
        <f aca="false">SQRT((IF($B$4, 9.807, 32.174)*AT116)/(ABS(TAN(RADIANS(AT120))-TAN(RADIANS(AT118)))))/COS(RADIANS(AT120))</f>
        <v>9.54893468356343</v>
      </c>
      <c r="AU119" s="112"/>
      <c r="AV119" s="112"/>
      <c r="AW119" s="112"/>
      <c r="AX119" s="112"/>
      <c r="AY119" s="112"/>
      <c r="AZ119" s="112"/>
      <c r="BA119" s="112"/>
      <c r="BB119" s="112"/>
      <c r="BC119" s="112"/>
      <c r="BD119" s="112"/>
      <c r="BE119" s="112"/>
      <c r="BF119" s="112"/>
      <c r="BG119" s="112"/>
      <c r="BH119" s="112"/>
      <c r="BI119" s="112"/>
      <c r="BJ119" s="112"/>
      <c r="BK119" s="112"/>
      <c r="BL119" s="112"/>
      <c r="BM119" s="112"/>
      <c r="BN119" s="112"/>
      <c r="BO119" s="112"/>
      <c r="BP119" s="112"/>
      <c r="BQ119" s="112"/>
      <c r="BR119" s="112"/>
      <c r="BS119" s="112"/>
      <c r="BT119" s="112"/>
      <c r="BU119" s="112"/>
      <c r="BV119" s="112"/>
      <c r="BW119" s="112"/>
      <c r="BX119" s="112"/>
      <c r="BY119" s="112"/>
      <c r="BZ119" s="112"/>
      <c r="CA119" s="112"/>
      <c r="CB119" s="112"/>
      <c r="CC119" s="112"/>
      <c r="CD119" s="112"/>
      <c r="CE119" s="112"/>
      <c r="CF119" s="112"/>
      <c r="CG119" s="112"/>
      <c r="CH119" s="112"/>
      <c r="CI119" s="112"/>
      <c r="CJ119" s="112"/>
      <c r="CK119" s="112"/>
      <c r="CL119" s="112"/>
      <c r="CM119" s="112"/>
      <c r="CN119" s="112"/>
      <c r="CO119" s="112"/>
      <c r="CP119" s="112"/>
      <c r="CQ119" s="112"/>
      <c r="CR119" s="112"/>
      <c r="CS119" s="112"/>
      <c r="CT119" s="112"/>
      <c r="CU119" s="112"/>
      <c r="CV119" s="112"/>
      <c r="CW119" s="112"/>
      <c r="CX119" s="112"/>
      <c r="CY119" s="112"/>
      <c r="CZ119" s="112"/>
      <c r="DA119" s="112"/>
      <c r="DB119" s="112"/>
      <c r="DC119" s="112"/>
      <c r="DD119" s="112"/>
      <c r="DE119" s="112"/>
      <c r="DF119" s="112"/>
      <c r="DG119" s="112"/>
      <c r="DH119" s="112"/>
      <c r="DI119" s="112"/>
      <c r="DJ119" s="112"/>
      <c r="DK119" s="112"/>
      <c r="DL119" s="112"/>
      <c r="DM119" s="112"/>
      <c r="DN119" s="112"/>
      <c r="DO119" s="112"/>
      <c r="DP119" s="112"/>
      <c r="DQ119" s="112"/>
      <c r="DR119" s="112"/>
      <c r="DS119" s="112"/>
      <c r="DT119" s="112"/>
      <c r="DU119" s="112"/>
      <c r="DV119" s="112"/>
      <c r="DW119" s="112"/>
      <c r="DX119" s="112"/>
      <c r="DY119" s="112"/>
      <c r="DZ119" s="112"/>
      <c r="EA119" s="112"/>
      <c r="EB119" s="112"/>
      <c r="EC119" s="112"/>
      <c r="ED119" s="112"/>
      <c r="EE119" s="112"/>
      <c r="EF119" s="112"/>
      <c r="EG119" s="112"/>
      <c r="EH119" s="112"/>
      <c r="EI119" s="112"/>
      <c r="EJ119" s="112"/>
      <c r="EK119" s="112"/>
      <c r="EL119" s="112"/>
      <c r="EM119" s="112"/>
      <c r="EN119" s="112"/>
      <c r="EO119" s="112"/>
      <c r="EP119" s="112"/>
      <c r="EQ119" s="112"/>
      <c r="ER119" s="112"/>
      <c r="ES119" s="112"/>
      <c r="ET119" s="112"/>
      <c r="EU119" s="112"/>
      <c r="EV119" s="112"/>
      <c r="EW119" s="112"/>
      <c r="EX119" s="112"/>
    </row>
    <row r="120" s="131" customFormat="true" ht="15" hidden="false" customHeight="false" outlineLevel="0" collapsed="false">
      <c r="T120" s="115" t="n">
        <f aca="false">DEGREES(ATAN(2*(T117-$T$5)/T116-TAN(RADIANS(T118))))</f>
        <v>82.759695716411</v>
      </c>
      <c r="U120" s="115" t="n">
        <f aca="false">DEGREES(ATAN(2*(U117-$T$5)/U116-TAN(RADIANS(U118))))</f>
        <v>82.759695716411</v>
      </c>
      <c r="V120" s="115" t="n">
        <f aca="false">DEGREES(ATAN(2*(V117-$T$5)/V116-TAN(RADIANS(V118))))</f>
        <v>82.759695716411</v>
      </c>
      <c r="W120" s="115" t="n">
        <f aca="false">DEGREES(ATAN(2*(W117-$T$5)/W116-TAN(RADIANS(W118))))</f>
        <v>82.759695716411</v>
      </c>
      <c r="X120" s="115" t="n">
        <f aca="false">DEGREES(ATAN(2*(X117-$T$5)/X116-TAN(RADIANS(X118))))</f>
        <v>82.759695716411</v>
      </c>
      <c r="Y120" s="115" t="n">
        <f aca="false">DEGREES(ATAN(2*(Y117-$T$5)/Y116-TAN(RADIANS(Y118))))</f>
        <v>82.759695716411</v>
      </c>
      <c r="Z120" s="115" t="n">
        <f aca="false">DEGREES(ATAN(2*(Z117-$T$5)/Z116-TAN(RADIANS(Z118))))</f>
        <v>82.759695716411</v>
      </c>
      <c r="AA120" s="115" t="n">
        <f aca="false">DEGREES(ATAN(2*(AA117-$T$5)/AA116-TAN(RADIANS(AA118))))</f>
        <v>82.759695716411</v>
      </c>
      <c r="AB120" s="115" t="n">
        <f aca="false">DEGREES(ATAN(2*(AB117-$T$5)/AB116-TAN(RADIANS(AB118))))</f>
        <v>82.759695716411</v>
      </c>
      <c r="AC120" s="115" t="n">
        <f aca="false">DEGREES(ATAN(2*(AC117-$T$5)/AC116-TAN(RADIANS(AC118))))</f>
        <v>82.759695716411</v>
      </c>
      <c r="AD120" s="115" t="n">
        <f aca="false">DEGREES(ATAN(2*(AD117-$T$5)/AD116-TAN(RADIANS(AD118))))</f>
        <v>82.759695716411</v>
      </c>
      <c r="AE120" s="115" t="n">
        <f aca="false">DEGREES(ATAN(2*(AE117-$T$5)/AE116-TAN(RADIANS(AE118))))</f>
        <v>82.759695716411</v>
      </c>
      <c r="AF120" s="115" t="n">
        <f aca="false">DEGREES(ATAN(2*(AF117-$T$5)/AF116-TAN(RADIANS(AF118))))</f>
        <v>82.759695716411</v>
      </c>
      <c r="AG120" s="115" t="n">
        <f aca="false">DEGREES(ATAN(2*(AG117-$T$5)/AG116-TAN(RADIANS(AG118))))</f>
        <v>82.759695716411</v>
      </c>
      <c r="AH120" s="115" t="n">
        <f aca="false">DEGREES(ATAN(2*(AH117-$T$5)/AH116-TAN(RADIANS(AH118))))</f>
        <v>82.759695716411</v>
      </c>
      <c r="AI120" s="115" t="n">
        <f aca="false">DEGREES(ATAN(2*(AI117-$T$5)/AI116-TAN(RADIANS(AI118))))</f>
        <v>82.759695716411</v>
      </c>
      <c r="AJ120" s="115" t="n">
        <f aca="false">DEGREES(ATAN(2*(AJ117-$T$5)/AJ116-TAN(RADIANS(AJ118))))</f>
        <v>82.759695716411</v>
      </c>
      <c r="AK120" s="115" t="n">
        <f aca="false">DEGREES(ATAN(2*(AK117-$T$5)/AK116-TAN(RADIANS(AK118))))</f>
        <v>82.759695716411</v>
      </c>
      <c r="AL120" s="115" t="n">
        <f aca="false">DEGREES(ATAN(2*(AL117-$T$5)/AL116-TAN(RADIANS(AL118))))</f>
        <v>82.759695716411</v>
      </c>
      <c r="AM120" s="115" t="n">
        <f aca="false">DEGREES(ATAN(2*(AM117-$T$5)/AM116-TAN(RADIANS(AM118))))</f>
        <v>82.759695716411</v>
      </c>
      <c r="AN120" s="115" t="n">
        <f aca="false">DEGREES(ATAN(2*(AN117-$T$5)/AN116-TAN(RADIANS(AN118))))</f>
        <v>82.759695716411</v>
      </c>
      <c r="AO120" s="115" t="n">
        <f aca="false">DEGREES(ATAN(2*(AO117-$T$5)/AO116-TAN(RADIANS(AO118))))</f>
        <v>82.759695716411</v>
      </c>
      <c r="AP120" s="115" t="n">
        <f aca="false">DEGREES(ATAN(2*(AP117-$T$5)/AP116-TAN(RADIANS(AP118))))</f>
        <v>82.759695716411</v>
      </c>
      <c r="AQ120" s="115" t="n">
        <f aca="false">DEGREES(ATAN(2*(AQ117-$T$5)/AQ116-TAN(RADIANS(AQ118))))</f>
        <v>82.759695716411</v>
      </c>
      <c r="AR120" s="115" t="n">
        <f aca="false">DEGREES(ATAN(2*(AR117-$T$5)/AR116-TAN(RADIANS(AR118))))</f>
        <v>82.759695716411</v>
      </c>
      <c r="AS120" s="115" t="n">
        <f aca="false">DEGREES(ATAN(2*(AS117-$T$5)/AS116-TAN(RADIANS(AS118))))</f>
        <v>82.759695716411</v>
      </c>
      <c r="AT120" s="115" t="n">
        <f aca="false">DEGREES(ATAN(2*(AT117-$T$5)/AT116-TAN(RADIANS(AT118))))</f>
        <v>82.759695716411</v>
      </c>
      <c r="AU120" s="112"/>
      <c r="AV120" s="112"/>
      <c r="AW120" s="112"/>
      <c r="AX120" s="112"/>
      <c r="AY120" s="112"/>
      <c r="AZ120" s="112"/>
      <c r="BA120" s="112"/>
      <c r="BB120" s="112"/>
      <c r="BC120" s="112"/>
      <c r="BD120" s="112"/>
      <c r="BE120" s="112"/>
      <c r="BF120" s="112"/>
      <c r="BG120" s="112"/>
      <c r="BH120" s="112"/>
      <c r="BI120" s="112"/>
      <c r="BJ120" s="112"/>
      <c r="BK120" s="112"/>
      <c r="BL120" s="112"/>
      <c r="BM120" s="112"/>
      <c r="BN120" s="112"/>
      <c r="BO120" s="112"/>
      <c r="BP120" s="112"/>
      <c r="BQ120" s="112"/>
      <c r="BR120" s="112"/>
      <c r="BS120" s="112"/>
      <c r="BT120" s="112"/>
      <c r="BU120" s="112"/>
      <c r="BV120" s="112"/>
      <c r="BW120" s="112"/>
      <c r="BX120" s="112"/>
      <c r="BY120" s="112"/>
      <c r="BZ120" s="112"/>
      <c r="CA120" s="112"/>
      <c r="CB120" s="112"/>
      <c r="CC120" s="112"/>
      <c r="CD120" s="112"/>
      <c r="CE120" s="112"/>
      <c r="CF120" s="112"/>
      <c r="CG120" s="112"/>
      <c r="CH120" s="112"/>
      <c r="CI120" s="112"/>
      <c r="CJ120" s="112"/>
      <c r="CK120" s="112"/>
      <c r="CL120" s="112"/>
      <c r="CM120" s="112"/>
      <c r="CN120" s="112"/>
      <c r="CO120" s="112"/>
      <c r="CP120" s="112"/>
      <c r="CQ120" s="112"/>
      <c r="CR120" s="112"/>
      <c r="CS120" s="112"/>
      <c r="CT120" s="112"/>
      <c r="CU120" s="112"/>
      <c r="CV120" s="112"/>
      <c r="CW120" s="112"/>
      <c r="CX120" s="112"/>
      <c r="CY120" s="112"/>
      <c r="CZ120" s="112"/>
      <c r="DA120" s="112"/>
      <c r="DB120" s="112"/>
      <c r="DC120" s="112"/>
      <c r="DD120" s="112"/>
      <c r="DE120" s="112"/>
      <c r="DF120" s="112"/>
      <c r="DG120" s="112"/>
      <c r="DH120" s="112"/>
      <c r="DI120" s="112"/>
      <c r="DJ120" s="112"/>
      <c r="DK120" s="112"/>
      <c r="DL120" s="112"/>
      <c r="DM120" s="112"/>
      <c r="DN120" s="112"/>
      <c r="DO120" s="112"/>
      <c r="DP120" s="112"/>
      <c r="DQ120" s="112"/>
      <c r="DR120" s="112"/>
      <c r="DS120" s="112"/>
      <c r="DT120" s="112"/>
      <c r="DU120" s="112"/>
      <c r="DV120" s="112"/>
      <c r="DW120" s="112"/>
      <c r="DX120" s="112"/>
      <c r="DY120" s="112"/>
      <c r="DZ120" s="112"/>
      <c r="EA120" s="112"/>
      <c r="EB120" s="112"/>
      <c r="EC120" s="112"/>
      <c r="ED120" s="112"/>
      <c r="EE120" s="112"/>
      <c r="EF120" s="112"/>
      <c r="EG120" s="112"/>
      <c r="EH120" s="112"/>
      <c r="EI120" s="112"/>
      <c r="EJ120" s="112"/>
      <c r="EK120" s="112"/>
      <c r="EL120" s="112"/>
      <c r="EM120" s="112"/>
      <c r="EN120" s="112"/>
      <c r="EO120" s="112"/>
      <c r="EP120" s="112"/>
      <c r="EQ120" s="112"/>
      <c r="ER120" s="112"/>
      <c r="ES120" s="112"/>
      <c r="ET120" s="112"/>
      <c r="EU120" s="112"/>
      <c r="EV120" s="112"/>
      <c r="EW120" s="112"/>
      <c r="EX120" s="112"/>
    </row>
  </sheetData>
  <sheetProtection sheet="true" objects="true" scenarios="true" formatCells="false" formatColumns="false" formatRows="false"/>
  <mergeCells count="6">
    <mergeCell ref="I3:J3"/>
    <mergeCell ref="C6:D6"/>
    <mergeCell ref="F6:G6"/>
    <mergeCell ref="C23:G26"/>
    <mergeCell ref="C28:G30"/>
    <mergeCell ref="C32:G35"/>
  </mergeCells>
  <conditionalFormatting sqref="G8 D8 D10">
    <cfRule type="cellIs" priority="2" operator="lessThanOrEqual" aboveAverage="0" equalAverage="0" bottom="0" percent="0" rank="0" text="" dxfId="0">
      <formula>0</formula>
    </cfRule>
  </conditionalFormatting>
  <conditionalFormatting sqref="G7 G9:G11 G13 D7 D9 D11 D13 D15:D16 G15:G16">
    <cfRule type="cellIs" priority="3" operator="lessThan" aboveAverage="0" equalAverage="0" bottom="0" percent="0" rank="0" text="" dxfId="1">
      <formula>0</formula>
    </cfRule>
  </conditionalFormatting>
  <conditionalFormatting sqref="G12">
    <cfRule type="expression" priority="4" aboveAverage="0" equalAverage="0" bottom="0" percent="0" rank="0" text="" dxfId="2">
      <formula>OR($G$12+$G$13&gt;=90, $G$12-$G$13&lt;=-90)</formula>
    </cfRule>
  </conditionalFormatting>
  <conditionalFormatting sqref="D7:D13 G7:G13 D15:D16 G15:G16">
    <cfRule type="expression" priority="5" aboveAverage="0" equalAverage="0" bottom="0" percent="0" rank="0" text="" dxfId="3">
      <formula>ISTEXT(D7)</formula>
    </cfRule>
  </conditionalFormatting>
  <conditionalFormatting sqref="D7:D13 G7:G13 I3">
    <cfRule type="expression" priority="6" aboveAverage="0" equalAverage="0" bottom="0" percent="0" rank="0" text="" dxfId="4">
      <formula>LEN(TRIM(D7))=0</formula>
    </cfRule>
  </conditionalFormatting>
  <conditionalFormatting sqref="D12">
    <cfRule type="expression" priority="7" aboveAverage="0" equalAverage="0" bottom="0" percent="0" rank="0" text="" dxfId="5">
      <formula>OR($D$12+$D$13&gt;=90, $D$12-$D$13&lt;=-90)</formula>
    </cfRule>
  </conditionalFormatting>
  <conditionalFormatting sqref="D18:D19">
    <cfRule type="cellIs" priority="8" operator="lessThanOrEqual" aboveAverage="0" equalAverage="0" bottom="0" percent="0" rank="0" text="" dxfId="6">
      <formula>0</formula>
    </cfRule>
  </conditionalFormatting>
  <conditionalFormatting sqref="D21">
    <cfRule type="cellIs" priority="9" operator="lessThanOrEqual" aboveAverage="0" equalAverage="0" bottom="0" percent="0" rank="0" text="" dxfId="7">
      <formula>0</formula>
    </cfRule>
  </conditionalFormatting>
  <conditionalFormatting sqref="G9">
    <cfRule type="cellIs" priority="10" operator="greaterThanOrEqual" aboveAverage="0" equalAverage="0" bottom="0" percent="0" rank="0" text="" dxfId="8">
      <formula>$G$8</formula>
    </cfRule>
  </conditionalFormatting>
  <conditionalFormatting sqref="D9">
    <cfRule type="cellIs" priority="11" operator="greaterThanOrEqual" aboveAverage="0" equalAverage="0" bottom="0" percent="0" rank="0" text="" dxfId="9">
      <formula>$D$8</formula>
    </cfRule>
  </conditionalFormatting>
  <conditionalFormatting sqref="D11">
    <cfRule type="cellIs" priority="12" operator="greaterThanOrEqual" aboveAverage="0" equalAverage="0" bottom="0" percent="0" rank="0" text="" dxfId="10">
      <formula>1</formula>
    </cfRule>
  </conditionalFormatting>
  <dataValidations count="1">
    <dataValidation allowBlank="true" operator="between" showDropDown="false" showErrorMessage="true" showInputMessage="true" sqref="I3" type="list">
      <formula1>"Forward,Reverse"</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B2:S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18.85"/>
    <col collapsed="false" customWidth="true" hidden="false" outlineLevel="0" max="4" min="4" style="18" width="9.42"/>
    <col collapsed="false" customWidth="true" hidden="false" outlineLevel="0" max="5" min="5" style="18" width="13.01"/>
    <col collapsed="false" customWidth="true" hidden="false" outlineLevel="0" max="6" min="6" style="18" width="17.86"/>
    <col collapsed="false" customWidth="true" hidden="false" outlineLevel="0" max="7" min="7" style="18" width="9.14"/>
    <col collapsed="false" customWidth="true" hidden="false" outlineLevel="0" max="8" min="8" style="18" width="12.57"/>
    <col collapsed="false" customWidth="true" hidden="false" outlineLevel="0" max="9" min="9" style="18" width="19.42"/>
    <col collapsed="false" customWidth="true" hidden="false" outlineLevel="0" max="12" min="10" style="18" width="9.14"/>
    <col collapsed="false" customWidth="false" hidden="true" outlineLevel="0" max="19" min="13" style="18" width="11.52"/>
    <col collapsed="false" customWidth="true" hidden="false" outlineLevel="0" max="1025" min="20" style="18" width="9.14"/>
  </cols>
  <sheetData>
    <row r="2" customFormat="false" ht="31.15" hidden="false" customHeight="false" outlineLevel="0" collapsed="false">
      <c r="C2" s="19" t="s">
        <v>134</v>
      </c>
    </row>
    <row r="4" customFormat="false" ht="14.45" hidden="false" customHeight="false" outlineLevel="0" collapsed="false">
      <c r="B4" s="20" t="n">
        <f aca="false">TRUE()</f>
        <v>1</v>
      </c>
      <c r="C4" s="18" t="s">
        <v>40</v>
      </c>
    </row>
    <row r="6" customFormat="false" ht="18" hidden="false" customHeight="false" outlineLevel="0" collapsed="false">
      <c r="F6" s="101" t="s">
        <v>87</v>
      </c>
      <c r="G6" s="101"/>
      <c r="I6" s="101" t="s">
        <v>88</v>
      </c>
      <c r="J6" s="101"/>
    </row>
    <row r="7" customFormat="false" ht="14.45" hidden="false" customHeight="false" outlineLevel="0" collapsed="false">
      <c r="C7" s="65" t="s">
        <v>135</v>
      </c>
      <c r="D7" s="102" t="s">
        <v>136</v>
      </c>
      <c r="F7" s="65" t="s">
        <v>137</v>
      </c>
      <c r="G7" s="47" t="n">
        <v>50</v>
      </c>
      <c r="I7" s="65" t="str">
        <f aca="false">"Estimated Dist. (" &amp; IF($B$4, "mm", "in") &amp; ")"</f>
        <v>Estimated Dist. (mm)</v>
      </c>
      <c r="J7" s="96" t="n">
        <v>70</v>
      </c>
      <c r="M7" s="138" t="s">
        <v>138</v>
      </c>
      <c r="N7" s="139" t="s">
        <v>139</v>
      </c>
      <c r="O7" s="138" t="s">
        <v>140</v>
      </c>
      <c r="P7" s="138" t="s">
        <v>141</v>
      </c>
      <c r="Q7" s="138" t="s">
        <v>142</v>
      </c>
      <c r="R7" s="138" t="s">
        <v>143</v>
      </c>
      <c r="S7" s="140" t="s">
        <v>144</v>
      </c>
    </row>
    <row r="8" customFormat="false" ht="14.45" hidden="false" customHeight="false" outlineLevel="0" collapsed="false">
      <c r="I8" s="65" t="s">
        <v>145</v>
      </c>
      <c r="J8" s="141" t="s">
        <v>146</v>
      </c>
      <c r="M8" s="142" t="n">
        <f aca="false">G7*$D$17/2</f>
        <v>238.25</v>
      </c>
      <c r="N8" s="142" t="n">
        <f aca="false">ACOS((D$13-D$10)/(2*M8))</f>
        <v>1.55169657237801</v>
      </c>
      <c r="O8" s="142" t="n">
        <f aca="false">SQRT(M8^2-(D$10/2-D$13/2)^2)</f>
        <v>238.206544447362</v>
      </c>
      <c r="P8" s="142" t="n">
        <f aca="false">(2*O8+D$9*$D$17*N8/PI()+D$12*$D$17*(PI()-N8)/PI())/$D$17</f>
        <v>63.5091191837397</v>
      </c>
      <c r="Q8" s="142" t="n">
        <f aca="false">G7</f>
        <v>50</v>
      </c>
      <c r="R8" s="142" t="n">
        <f aca="false">P8-Q8</f>
        <v>13.5091191837397</v>
      </c>
      <c r="S8" s="142"/>
    </row>
    <row r="9" customFormat="false" ht="14.45" hidden="false" customHeight="false" outlineLevel="0" collapsed="false">
      <c r="C9" s="65" t="s">
        <v>147</v>
      </c>
      <c r="D9" s="47" t="n">
        <v>12</v>
      </c>
      <c r="I9" s="65" t="s">
        <v>148</v>
      </c>
      <c r="J9" s="47" t="n">
        <v>2</v>
      </c>
      <c r="M9" s="142" t="n">
        <f aca="false">IF(Q8&gt;P8, M8+$D$17/10, M8-$D$17/10)</f>
        <v>237.297</v>
      </c>
      <c r="N9" s="142" t="n">
        <f aca="false">ACOS((D$13-D$10)/(2*M9))</f>
        <v>1.55161985715189</v>
      </c>
      <c r="O9" s="142" t="n">
        <f aca="false">SQRT(M9^2-(D$10/2-D$13/2)^2)</f>
        <v>237.253369895041</v>
      </c>
      <c r="P9" s="142" t="n">
        <f aca="false">(2*O9+D$9*$D$17*N9/PI()+D$12*$D$17*(PI()-N9)/PI())/$D$17</f>
        <v>63.3091558092078</v>
      </c>
      <c r="Q9" s="142" t="n">
        <f aca="false">Q8</f>
        <v>50</v>
      </c>
      <c r="R9" s="142" t="n">
        <f aca="false">P9-Q9</f>
        <v>13.3091558092078</v>
      </c>
      <c r="S9" s="142" t="n">
        <f aca="false">(R9-R8)/(M9-M8)</f>
        <v>0.209825156906458</v>
      </c>
    </row>
    <row r="10" customFormat="false" ht="14.45" hidden="false" customHeight="false" outlineLevel="0" collapsed="false">
      <c r="C10" s="65" t="str">
        <f aca="false">"Pitch Diam. 1 (" &amp; IF($B$4, "mm", "in") &amp; ")"</f>
        <v>Pitch Diam. 1 (mm)</v>
      </c>
      <c r="D10" s="67" t="n">
        <f aca="false">$D$17*D9/PI()</f>
        <v>36.4019185839783</v>
      </c>
      <c r="M10" s="142" t="n">
        <f aca="false">IF(ABS(R9)&lt;0.000000000001,M9,M9-R9/S9)</f>
        <v>173.867256848938</v>
      </c>
      <c r="N10" s="142" t="n">
        <f aca="false">ACOS((D$13-D$10)/(2*M10))</f>
        <v>1.54462256939834</v>
      </c>
      <c r="O10" s="142" t="n">
        <f aca="false">SQRT(M10^2-(D$10/2-D$13/2)^2)</f>
        <v>173.807705012545</v>
      </c>
      <c r="P10" s="142" t="n">
        <f aca="false">(2*O10+D$9*$D$17*N10/PI()+D$12*$D$17*(PI()-N10)/PI())/$D$17</f>
        <v>50.0009028091854</v>
      </c>
      <c r="Q10" s="142" t="n">
        <f aca="false">Q9</f>
        <v>50</v>
      </c>
      <c r="R10" s="142" t="n">
        <f aca="false">P10-Q10</f>
        <v>0.000902809185397757</v>
      </c>
      <c r="S10" s="142" t="n">
        <f aca="false">(R10-R9)/(M10-M9)</f>
        <v>0.209810923691241</v>
      </c>
    </row>
    <row r="11" customFormat="false" ht="14.45" hidden="false" customHeight="false" outlineLevel="0" collapsed="false">
      <c r="F11" s="65" t="str">
        <f aca="false">"C-C Dist. (" &amp; IF($B$4, "mm", "in") &amp; ")"</f>
        <v>C-C Dist. (mm)</v>
      </c>
      <c r="G11" s="67" t="n">
        <f aca="false">M14+D20</f>
        <v>174.272953489176</v>
      </c>
      <c r="I11" s="65" t="str">
        <f aca="false">"Actual Dist. (" &amp; IF($B$4, "mm", "in") &amp; ")"</f>
        <v>Actual Dist. (mm)</v>
      </c>
      <c r="J11" s="67" t="n">
        <f aca="false">M22+D20</f>
        <v>69.352285889878</v>
      </c>
      <c r="M11" s="142" t="n">
        <f aca="false">IF(ABS(R10)&lt;0.000000000001,M10,M10-R10/S10)</f>
        <v>173.862953883347</v>
      </c>
      <c r="N11" s="142" t="n">
        <f aca="false">ACOS((D$13-D$10)/(2*M11))</f>
        <v>1.54462192147133</v>
      </c>
      <c r="O11" s="142" t="n">
        <f aca="false">SQRT(M11^2-(D$10/2-D$13/2)^2)</f>
        <v>173.803400572589</v>
      </c>
      <c r="P11" s="142" t="n">
        <f aca="false">(2*O11+D$9*$D$17*N11/PI()+D$12*$D$17*(PI()-N11)/PI())/$D$17</f>
        <v>50.0000000826938</v>
      </c>
      <c r="Q11" s="142" t="n">
        <f aca="false">Q10</f>
        <v>50</v>
      </c>
      <c r="R11" s="142" t="n">
        <f aca="false">P11-Q11</f>
        <v>8.26937949227613E-008</v>
      </c>
      <c r="S11" s="142" t="n">
        <f aca="false">(R11-R10)/(M11-M10)</f>
        <v>0.209791705830723</v>
      </c>
    </row>
    <row r="12" customFormat="false" ht="14.45" hidden="false" customHeight="false" outlineLevel="0" collapsed="false">
      <c r="C12" s="65" t="s">
        <v>149</v>
      </c>
      <c r="D12" s="47" t="n">
        <v>15</v>
      </c>
      <c r="F12" s="65" t="str">
        <f aca="false">"Chain Length (" &amp; IF($B$4, "mm", "in") &amp; ")"</f>
        <v>Chain Length (mm)</v>
      </c>
      <c r="G12" s="67" t="n">
        <f aca="false">G7*$D$17</f>
        <v>476.5</v>
      </c>
      <c r="I12" s="65" t="str">
        <f aca="false">"Chain Length (" &amp; IF($B$4, "mm", "in") &amp; ")"</f>
        <v>Chain Length (mm)</v>
      </c>
      <c r="J12" s="67" t="n">
        <f aca="false">J13*D17</f>
        <v>266.84</v>
      </c>
      <c r="M12" s="142" t="n">
        <f aca="false">IF(ABS(R11)&lt;0.000000000001,M11,M11-R11/S11)</f>
        <v>173.862953489176</v>
      </c>
      <c r="N12" s="142" t="n">
        <f aca="false">ACOS((D$13-D$10)/(2*M12))</f>
        <v>1.54462192141198</v>
      </c>
      <c r="O12" s="142" t="n">
        <f aca="false">SQRT(M12^2-(D$10/2-D$13/2)^2)</f>
        <v>173.803400178283</v>
      </c>
      <c r="P12" s="142" t="n">
        <f aca="false">(2*O12+D$9*$D$17*N12/PI()+D$12*$D$17*(PI()-N12)/PI())/$D$17</f>
        <v>50</v>
      </c>
      <c r="Q12" s="142" t="n">
        <f aca="false">Q11</f>
        <v>50</v>
      </c>
      <c r="R12" s="142" t="n">
        <f aca="false">P12-Q12</f>
        <v>0</v>
      </c>
      <c r="S12" s="142" t="n">
        <f aca="false">(R12-R11)/(M12-M11)</f>
        <v>0.209791708742959</v>
      </c>
    </row>
    <row r="13" customFormat="false" ht="14.45" hidden="false" customHeight="false" outlineLevel="0" collapsed="false">
      <c r="C13" s="65" t="str">
        <f aca="false">"Pitch Diam. 2 (" &amp; IF($B$4, "mm", "in") &amp; ")"</f>
        <v>Pitch Diam. 2 (mm)</v>
      </c>
      <c r="D13" s="67" t="n">
        <f aca="false">$D$17*D12/PI()</f>
        <v>45.5023982299729</v>
      </c>
      <c r="F13" s="65" t="str">
        <f aca="false">"Clearance (" &amp; IF($B$4, "mm", "in") &amp; ")"</f>
        <v>Clearance (mm)</v>
      </c>
      <c r="G13" s="67" t="n">
        <f aca="false">G11 - ($D$10+$D$13)/2</f>
        <v>133.3207950822</v>
      </c>
      <c r="I13" s="65" t="s">
        <v>137</v>
      </c>
      <c r="J13" s="107" t="n">
        <f aca="false">Q16</f>
        <v>28</v>
      </c>
      <c r="M13" s="142" t="n">
        <f aca="false">IF(ABS(R12)&lt;0.000000000001,M12,M12-R12/S12)</f>
        <v>173.862953489176</v>
      </c>
      <c r="N13" s="142" t="n">
        <f aca="false">ACOS((D$13-D$10)/(2*M13))</f>
        <v>1.54462192141198</v>
      </c>
      <c r="O13" s="142" t="n">
        <f aca="false">SQRT(M13^2-(D$10/2-D$13/2)^2)</f>
        <v>173.803400178283</v>
      </c>
      <c r="P13" s="142" t="n">
        <f aca="false">(2*O13+D$9*$D$17*N13/PI()+D$12*$D$17*(PI()-N13)/PI())/$D$17</f>
        <v>50</v>
      </c>
      <c r="Q13" s="142" t="n">
        <f aca="false">Q12</f>
        <v>50</v>
      </c>
      <c r="R13" s="142" t="n">
        <f aca="false">P13-Q13</f>
        <v>0</v>
      </c>
      <c r="S13" s="142" t="e">
        <f aca="false">(R13-R12)/(M13-M12)</f>
        <v>#DIV/0!</v>
      </c>
    </row>
    <row r="14" customFormat="false" ht="14.45" hidden="false" customHeight="false" outlineLevel="0" collapsed="false">
      <c r="I14" s="65" t="str">
        <f aca="false">"Clearance (" &amp; IF($B$4, "mm", "in") &amp; ")"</f>
        <v>Clearance (mm)</v>
      </c>
      <c r="J14" s="67" t="n">
        <f aca="false">J11 - ($D$10+$D$13)/2</f>
        <v>28.4001274829024</v>
      </c>
      <c r="M14" s="142" t="n">
        <f aca="false">IF(ABS(R13)&lt;0.000000000001,M13,M13-R13/S13)</f>
        <v>173.862953489176</v>
      </c>
      <c r="N14" s="142" t="n">
        <f aca="false">ACOS((D$13-D$10)/(2*M14))</f>
        <v>1.54462192141198</v>
      </c>
      <c r="O14" s="142" t="n">
        <f aca="false">SQRT(M14^2-(D$10/2-D$13/2)^2)</f>
        <v>173.803400178283</v>
      </c>
      <c r="P14" s="142" t="n">
        <f aca="false">(2*O14+D$9*$D$17*N14/PI()+D$12*$D$17*(PI()-N14)/PI())/$D$17</f>
        <v>50</v>
      </c>
      <c r="Q14" s="142" t="n">
        <f aca="false">Q13</f>
        <v>50</v>
      </c>
      <c r="R14" s="142" t="n">
        <f aca="false">P14-Q14</f>
        <v>0</v>
      </c>
      <c r="S14" s="142" t="e">
        <f aca="false">(R14-R13)/(M14-M13)</f>
        <v>#DIV/0!</v>
      </c>
    </row>
    <row r="15" customFormat="false" ht="14.45" hidden="false" customHeight="false" outlineLevel="0" collapsed="false">
      <c r="M15" s="143"/>
      <c r="N15" s="143"/>
      <c r="O15" s="143"/>
      <c r="P15" s="143"/>
      <c r="Q15" s="143"/>
      <c r="R15" s="143"/>
      <c r="S15" s="143"/>
    </row>
    <row r="16" customFormat="false" ht="14.45" hidden="false" customHeight="false" outlineLevel="0" collapsed="false">
      <c r="C16" s="144" t="s">
        <v>150</v>
      </c>
      <c r="D16" s="144"/>
      <c r="M16" s="145" t="n">
        <f aca="false">J7-D20</f>
        <v>69.59</v>
      </c>
      <c r="N16" s="142" t="n">
        <f aca="false">ACOS((D$13-D$10)/(2*M16))</f>
        <v>1.50536324140453</v>
      </c>
      <c r="O16" s="142" t="n">
        <f aca="false">SQRT(M16^2-(D$10/2-D$13/2)^2)</f>
        <v>69.4410787470443</v>
      </c>
      <c r="P16" s="142" t="n">
        <f aca="false">(2*O16+D$9*$D$17*N16/PI()+D$12*$D$17*(PI()-N16)/PI())/$D$17</f>
        <v>28.1356379806777</v>
      </c>
      <c r="Q16" s="142" t="n">
        <f aca="false">IF(J8="Nearest", MROUND(P16, J9), IF(J8="Up",CEILING(P16, J9),FLOOR(P16, J9)))</f>
        <v>28</v>
      </c>
      <c r="R16" s="142" t="n">
        <f aca="false">P16-Q16</f>
        <v>0.135637980677679</v>
      </c>
      <c r="S16" s="142"/>
    </row>
    <row r="17" customFormat="false" ht="14.45" hidden="false" customHeight="false" outlineLevel="0" collapsed="false">
      <c r="C17" s="146" t="str">
        <f aca="false">"Pitch (" &amp; IF($B$4, "mm", "in") &amp; ")"</f>
        <v>Pitch (mm)</v>
      </c>
      <c r="D17" s="147" t="n">
        <f aca="false">VLOOKUP($D$7, ChainBeltSpecs, 2, 0) / IF($B$4, 1, 25.4)</f>
        <v>9.53</v>
      </c>
      <c r="M17" s="142" t="n">
        <f aca="false">IF(Q16&gt;P16, M16+$D$17/10, M16-$D$17/10)</f>
        <v>68.637</v>
      </c>
      <c r="N17" s="142" t="n">
        <f aca="false">ACOS((D$13-D$10)/(2*M17))</f>
        <v>1.50445340053346</v>
      </c>
      <c r="O17" s="142" t="n">
        <f aca="false">SQRT(M17^2-(D$10/2-D$13/2)^2)</f>
        <v>68.4860065017169</v>
      </c>
      <c r="P17" s="142" t="n">
        <f aca="false">(2*O17+D$9*$D$17*N17/PI()+D$12*$D$17*(PI()-N17)/PI())/$D$17</f>
        <v>27.936071925869</v>
      </c>
      <c r="Q17" s="142" t="n">
        <f aca="false">Q16</f>
        <v>28</v>
      </c>
      <c r="R17" s="142" t="n">
        <f aca="false">P17-Q17</f>
        <v>-0.0639280741309811</v>
      </c>
      <c r="S17" s="142" t="n">
        <f aca="false">(R17-R16)/(M17-M16)</f>
        <v>0.209408242191668</v>
      </c>
    </row>
    <row r="18" customFormat="false" ht="14.45" hidden="false" customHeight="false" outlineLevel="0" collapsed="false">
      <c r="C18" s="146" t="str">
        <f aca="false">"Width (" &amp; IF($B$4, "mm", "in") &amp; ")"</f>
        <v>Width (mm)</v>
      </c>
      <c r="D18" s="147" t="n">
        <f aca="false">VLOOKUP($D$7, ChainBeltSpecs, 3, 0) / IF($B$4, 1, 25.4)</f>
        <v>11.76</v>
      </c>
      <c r="M18" s="142" t="n">
        <f aca="false">IF(ABS(R17)&lt;0.000000000001,M17,M17-R17/S17)</f>
        <v>68.942279646407</v>
      </c>
      <c r="N18" s="142" t="n">
        <f aca="false">ACOS((D$13-D$10)/(2*M18))</f>
        <v>1.50474759900788</v>
      </c>
      <c r="O18" s="142" t="n">
        <f aca="false">SQRT(M18^2-(D$10/2-D$13/2)^2)</f>
        <v>68.7919562187077</v>
      </c>
      <c r="P18" s="142" t="n">
        <f aca="false">(2*O18+D$9*$D$17*N18/PI()+D$12*$D$17*(PI()-N18)/PI())/$D$17</f>
        <v>27.9999986925797</v>
      </c>
      <c r="Q18" s="142" t="n">
        <f aca="false">Q17</f>
        <v>28</v>
      </c>
      <c r="R18" s="142" t="n">
        <f aca="false">P18-Q18</f>
        <v>-1.30742026271946E-006</v>
      </c>
      <c r="S18" s="142" t="n">
        <f aca="false">(R18-R17)/(M18-M17)</f>
        <v>0.209403959494547</v>
      </c>
    </row>
    <row r="19" customFormat="false" ht="14.45" hidden="false" customHeight="false" outlineLevel="0" collapsed="false">
      <c r="C19" s="146" t="str">
        <f aca="false">"Thickness (" &amp; IF($B$4, "mm", "in") &amp; ")"</f>
        <v>Thickness (mm)</v>
      </c>
      <c r="D19" s="147" t="n">
        <f aca="false">VLOOKUP($D$7, ChainBeltSpecs, 4, 0) / IF($B$4, 1, 25.4)</f>
        <v>8.94</v>
      </c>
      <c r="M19" s="142" t="n">
        <f aca="false">IF(ABS(R18)&lt;0.000000000001,M18,M18-R18/S18)</f>
        <v>68.9422858899387</v>
      </c>
      <c r="N19" s="142" t="n">
        <f aca="false">ACOS((D$13-D$10)/(2*M19))</f>
        <v>1.50474760499808</v>
      </c>
      <c r="O19" s="142" t="n">
        <f aca="false">SQRT(M19^2-(D$10/2-D$13/2)^2)</f>
        <v>68.7919624758827</v>
      </c>
      <c r="P19" s="142" t="n">
        <f aca="false">(2*O19+D$9*$D$17*N19/PI()+D$12*$D$17*(PI()-N19)/PI())/$D$17</f>
        <v>28.0000000000127</v>
      </c>
      <c r="Q19" s="142" t="n">
        <f aca="false">Q18</f>
        <v>28</v>
      </c>
      <c r="R19" s="142" t="n">
        <f aca="false">P19-Q19</f>
        <v>1.27222676837846E-011</v>
      </c>
      <c r="S19" s="142" t="n">
        <f aca="false">(R19-R18)/(M19-M18)</f>
        <v>0.209405997233829</v>
      </c>
    </row>
    <row r="20" customFormat="false" ht="14.45" hidden="false" customHeight="false" outlineLevel="0" collapsed="false">
      <c r="C20" s="146" t="str">
        <f aca="false">"C-C Addition (" &amp; IF($B$4, "mm", "in") &amp; ")"</f>
        <v>C-C Addition (mm)</v>
      </c>
      <c r="D20" s="147" t="n">
        <f aca="false">VLOOKUP($D$7, ChainBeltSpecs, 5, 0) / IF($B$4, 1, 25.4)</f>
        <v>0.41</v>
      </c>
      <c r="M20" s="142" t="n">
        <f aca="false">IF(ABS(R19)&lt;0.000000000001,M19,M19-R19/S19)</f>
        <v>68.942285889878</v>
      </c>
      <c r="N20" s="142" t="n">
        <f aca="false">ACOS((D$13-D$10)/(2*M20))</f>
        <v>1.50474760499802</v>
      </c>
      <c r="O20" s="142" t="n">
        <f aca="false">SQRT(M20^2-(D$10/2-D$13/2)^2)</f>
        <v>68.7919624758218</v>
      </c>
      <c r="P20" s="142" t="n">
        <f aca="false">(2*O20+D$9*$D$17*N20/PI()+D$12*$D$17*(PI()-N20)/PI())/$D$17</f>
        <v>28</v>
      </c>
      <c r="Q20" s="142" t="n">
        <f aca="false">Q19</f>
        <v>28</v>
      </c>
      <c r="R20" s="142" t="n">
        <f aca="false">P20-Q20</f>
        <v>0</v>
      </c>
      <c r="S20" s="142" t="n">
        <f aca="false">(R20-R19)/(M20-M19)</f>
        <v>0.209415204678363</v>
      </c>
    </row>
    <row r="21" customFormat="false" ht="14.45" hidden="false" customHeight="false" outlineLevel="0" collapsed="false">
      <c r="M21" s="142" t="n">
        <f aca="false">IF(ABS(R20)&lt;0.000000000001,M20,M20-R20/S20)</f>
        <v>68.942285889878</v>
      </c>
      <c r="N21" s="142" t="n">
        <f aca="false">ACOS((D$13-D$10)/(2*M21))</f>
        <v>1.50474760499802</v>
      </c>
      <c r="O21" s="142" t="n">
        <f aca="false">SQRT(M21^2-(D$10/2-D$13/2)^2)</f>
        <v>68.7919624758218</v>
      </c>
      <c r="P21" s="142" t="n">
        <f aca="false">(2*O21+D$9*$D$17*N21/PI()+D$12*$D$17*(PI()-N21)/PI())/$D$17</f>
        <v>28</v>
      </c>
      <c r="Q21" s="142" t="n">
        <f aca="false">Q20</f>
        <v>28</v>
      </c>
      <c r="R21" s="142" t="n">
        <f aca="false">P21-Q21</f>
        <v>0</v>
      </c>
      <c r="S21" s="142" t="e">
        <f aca="false">(R21-R20)/(M21-M20)</f>
        <v>#DIV/0!</v>
      </c>
    </row>
    <row r="22" customFormat="false" ht="14.45" hidden="false" customHeight="false" outlineLevel="0" collapsed="false">
      <c r="M22" s="142" t="n">
        <f aca="false">IF(ABS(R21)&lt;0.000000000001,M21,M21-R21/S21)</f>
        <v>68.942285889878</v>
      </c>
      <c r="N22" s="142" t="n">
        <f aca="false">ACOS((D$13-D$10)/(2*M22))</f>
        <v>1.50474760499802</v>
      </c>
      <c r="O22" s="142" t="n">
        <f aca="false">SQRT(M22^2-(D$10/2-D$13/2)^2)</f>
        <v>68.7919624758218</v>
      </c>
      <c r="P22" s="142" t="n">
        <f aca="false">(2*O22+D$9*$D$17*N22/PI()+D$12*$D$17*(PI()-N22)/PI())/$D$17</f>
        <v>28</v>
      </c>
      <c r="Q22" s="142" t="n">
        <f aca="false">Q21</f>
        <v>28</v>
      </c>
      <c r="R22" s="142" t="n">
        <f aca="false">P22-Q22</f>
        <v>0</v>
      </c>
      <c r="S22" s="142" t="e">
        <f aca="false">(R22-R21)/(M22-M21)</f>
        <v>#DIV/0!</v>
      </c>
    </row>
  </sheetData>
  <sheetProtection sheet="true" objects="true" scenarios="true" formatCells="false" formatColumns="false" formatRows="false"/>
  <mergeCells count="3">
    <mergeCell ref="F6:G6"/>
    <mergeCell ref="I6:J6"/>
    <mergeCell ref="C16:D16"/>
  </mergeCells>
  <conditionalFormatting sqref="D9 D12 G7 J7 J9">
    <cfRule type="expression" priority="2" aboveAverage="0" equalAverage="0" bottom="0" percent="0" rank="0" text="" dxfId="0">
      <formula>ISTEXT(D7)</formula>
    </cfRule>
    <cfRule type="cellIs" priority="3" operator="lessThanOrEqual" aboveAverage="0" equalAverage="0" bottom="0" percent="0" rank="0" text="" dxfId="1">
      <formula>0</formula>
    </cfRule>
  </conditionalFormatting>
  <conditionalFormatting sqref="D7 D9 D12 G7 J7:J9">
    <cfRule type="expression" priority="4" aboveAverage="0" equalAverage="0" bottom="0" percent="0" rank="0" text="" dxfId="2">
      <formula>LEN(TRIM(D7))=0</formula>
    </cfRule>
    <cfRule type="expression" priority="5" aboveAverage="0" equalAverage="0" bottom="0" percent="0" rank="0" text="" dxfId="3">
      <formula>LEN(TRIM(D7))=0</formula>
    </cfRule>
  </conditionalFormatting>
  <conditionalFormatting sqref="G11:G13">
    <cfRule type="expression" priority="6" aboveAverage="0" equalAverage="0" bottom="0" percent="0" rank="0" text="" dxfId="4">
      <formula>ISERROR($G$11)</formula>
    </cfRule>
    <cfRule type="expression" priority="7" aboveAverage="0" equalAverage="0" bottom="0" percent="0" rank="0" text="" dxfId="5">
      <formula>$G$13&lt;=0</formula>
    </cfRule>
  </conditionalFormatting>
  <conditionalFormatting sqref="J11:J14">
    <cfRule type="expression" priority="8" aboveAverage="0" equalAverage="0" bottom="0" percent="0" rank="0" text="" dxfId="6">
      <formula>ISERROR($J$11)</formula>
    </cfRule>
    <cfRule type="expression" priority="9" aboveAverage="0" equalAverage="0" bottom="0" percent="0" rank="0" text="" dxfId="7">
      <formula>$J$14&lt;=0</formula>
    </cfRule>
  </conditionalFormatting>
  <dataValidations count="2">
    <dataValidation allowBlank="true" error="Invalid chain/belt type" errorTitle="Error" operator="between" showDropDown="false" showErrorMessage="true" showInputMessage="true" sqref="D7" type="list">
      <formula1>ChainBelts</formula1>
      <formula2>0</formula2>
    </dataValidation>
    <dataValidation allowBlank="true" operator="between" showDropDown="false" showErrorMessage="true" showInputMessage="true" sqref="J8" type="list">
      <formula1>"Nearest,Up,Down"</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false"/>
  </sheetPr>
  <dimension ref="B2:J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12.29"/>
    <col collapsed="false" customWidth="true" hidden="false" outlineLevel="0" max="4" min="4" style="18" width="9.14"/>
    <col collapsed="false" customWidth="true" hidden="false" outlineLevel="0" max="5" min="5" style="18" width="15.42"/>
    <col collapsed="false" customWidth="true" hidden="false" outlineLevel="0" max="6" min="6" style="18" width="14.86"/>
    <col collapsed="false" customWidth="true" hidden="false" outlineLevel="0" max="7" min="7" style="18" width="9.14"/>
    <col collapsed="false" customWidth="true" hidden="false" outlineLevel="0" max="8" min="8" style="18" width="13.7"/>
    <col collapsed="false" customWidth="true" hidden="false" outlineLevel="0" max="9" min="9" style="18" width="15"/>
    <col collapsed="false" customWidth="true" hidden="false" outlineLevel="0" max="1025" min="10" style="18" width="9.14"/>
  </cols>
  <sheetData>
    <row r="2" customFormat="false" ht="31.15" hidden="false" customHeight="false" outlineLevel="0" collapsed="false">
      <c r="C2" s="19" t="s">
        <v>151</v>
      </c>
    </row>
    <row r="4" customFormat="false" ht="14.45" hidden="false" customHeight="false" outlineLevel="0" collapsed="false">
      <c r="B4" s="20" t="n">
        <f aca="false">TRUE()</f>
        <v>1</v>
      </c>
      <c r="C4" s="18" t="s">
        <v>40</v>
      </c>
    </row>
    <row r="5" customFormat="false" ht="14.45" hidden="false" customHeight="false" outlineLevel="0" collapsed="false">
      <c r="B5" s="148"/>
    </row>
    <row r="6" customFormat="false" ht="18" hidden="false" customHeight="false" outlineLevel="0" collapsed="false">
      <c r="F6" s="101" t="s">
        <v>152</v>
      </c>
      <c r="G6" s="101"/>
      <c r="I6" s="101" t="s">
        <v>153</v>
      </c>
      <c r="J6" s="101"/>
    </row>
    <row r="7" customFormat="false" ht="14.45" hidden="false" customHeight="false" outlineLevel="0" collapsed="false">
      <c r="C7" s="65" t="s">
        <v>154</v>
      </c>
      <c r="D7" s="47" t="n">
        <v>100</v>
      </c>
      <c r="F7" s="65" t="s">
        <v>155</v>
      </c>
      <c r="G7" s="102" t="s">
        <v>156</v>
      </c>
      <c r="I7" s="65" t="s">
        <v>157</v>
      </c>
      <c r="J7" s="47" t="n">
        <v>20</v>
      </c>
    </row>
    <row r="8" customFormat="false" ht="14.45" hidden="false" customHeight="false" outlineLevel="0" collapsed="false">
      <c r="C8" s="65" t="s">
        <v>158</v>
      </c>
      <c r="D8" s="47" t="n">
        <v>32</v>
      </c>
      <c r="I8" s="65" t="s">
        <v>159</v>
      </c>
      <c r="J8" s="47" t="n">
        <v>20</v>
      </c>
    </row>
    <row r="10" customFormat="false" ht="14.45" hidden="false" customHeight="false" outlineLevel="0" collapsed="false">
      <c r="C10" s="65" t="s">
        <v>160</v>
      </c>
      <c r="D10" s="93" t="n">
        <v>30</v>
      </c>
      <c r="F10" s="65" t="str">
        <f aca="false">"Clearance (" &amp; IF($B$4, "mm", "in") &amp; ")"</f>
        <v>Clearance (mm)</v>
      </c>
      <c r="G10" s="67" t="n">
        <f aca="false">(($D$10+$D$11)/(2*$D$12) - ($D$7+2)/(2*$D$8) - IFERROR(CHOOSE(MATCH(G7, {"1/2"" Hex","1/2"" Round","3/8"" Hex","3/8"" Round","1/4"" Square"}, 0), 0.577, 0.5, 0.433, 0.375, 0.354), G7/IF($B$4, 25.4, 1))/2) * IF($B$4, 25.4, 1)</f>
        <v>9.34085</v>
      </c>
      <c r="I10" s="65" t="str">
        <f aca="false">"Clearance (" &amp; IF($B$4, "mm", "in") &amp; ")"</f>
        <v>Clearance (mm)</v>
      </c>
      <c r="J10" s="67" t="n">
        <f aca="false">(($D$10+$D$11)/(2*$D$12) - ($D$7+2)/(2*$D$8) - (J7+2)/(2*J8)) * IF($B$4, 25.4, 1)</f>
        <v>2.69875</v>
      </c>
    </row>
    <row r="11" customFormat="false" ht="14.45" hidden="false" customHeight="false" outlineLevel="0" collapsed="false">
      <c r="C11" s="65" t="s">
        <v>161</v>
      </c>
      <c r="D11" s="47" t="n">
        <v>60</v>
      </c>
      <c r="F11" s="65" t="s">
        <v>162</v>
      </c>
      <c r="G11" s="67" t="n">
        <f aca="false">G10&gt;0</f>
        <v>1</v>
      </c>
      <c r="I11" s="65" t="s">
        <v>162</v>
      </c>
      <c r="J11" s="67" t="n">
        <f aca="false">J10&gt;0</f>
        <v>1</v>
      </c>
    </row>
    <row r="12" customFormat="false" ht="14.45" hidden="false" customHeight="false" outlineLevel="0" collapsed="false">
      <c r="C12" s="65" t="s">
        <v>163</v>
      </c>
      <c r="D12" s="47" t="n">
        <v>20</v>
      </c>
      <c r="G12" s="90"/>
      <c r="J12" s="90"/>
    </row>
    <row r="13" customFormat="false" ht="14.45" hidden="false" customHeight="false" outlineLevel="0" collapsed="false"/>
    <row r="14" customFormat="false" ht="14.45" hidden="false" customHeight="false" outlineLevel="0" collapsed="false"/>
    <row r="17" customFormat="false" ht="14.45" hidden="false" customHeight="false" outlineLevel="0" collapsed="false"/>
    <row r="18" customFormat="false" ht="14.45" hidden="false" customHeight="false" outlineLevel="0" collapsed="false"/>
    <row r="19" customFormat="false" ht="14.45" hidden="false" customHeight="false" outlineLevel="0" collapsed="false"/>
    <row r="20" customFormat="false" ht="14.45" hidden="false" customHeight="false" outlineLevel="0" collapsed="false"/>
  </sheetData>
  <sheetProtection sheet="true" objects="true" scenarios="true" formatCells="false" formatColumns="false" formatRows="false"/>
  <mergeCells count="2">
    <mergeCell ref="F6:G6"/>
    <mergeCell ref="I6:J6"/>
  </mergeCells>
  <conditionalFormatting sqref="D7:D8 D10:D12 G7 J7:J8">
    <cfRule type="expression" priority="2" aboveAverage="0" equalAverage="0" bottom="0" percent="0" rank="0" text="" dxfId="0">
      <formula>LEN(TRIM(D7))=0</formula>
    </cfRule>
    <cfRule type="cellIs" priority="3" operator="lessThanOrEqual" aboveAverage="0" equalAverage="0" bottom="0" percent="0" rank="0" text="" dxfId="1">
      <formula>0</formula>
    </cfRule>
  </conditionalFormatting>
  <conditionalFormatting sqref="G10:G11">
    <cfRule type="expression" priority="4" aboveAverage="0" equalAverage="0" bottom="0" percent="0" rank="0" text="" dxfId="2">
      <formula>$G$10&lt;=0</formula>
    </cfRule>
  </conditionalFormatting>
  <conditionalFormatting sqref="J10:J11">
    <cfRule type="expression" priority="5" aboveAverage="0" equalAverage="0" bottom="0" percent="0" rank="0" text="" dxfId="3">
      <formula>$J$10&lt;=0</formula>
    </cfRule>
  </conditionalFormatting>
  <conditionalFormatting sqref="D7:D8 D10:D12 J7:J8">
    <cfRule type="expression" priority="6" aboveAverage="0" equalAverage="0" bottom="0" percent="0" rank="0" text="" dxfId="4">
      <formula>ISTEXT(D7)</formula>
    </cfRule>
  </conditionalFormatting>
  <dataValidations count="1">
    <dataValidation allowBlank="true" operator="between" prompt="You can select an axle type from the drop-down list or enter a diameter manually." showDropDown="false" showErrorMessage="false" showInputMessage="true" sqref="G7" type="list">
      <formula1>"1/2" Hex,1/2" Round,3/8" Hex,3/8" Round,1/4" Square"</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B2:J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20.14"/>
    <col collapsed="false" customWidth="true" hidden="false" outlineLevel="0" max="1025" min="4" style="18" width="9.14"/>
  </cols>
  <sheetData>
    <row r="2" customFormat="false" ht="31.15" hidden="false" customHeight="false" outlineLevel="0" collapsed="false">
      <c r="C2" s="19" t="s">
        <v>164</v>
      </c>
    </row>
    <row r="4" customFormat="false" ht="14.45" hidden="false" customHeight="false" outlineLevel="0" collapsed="false">
      <c r="B4" s="20" t="n">
        <f aca="false">FALSE()</f>
        <v>0</v>
      </c>
      <c r="C4" s="18" t="s">
        <v>40</v>
      </c>
    </row>
    <row r="5" customFormat="false" ht="14.45" hidden="false" customHeight="false" outlineLevel="0" collapsed="false">
      <c r="B5" s="148"/>
    </row>
    <row r="6" customFormat="false" ht="14.45" hidden="false" customHeight="false" outlineLevel="0" collapsed="false">
      <c r="C6" s="65" t="s">
        <v>165</v>
      </c>
      <c r="D6" s="93" t="n">
        <v>20</v>
      </c>
    </row>
    <row r="8" customFormat="false" ht="14.45" hidden="false" customHeight="false" outlineLevel="0" collapsed="false">
      <c r="C8" s="65" t="s">
        <v>166</v>
      </c>
      <c r="D8" s="149" t="n">
        <v>3</v>
      </c>
    </row>
    <row r="9" customFormat="false" ht="14.45" hidden="false" customHeight="false" outlineLevel="0" collapsed="false">
      <c r="C9" s="65" t="str">
        <f aca="false">"Desired Distance (" &amp; IF($B$4, "mm", "in") &amp; ")"</f>
        <v>Desired Distance (in)</v>
      </c>
      <c r="D9" s="54" t="n">
        <v>2</v>
      </c>
    </row>
    <row r="10" customFormat="false" ht="14.45" hidden="false" customHeight="false" outlineLevel="0" collapsed="false">
      <c r="D10" s="90"/>
      <c r="G10" s="90"/>
      <c r="J10" s="90"/>
    </row>
    <row r="11" customFormat="false" ht="14.45" hidden="false" customHeight="false" outlineLevel="0" collapsed="false">
      <c r="C11" s="65" t="s">
        <v>167</v>
      </c>
      <c r="D11" s="107" t="n">
        <f aca="false">2*D9/IF($B$4, 25.4, 1)*D6/(D8+1)</f>
        <v>20</v>
      </c>
    </row>
    <row r="12" customFormat="false" ht="14.45" hidden="false" customHeight="false" outlineLevel="0" collapsed="false">
      <c r="C12" s="65" t="str">
        <f aca="false">"Pitch Diameter (" &amp; IF($B$4, "mm", "in") &amp; ")"</f>
        <v>Pitch Diameter (in)</v>
      </c>
      <c r="D12" s="106" t="n">
        <f aca="false">D11/$D$6*IF($B$4, 25.4, 1)</f>
        <v>1</v>
      </c>
    </row>
    <row r="13" customFormat="false" ht="14.45" hidden="false" customHeight="false" outlineLevel="0" collapsed="false">
      <c r="C13" s="65" t="str">
        <f aca="false">"Outside Diameter (" &amp; IF($B$4, "mm", "in") &amp; ")"</f>
        <v>Outside Diameter (in)</v>
      </c>
      <c r="D13" s="106" t="n">
        <f aca="false">(D11+2)/$D$6*IF($B$4, 25.4, 1)</f>
        <v>1.1</v>
      </c>
    </row>
    <row r="15" customFormat="false" ht="14.45" hidden="false" customHeight="false" outlineLevel="0" collapsed="false">
      <c r="C15" s="65" t="s">
        <v>168</v>
      </c>
      <c r="D15" s="107" t="n">
        <f aca="false">D11*D8</f>
        <v>60</v>
      </c>
    </row>
    <row r="16" customFormat="false" ht="14.45" hidden="false" customHeight="false" outlineLevel="0" collapsed="false">
      <c r="C16" s="65" t="str">
        <f aca="false">"Pitch Diameter (" &amp; IF($B$4, "mm", "in") &amp; ")"</f>
        <v>Pitch Diameter (in)</v>
      </c>
      <c r="D16" s="106" t="n">
        <f aca="false">D15/$D$6*IF($B$4, 25.4, 1)</f>
        <v>3</v>
      </c>
    </row>
    <row r="17" customFormat="false" ht="14.45" hidden="false" customHeight="false" outlineLevel="0" collapsed="false">
      <c r="C17" s="65" t="str">
        <f aca="false">"Outside Diameter (" &amp; IF($B$4, "mm", "in") &amp; ")"</f>
        <v>Outside Diameter (in)</v>
      </c>
      <c r="D17" s="106" t="n">
        <f aca="false">(D15+2)/$D$6*IF($B$4, 25.4, 1)</f>
        <v>3.1</v>
      </c>
    </row>
    <row r="19" customFormat="false" ht="14.45" hidden="false" customHeight="true" outlineLevel="0" collapsed="false">
      <c r="C19" s="150" t="s">
        <v>169</v>
      </c>
      <c r="D19" s="150"/>
    </row>
    <row r="20" customFormat="false" ht="14.45" hidden="false" customHeight="true" outlineLevel="0" collapsed="false">
      <c r="C20" s="151" t="s">
        <v>170</v>
      </c>
      <c r="D20" s="151"/>
    </row>
  </sheetData>
  <sheetProtection sheet="true" objects="true" scenarios="true" formatCells="false" formatColumns="false" formatRows="false"/>
  <mergeCells count="2">
    <mergeCell ref="C19:D19"/>
    <mergeCell ref="C20:D20"/>
  </mergeCells>
  <conditionalFormatting sqref="D11:D13 D15:D17">
    <cfRule type="expression" priority="2" aboveAverage="0" equalAverage="0" bottom="0" percent="0" rank="0" text="" dxfId="0">
      <formula>NOT(AND(INT($D$11)=$D$11, INT($D$15)=$D$15))</formula>
    </cfRule>
  </conditionalFormatting>
  <conditionalFormatting sqref="C19:D20">
    <cfRule type="expression" priority="3" aboveAverage="0" equalAverage="0" bottom="0" percent="0" rank="0" text="" dxfId="1">
      <formula>AND(INT($D$11)=$D$11, INT($D$15)=$D$15)</formula>
    </cfRule>
  </conditionalFormatting>
  <conditionalFormatting sqref="D6 D8:D9">
    <cfRule type="expression" priority="4" aboveAverage="0" equalAverage="0" bottom="0" percent="0" rank="0" text="" dxfId="2">
      <formula>ISTEXT(D6)</formula>
    </cfRule>
    <cfRule type="expression" priority="5" aboveAverage="0" equalAverage="0" bottom="0" percent="0" rank="0" text="" dxfId="3">
      <formula>LEN(TRIM(D6))=0</formula>
    </cfRule>
    <cfRule type="cellIs" priority="6" operator="lessThanOrEqual" aboveAverage="0" equalAverage="0" bottom="0" percent="0" rank="0" text="" dxfId="4">
      <formula>0</formula>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false"/>
  </sheetPr>
  <dimension ref="B2:Q19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20.14"/>
    <col collapsed="false" customWidth="true" hidden="false" outlineLevel="0" max="11" min="4" style="18" width="10.85"/>
    <col collapsed="false" customWidth="true" hidden="false" outlineLevel="0" max="12" min="12" style="18" width="9.14"/>
    <col collapsed="false" customWidth="true" hidden="false" outlineLevel="0" max="13" min="13" style="18" width="19.71"/>
    <col collapsed="false" customWidth="true" hidden="false" outlineLevel="0" max="1025" min="14" style="18" width="9.14"/>
  </cols>
  <sheetData>
    <row r="2" customFormat="false" ht="31.15" hidden="false" customHeight="false" outlineLevel="0" collapsed="false">
      <c r="C2" s="19" t="s">
        <v>171</v>
      </c>
    </row>
    <row r="4" customFormat="false" ht="14.45" hidden="false" customHeight="false" outlineLevel="0" collapsed="false">
      <c r="B4" s="20" t="n">
        <f aca="false">FALSE()</f>
        <v>0</v>
      </c>
      <c r="C4" s="18" t="s">
        <v>40</v>
      </c>
      <c r="G4" s="90"/>
      <c r="H4" s="90"/>
      <c r="I4" s="90"/>
    </row>
    <row r="5" customFormat="false" ht="14.45" hidden="false" customHeight="false" outlineLevel="0" collapsed="false">
      <c r="B5" s="148"/>
      <c r="G5" s="90"/>
      <c r="H5" s="90"/>
      <c r="I5" s="90"/>
    </row>
    <row r="6" customFormat="false" ht="14.45" hidden="false" customHeight="false" outlineLevel="0" collapsed="false">
      <c r="D6" s="68" t="s">
        <v>172</v>
      </c>
      <c r="E6" s="68" t="s">
        <v>173</v>
      </c>
      <c r="F6" s="68" t="s">
        <v>174</v>
      </c>
      <c r="G6" s="68" t="s">
        <v>175</v>
      </c>
      <c r="H6" s="68" t="s">
        <v>176</v>
      </c>
      <c r="I6" s="68" t="s">
        <v>177</v>
      </c>
      <c r="J6" s="68" t="s">
        <v>178</v>
      </c>
      <c r="K6" s="68" t="s">
        <v>179</v>
      </c>
      <c r="N6" s="68" t="s">
        <v>180</v>
      </c>
      <c r="O6" s="68" t="s">
        <v>181</v>
      </c>
      <c r="P6" s="68" t="s">
        <v>182</v>
      </c>
      <c r="Q6" s="68" t="s">
        <v>183</v>
      </c>
    </row>
    <row r="7" customFormat="false" ht="14.45" hidden="false" customHeight="false" outlineLevel="0" collapsed="false">
      <c r="C7" s="68" t="str">
        <f aca="false">"Diameter (" &amp; IF($B$4, "mm", "in") &amp; ")"</f>
        <v>Diameter (in)</v>
      </c>
      <c r="D7" s="152" t="n">
        <v>1.5</v>
      </c>
      <c r="E7" s="38"/>
      <c r="F7" s="38"/>
      <c r="G7" s="38"/>
      <c r="H7" s="38"/>
      <c r="I7" s="38"/>
      <c r="J7" s="38"/>
      <c r="K7" s="38"/>
      <c r="M7" s="68" t="str">
        <f aca="false">"Tank Volume (" &amp; IF($B$4, "mL", "in^3") &amp; ")"</f>
        <v>Tank Volume (in^3)</v>
      </c>
      <c r="N7" s="49" t="n">
        <v>35</v>
      </c>
      <c r="O7" s="49"/>
      <c r="P7" s="49"/>
      <c r="Q7" s="49"/>
    </row>
    <row r="8" customFormat="false" ht="14.45" hidden="false" customHeight="false" outlineLevel="0" collapsed="false">
      <c r="C8" s="33" t="str">
        <f aca="false">"Rod Diameter (" &amp; IF($B$4, "mm", "in") &amp; ")"</f>
        <v>Rod Diameter (in)</v>
      </c>
      <c r="D8" s="152" t="n">
        <v>0.375</v>
      </c>
      <c r="E8" s="38"/>
      <c r="F8" s="38"/>
      <c r="G8" s="38"/>
      <c r="H8" s="38"/>
      <c r="I8" s="38"/>
      <c r="J8" s="38"/>
      <c r="K8" s="38"/>
      <c r="M8" s="33" t="s">
        <v>184</v>
      </c>
      <c r="N8" s="153" t="n">
        <v>3</v>
      </c>
      <c r="O8" s="153"/>
      <c r="P8" s="153"/>
      <c r="Q8" s="153"/>
    </row>
    <row r="9" customFormat="false" ht="14.45" hidden="false" customHeight="false" outlineLevel="0" collapsed="false">
      <c r="C9" s="33" t="str">
        <f aca="false">"Stroke Length (" &amp; IF($B$4, "mm", "in") &amp; ")"</f>
        <v>Stroke Length (in)</v>
      </c>
      <c r="D9" s="152" t="n">
        <v>12</v>
      </c>
      <c r="E9" s="38"/>
      <c r="F9" s="38"/>
      <c r="G9" s="38"/>
      <c r="H9" s="38"/>
      <c r="I9" s="38"/>
      <c r="J9" s="38"/>
      <c r="K9" s="38"/>
      <c r="M9" s="50" t="s">
        <v>185</v>
      </c>
      <c r="N9" s="154" t="n">
        <v>120</v>
      </c>
      <c r="O9" s="154"/>
      <c r="P9" s="154"/>
      <c r="Q9" s="154"/>
    </row>
    <row r="10" customFormat="false" ht="14.45" hidden="false" customHeight="false" outlineLevel="0" collapsed="false">
      <c r="C10" s="33" t="s">
        <v>186</v>
      </c>
      <c r="D10" s="153" t="n">
        <v>40</v>
      </c>
      <c r="E10" s="153"/>
      <c r="F10" s="153"/>
      <c r="G10" s="153"/>
      <c r="H10" s="153"/>
      <c r="I10" s="153"/>
      <c r="J10" s="153"/>
      <c r="K10" s="153"/>
      <c r="M10" s="65" t="str">
        <f aca="false">"Total Tank Vol. (" &amp; IF($B$4, "mL", "in^3") &amp; ")"</f>
        <v>Total Tank Vol. (in^3)</v>
      </c>
      <c r="N10" s="84" t="n">
        <f aca="false">SUMPRODUCT(N7:Q7,N8:Q8,N9:Q9)/120</f>
        <v>105</v>
      </c>
      <c r="O10" s="18" t="s">
        <v>187</v>
      </c>
    </row>
    <row r="11" customFormat="false" ht="14.45" hidden="false" customHeight="false" outlineLevel="0" collapsed="false">
      <c r="C11" s="33" t="str">
        <f aca="false">"Push Force (" &amp; IF($B$4, "N", "lbf") &amp; ")"</f>
        <v>Push Force (lbf)</v>
      </c>
      <c r="D11" s="44" t="n">
        <f aca="false">IF(COUNTBLANK(D7:D10)=0, (D$7/2)^2*PI()*D$10/IF($B$4, 145.04, 1), "")</f>
        <v>70.6858347057703</v>
      </c>
      <c r="E11" s="44" t="str">
        <f aca="false">IF(COUNTBLANK(E7:E10)=0, (E$7/2)^2*PI()*E$10/IF($B$4, 145.04, 1), "")</f>
        <v/>
      </c>
      <c r="F11" s="44" t="str">
        <f aca="false">IF(COUNTBLANK(F7:F10)=0, (F$7/2)^2*PI()*F$10/IF($B$4, 145.04, 1), "")</f>
        <v/>
      </c>
      <c r="G11" s="44" t="str">
        <f aca="false">IF(COUNTBLANK(G7:G10)=0, (G$7/2)^2*PI()*G$10/IF($B$4, 145.04, 1), "")</f>
        <v/>
      </c>
      <c r="H11" s="44" t="str">
        <f aca="false">IF(COUNTBLANK(H7:H10)=0, (H$7/2)^2*PI()*H$10/IF($B$4, 145.04, 1), "")</f>
        <v/>
      </c>
      <c r="I11" s="44" t="str">
        <f aca="false">IF(COUNTBLANK(I7:I10)=0, (I$7/2)^2*PI()*I$10/IF($B$4, 145.04, 1), "")</f>
        <v/>
      </c>
      <c r="J11" s="44" t="str">
        <f aca="false">IF(COUNTBLANK(J7:J10)=0, (J$7/2)^2*PI()*J$10/IF($B$4, 145.04, 1), "")</f>
        <v/>
      </c>
      <c r="K11" s="44" t="str">
        <f aca="false">IF(COUNTBLANK(K7:K10)=0, (K$7/2)^2*PI()*K$10/IF($B$4, 145.04, 1), "")</f>
        <v/>
      </c>
    </row>
    <row r="12" customFormat="false" ht="14.45" hidden="false" customHeight="false" outlineLevel="0" collapsed="false">
      <c r="C12" s="33" t="s">
        <v>188</v>
      </c>
      <c r="D12" s="49" t="n">
        <v>15</v>
      </c>
      <c r="E12" s="153"/>
      <c r="F12" s="153"/>
      <c r="G12" s="153"/>
      <c r="H12" s="153"/>
      <c r="I12" s="153"/>
      <c r="J12" s="153"/>
      <c r="K12" s="153"/>
      <c r="M12" s="65" t="s">
        <v>189</v>
      </c>
      <c r="N12" s="155" t="s">
        <v>190</v>
      </c>
      <c r="O12" s="155"/>
    </row>
    <row r="13" customFormat="false" ht="14.45" hidden="false" customHeight="false" outlineLevel="0" collapsed="false">
      <c r="C13" s="33" t="str">
        <f aca="false">"Pull Force (" &amp; IF($B$4, "N", "lbf") &amp; ")"</f>
        <v>Pull Force (lbf)</v>
      </c>
      <c r="D13" s="44" t="n">
        <f aca="false">IF(COUNTBLANK(D9:D12)=0, (D$7^2 - D$8^2)*PI()/4*D$12/IF($B$4, 145.04, 1), "")</f>
        <v>24.8504887637474</v>
      </c>
      <c r="E13" s="44" t="str">
        <f aca="false">IF(COUNTBLANK(E9:E12)=0, (E$7^2 - E$8^2)*PI()/4*E$12/IF($B$4, 145.04, 1), "")</f>
        <v/>
      </c>
      <c r="F13" s="44" t="str">
        <f aca="false">IF(COUNTBLANK(F9:F12)=0, (F$7^2 - F$8^2)*PI()/4*F$12/IF($B$4, 145.04, 1), "")</f>
        <v/>
      </c>
      <c r="G13" s="44" t="str">
        <f aca="false">IF(COUNTBLANK(G9:G12)=0, (G$7^2 - G$8^2)*PI()/4*G$12/IF($B$4, 145.04, 1), "")</f>
        <v/>
      </c>
      <c r="H13" s="44" t="str">
        <f aca="false">IF(COUNTBLANK(H9:H12)=0, (H$7^2 - H$8^2)*PI()/4*H$12/IF($B$4, 145.04, 1), "")</f>
        <v/>
      </c>
      <c r="I13" s="44" t="str">
        <f aca="false">IF(COUNTBLANK(I9:I12)=0, (I$7^2 - I$8^2)*PI()/4*I$12/IF($B$4, 145.04, 1), "")</f>
        <v/>
      </c>
      <c r="J13" s="44" t="str">
        <f aca="false">IF(COUNTBLANK(J9:J12)=0, (J$7^2 - J$8^2)*PI()/4*J$12/IF($B$4, 145.04, 1), "")</f>
        <v/>
      </c>
      <c r="K13" s="44" t="str">
        <f aca="false">IF(COUNTBLANK(K9:K12)=0, (K$7^2 - K$8^2)*PI()/4*K$12/IF($B$4, 145.04, 1), "")</f>
        <v/>
      </c>
    </row>
    <row r="14" customFormat="false" ht="14.45" hidden="false" customHeight="false" outlineLevel="0" collapsed="false">
      <c r="C14" s="33" t="s">
        <v>191</v>
      </c>
      <c r="D14" s="153" t="n">
        <v>5</v>
      </c>
      <c r="E14" s="153"/>
      <c r="F14" s="153"/>
      <c r="G14" s="153"/>
      <c r="H14" s="153"/>
      <c r="I14" s="153"/>
      <c r="J14" s="153"/>
      <c r="K14" s="153"/>
      <c r="M14" s="65" t="s">
        <v>192</v>
      </c>
      <c r="N14" s="47" t="n">
        <v>120</v>
      </c>
    </row>
    <row r="15" customFormat="false" ht="14.45" hidden="false" customHeight="false" outlineLevel="0" collapsed="false">
      <c r="C15" s="33" t="s">
        <v>193</v>
      </c>
      <c r="D15" s="153" t="n">
        <v>8</v>
      </c>
      <c r="E15" s="153"/>
      <c r="F15" s="153"/>
      <c r="G15" s="153"/>
      <c r="H15" s="153"/>
      <c r="I15" s="153"/>
      <c r="J15" s="153"/>
      <c r="K15" s="153"/>
      <c r="M15" s="65" t="s">
        <v>194</v>
      </c>
      <c r="N15" s="47" t="n">
        <v>95</v>
      </c>
    </row>
    <row r="16" customFormat="false" ht="14.45" hidden="false" customHeight="false" outlineLevel="0" collapsed="false">
      <c r="C16" s="50" t="s">
        <v>195</v>
      </c>
      <c r="D16" s="156" t="n">
        <v>140</v>
      </c>
      <c r="E16" s="154"/>
      <c r="F16" s="154"/>
      <c r="G16" s="154"/>
      <c r="H16" s="154"/>
      <c r="I16" s="154"/>
      <c r="J16" s="154"/>
      <c r="K16" s="154"/>
      <c r="M16" s="65" t="s">
        <v>196</v>
      </c>
      <c r="N16" s="85" t="n">
        <f aca="false">MIN(D42:D192)</f>
        <v>33.3200992005066</v>
      </c>
    </row>
    <row r="17" customFormat="false" ht="14.45" hidden="false" customHeight="false" outlineLevel="0" collapsed="false">
      <c r="D17" s="103"/>
      <c r="M17" s="65" t="s">
        <v>197</v>
      </c>
      <c r="N17" s="85" t="n">
        <f aca="false">D192</f>
        <v>56.5404340197635</v>
      </c>
    </row>
    <row r="39" customFormat="false" ht="15" hidden="false" customHeight="false" outlineLevel="0" collapsed="false">
      <c r="C39" s="148"/>
      <c r="D39" s="148"/>
      <c r="E39" s="148"/>
      <c r="F39" s="148"/>
      <c r="G39" s="148"/>
      <c r="H39" s="148"/>
      <c r="I39" s="148"/>
      <c r="J39" s="148"/>
      <c r="K39" s="148"/>
      <c r="L39" s="148"/>
      <c r="M39" s="148"/>
      <c r="N39" s="148"/>
    </row>
    <row r="40" customFormat="false" ht="15" hidden="false" customHeight="false" outlineLevel="0" collapsed="false">
      <c r="C40" s="55"/>
      <c r="D40" s="157" t="n">
        <f aca="false">IFERROR(CHOOSE(MATCH($N$12,{"1.1 Pump","Viair 90C"},0), 0.0000003865, -0.000000437), 0)</f>
        <v>3.865E-007</v>
      </c>
      <c r="E40" s="55" t="n">
        <f aca="false">IFERROR(CHOOSE(MATCH($N$12,{"1.1 Pump","Viair 90C"},0), -0.00003916, 0.000123), 0)</f>
        <v>-3.916E-005</v>
      </c>
      <c r="F40" s="55" t="n">
        <f aca="false">IFERROR(CHOOSE(MATCH($N$12,{"1.1 Pump","Viair 90C"},0), -0.003809, -0.01186), 0)</f>
        <v>-0.003809</v>
      </c>
      <c r="G40" s="55" t="n">
        <f aca="false">IFERROR(CHOOSE(MATCH($N$12,{"1.1 Pump","Viair 90C"},0), 0.692, 0.6123), 0)</f>
        <v>0.692</v>
      </c>
      <c r="H40" s="55"/>
      <c r="I40" s="110" t="n">
        <f aca="false">MAX(D10:K10,D12:K12)</f>
        <v>40</v>
      </c>
      <c r="J40" s="55"/>
      <c r="K40" s="55"/>
      <c r="L40" s="55"/>
      <c r="M40" s="55"/>
      <c r="N40" s="148"/>
    </row>
    <row r="41" customFormat="false" ht="15" hidden="false" customHeight="false" outlineLevel="0" collapsed="false">
      <c r="C41" s="55" t="s">
        <v>198</v>
      </c>
      <c r="D41" s="55" t="s">
        <v>199</v>
      </c>
      <c r="E41" s="55" t="s">
        <v>200</v>
      </c>
      <c r="F41" s="55" t="s">
        <v>201</v>
      </c>
      <c r="G41" s="55" t="s">
        <v>202</v>
      </c>
      <c r="H41" s="55" t="s">
        <v>203</v>
      </c>
      <c r="I41" s="55" t="s">
        <v>204</v>
      </c>
      <c r="J41" s="55" t="s">
        <v>205</v>
      </c>
      <c r="K41" s="55" t="s">
        <v>206</v>
      </c>
      <c r="L41" s="55" t="s">
        <v>207</v>
      </c>
      <c r="M41" s="55" t="s">
        <v>208</v>
      </c>
      <c r="N41" s="148"/>
    </row>
    <row r="42" customFormat="false" ht="15" hidden="false" customHeight="false" outlineLevel="0" collapsed="false">
      <c r="C42" s="55" t="n">
        <v>0</v>
      </c>
      <c r="D42" s="55" t="n">
        <f aca="false">MAX((N14*($N$10/IF($B$4, 16.387, 1))+E42-SUM(F42:M42))/($N$10/IF($B$4, 16.387, 1)), 0)</f>
        <v>120</v>
      </c>
      <c r="E42" s="55" t="n">
        <f aca="false">IF(N14&lt;$N$15, $D$40*N14^3+$E$40*N14^2+$F$40*N14+$G$40, 0) * 12^3/60*14.7</f>
        <v>0</v>
      </c>
      <c r="F42" s="55" t="n">
        <f aca="false">IFERROR(IF(AND($C42&gt;=D$15, $C42&lt;=D$16), IF(D$14&gt;1, N(MOD($C42-D$15, D$14)&lt;1), 1/D$14)*PI()*D$9/4*(D$7^2*MIN(D$10, $N$14)+(D$7^2-D$8^2)*MIN(D$12, $N$14))/IF($B$4, 25.4^3, 1), 0), 0)</f>
        <v>0</v>
      </c>
      <c r="G42" s="55" t="n">
        <f aca="false">IFERROR(IF(AND($C42&gt;=E$15, $C42&lt;=E$16), IF(E$14&gt;1, N(MOD($C42-E$15, E$14)&lt;1), 1/E$14)*PI()*E$9/4*(E$7^2*MIN(E$10, $N$14)+(E$7^2-E$8^2)*MIN(E$12, $N$14))/IF($B$4, 25.4^3, 1), 0), 0)</f>
        <v>0</v>
      </c>
      <c r="H42" s="55" t="n">
        <f aca="false">IFERROR(IF(AND($C42&gt;=F$15, $C42&lt;=F$16), IF(F$14&gt;1, N(MOD($C42-F$15, F$14)&lt;1), 1/F$14)*PI()*F$9/4*(F$7^2*MIN(F$10, $N$14)+(F$7^2-F$8^2)*MIN(F$12, $N$14))/IF($B$4, 25.4^3, 1), 0), 0)</f>
        <v>0</v>
      </c>
      <c r="I42" s="55" t="n">
        <f aca="false">IFERROR(IF(AND($C42&gt;=G$15, $C42&lt;=G$16), IF(G$14&gt;1, N(MOD($C42-G$15, G$14)&lt;1), 1/G$14)*PI()*G$9/4*(G$7^2*MIN(G$10, $N$14)+(G$7^2-G$8^2)*MIN(G$12, $N$14))/IF($B$4, 25.4^3, 1), 0), 0)</f>
        <v>0</v>
      </c>
      <c r="J42" s="55" t="n">
        <f aca="false">IFERROR(IF(AND($C42&gt;=H$15, $C42&lt;=H$16), IF(H$14&gt;1, N(MOD($C42-H$15, H$14)&lt;1), 1/H$14)*PI()*H$9/4*(H$7^2*MIN(H$10, $N$14)+(H$7^2-H$8^2)*MIN(H$12, $N$14))/IF($B$4, 25.4^3, 1), 0), 0)</f>
        <v>0</v>
      </c>
      <c r="K42" s="55" t="n">
        <f aca="false">IFERROR(IF(AND($C42&gt;=I$15, $C42&lt;=I$16), IF(I$14&gt;1, N(MOD($C42-I$15, I$14)&lt;1), 1/I$14)*PI()*I$9/4*(I$7^2*MIN(I$10, $N$14)+(I$7^2-I$8^2)*MIN(I$12, $N$14))/IF($B$4, 25.4^3, 1), 0), 0)</f>
        <v>0</v>
      </c>
      <c r="L42" s="55" t="n">
        <f aca="false">IFERROR(IF(AND($C42&gt;=J$15, $C42&lt;=J$16), IF(J$14&gt;1, N(MOD($C42-J$15, J$14)&lt;1), 1/J$14)*PI()*J$9/4*(J$7^2*MIN(J$10, $N$14)+(J$7^2-J$8^2)*MIN(J$12, $N$14))/IF($B$4, 25.4^3, 1), 0), 0)</f>
        <v>0</v>
      </c>
      <c r="M42" s="55" t="n">
        <f aca="false">IFERROR(IF(AND($C42&gt;=K$15, $C42&lt;=K$16), IF(K$14&gt;1, N(MOD($C42-K$15, K$14)&lt;1), 1/K$14)*PI()*K$9/4*(K$7^2*MIN(K$10, $N$14)+(K$7^2-K$8^2)*MIN(K$12, $N$14))/IF($B$4, 25.4^3, 1), 0), 0)</f>
        <v>0</v>
      </c>
      <c r="N42" s="148"/>
    </row>
    <row r="43" customFormat="false" ht="15" hidden="false" customHeight="false" outlineLevel="0" collapsed="false">
      <c r="C43" s="55" t="n">
        <v>1</v>
      </c>
      <c r="D43" s="55" t="n">
        <f aca="false">MAX((D42*($N$10/IF($B$4, 16.387, 1))+E43-SUM(F43:M43))/($N$10/IF($B$4, 16.387, 1)), 0)</f>
        <v>120</v>
      </c>
      <c r="E43" s="55" t="n">
        <f aca="false">IF(D42&lt;$N$15, $D$40*D42^3+$E$40*D42^2+$F$40*D42+$G$40, 0) * 12^3/60*14.7</f>
        <v>0</v>
      </c>
      <c r="F43" s="55" t="n">
        <f aca="false">IFERROR(IF(AND($C43&gt;=D$15, $C43&lt;=D$16), IF(D$14&gt;1, N(MOD($C43-D$15, D$14)&lt;1), 1/D$14)*PI()*D$9/4*(D$7^2*MIN(D$10, $D42)+(D$7^2-D$8^2)*MIN(D$12, D$42))/IF($B$4, 25.4^3, 1), 0), 0)</f>
        <v>0</v>
      </c>
      <c r="G43" s="55" t="n">
        <f aca="false">IFERROR(IF(AND($C43&gt;=E$15, $C43&lt;=E$16), IF(E$14&gt;1, N(MOD($C43-E$15, E$14)&lt;1), 1/E$14)*PI()*E$9/4*(E$7^2*MIN(E$10, $D42)+(E$7^2-E$8^2)*MIN(E$12, E$42))/IF($B$4, 25.4^3, 1), 0), 0)</f>
        <v>0</v>
      </c>
      <c r="H43" s="55" t="n">
        <f aca="false">IFERROR(IF(AND($C43&gt;=F$15, $C43&lt;=F$16), IF(F$14&gt;1, N(MOD($C43-F$15, F$14)&lt;1), 1/F$14)*PI()*F$9/4*(F$7^2*MIN(F$10, $D42)+(F$7^2-F$8^2)*MIN(F$12, F$42))/IF($B$4, 25.4^3, 1), 0), 0)</f>
        <v>0</v>
      </c>
      <c r="I43" s="55" t="n">
        <f aca="false">IFERROR(IF(AND($C43&gt;=G$15, $C43&lt;=G$16), IF(G$14&gt;1, N(MOD($C43-G$15, G$14)&lt;1), 1/G$14)*PI()*G$9/4*(G$7^2*MIN(G$10, $D42)+(G$7^2-G$8^2)*MIN(G$12, G$42))/IF($B$4, 25.4^3, 1), 0), 0)</f>
        <v>0</v>
      </c>
      <c r="J43" s="55" t="n">
        <f aca="false">IFERROR(IF(AND($C43&gt;=H$15, $C43&lt;=H$16), IF(H$14&gt;1, N(MOD($C43-H$15, H$14)&lt;1), 1/H$14)*PI()*H$9/4*(H$7^2*MIN(H$10, $D42)+(H$7^2-H$8^2)*MIN(H$12, H$42))/IF($B$4, 25.4^3, 1), 0), 0)</f>
        <v>0</v>
      </c>
      <c r="K43" s="55" t="n">
        <f aca="false">IFERROR(IF(AND($C43&gt;=I$15, $C43&lt;=I$16), IF(I$14&gt;1, N(MOD($C43-I$15, I$14)&lt;1), 1/I$14)*PI()*I$9/4*(I$7^2*MIN(I$10, $D42)+(I$7^2-I$8^2)*MIN(I$12, I$42))/IF($B$4, 25.4^3, 1), 0), 0)</f>
        <v>0</v>
      </c>
      <c r="L43" s="55" t="n">
        <f aca="false">IFERROR(IF(AND($C43&gt;=J$15, $C43&lt;=J$16), IF(J$14&gt;1, N(MOD($C43-J$15, J$14)&lt;1), 1/J$14)*PI()*J$9/4*(J$7^2*MIN(J$10, $D42)+(J$7^2-J$8^2)*MIN(J$12, J$42))/IF($B$4, 25.4^3, 1), 0), 0)</f>
        <v>0</v>
      </c>
      <c r="M43" s="55" t="n">
        <f aca="false">IFERROR(IF(AND($C43&gt;=K$15, $C43&lt;=K$16), IF(K$14&gt;1, N(MOD($C43-K$15, K$14)&lt;1), 1/K$14)*PI()*K$9/4*(K$7^2*MIN(K$10, $D42)+(K$7^2-K$8^2)*MIN(K$12, K$42))/IF($B$4, 25.4^3, 1), 0), 0)</f>
        <v>0</v>
      </c>
      <c r="N43" s="148"/>
    </row>
    <row r="44" customFormat="false" ht="15" hidden="false" customHeight="false" outlineLevel="0" collapsed="false">
      <c r="C44" s="55" t="n">
        <v>2</v>
      </c>
      <c r="D44" s="55" t="n">
        <f aca="false">MAX((D43*($N$10/IF($B$4, 16.387, 1))+E44-SUM(F44:M44))/($N$10/IF($B$4, 16.387, 1)), 0)</f>
        <v>120</v>
      </c>
      <c r="E44" s="55" t="n">
        <f aca="false">IF(D43&lt;$N$15, $D$40*D43^3+$E$40*D43^2+$F$40*D43+$G$40, 0) * 12^3/60*14.7</f>
        <v>0</v>
      </c>
      <c r="F44" s="55" t="n">
        <f aca="false">IFERROR(IF(AND($C44&gt;=D$15, $C44&lt;=D$16), IF(D$14&gt;1, N(MOD($C44-D$15, D$14)&lt;1), 1/D$14)*PI()*D$9/4*(D$7^2*MIN(D$10, $D43)+(D$7^2-D$8^2)*MIN(D$12, D$42))/IF($B$4, 25.4^3, 1), 0), 0)</f>
        <v>0</v>
      </c>
      <c r="G44" s="55" t="n">
        <f aca="false">IFERROR(IF(AND($C44&gt;=E$15, $C44&lt;=E$16), IF(E$14&gt;1, N(MOD($C44-E$15, E$14)&lt;1), 1/E$14)*PI()*E$9/4*(E$7^2*MIN(E$10, $D43)+(E$7^2-E$8^2)*MIN(E$12, E$42))/IF($B$4, 25.4^3, 1), 0), 0)</f>
        <v>0</v>
      </c>
      <c r="H44" s="55" t="n">
        <f aca="false">IFERROR(IF(AND($C44&gt;=F$15, $C44&lt;=F$16), IF(F$14&gt;1, N(MOD($C44-F$15, F$14)&lt;1), 1/F$14)*PI()*F$9/4*(F$7^2*MIN(F$10, $D43)+(F$7^2-F$8^2)*MIN(F$12, F$42))/IF($B$4, 25.4^3, 1), 0), 0)</f>
        <v>0</v>
      </c>
      <c r="I44" s="55" t="n">
        <f aca="false">IFERROR(IF(AND($C44&gt;=G$15, $C44&lt;=G$16), IF(G$14&gt;1, N(MOD($C44-G$15, G$14)&lt;1), 1/G$14)*PI()*G$9/4*(G$7^2*MIN(G$10, $D43)+(G$7^2-G$8^2)*MIN(G$12, G$42))/IF($B$4, 25.4^3, 1), 0), 0)</f>
        <v>0</v>
      </c>
      <c r="J44" s="55" t="n">
        <f aca="false">IFERROR(IF(AND($C44&gt;=H$15, $C44&lt;=H$16), IF(H$14&gt;1, N(MOD($C44-H$15, H$14)&lt;1), 1/H$14)*PI()*H$9/4*(H$7^2*MIN(H$10, $D43)+(H$7^2-H$8^2)*MIN(H$12, H$42))/IF($B$4, 25.4^3, 1), 0), 0)</f>
        <v>0</v>
      </c>
      <c r="K44" s="55" t="n">
        <f aca="false">IFERROR(IF(AND($C44&gt;=I$15, $C44&lt;=I$16), IF(I$14&gt;1, N(MOD($C44-I$15, I$14)&lt;1), 1/I$14)*PI()*I$9/4*(I$7^2*MIN(I$10, $D43)+(I$7^2-I$8^2)*MIN(I$12, I$42))/IF($B$4, 25.4^3, 1), 0), 0)</f>
        <v>0</v>
      </c>
      <c r="L44" s="55" t="n">
        <f aca="false">IFERROR(IF(AND($C44&gt;=J$15, $C44&lt;=J$16), IF(J$14&gt;1, N(MOD($C44-J$15, J$14)&lt;1), 1/J$14)*PI()*J$9/4*(J$7^2*MIN(J$10, $D43)+(J$7^2-J$8^2)*MIN(J$12, J$42))/IF($B$4, 25.4^3, 1), 0), 0)</f>
        <v>0</v>
      </c>
      <c r="M44" s="55" t="n">
        <f aca="false">IFERROR(IF(AND($C44&gt;=K$15, $C44&lt;=K$16), IF(K$14&gt;1, N(MOD($C44-K$15, K$14)&lt;1), 1/K$14)*PI()*K$9/4*(K$7^2*MIN(K$10, $D43)+(K$7^2-K$8^2)*MIN(K$12, K$42))/IF($B$4, 25.4^3, 1), 0), 0)</f>
        <v>0</v>
      </c>
      <c r="N44" s="148"/>
    </row>
    <row r="45" customFormat="false" ht="15" hidden="false" customHeight="false" outlineLevel="0" collapsed="false">
      <c r="C45" s="55" t="n">
        <v>3</v>
      </c>
      <c r="D45" s="55" t="n">
        <f aca="false">MAX((D44*($N$10/IF($B$4, 16.387, 1))+E45-SUM(F45:M45))/($N$10/IF($B$4, 16.387, 1)), 0)</f>
        <v>120</v>
      </c>
      <c r="E45" s="55" t="n">
        <f aca="false">IF(D44&lt;$N$15, $D$40*D44^3+$E$40*D44^2+$F$40*D44+$G$40, 0) * 12^3/60*14.7</f>
        <v>0</v>
      </c>
      <c r="F45" s="55" t="n">
        <f aca="false">IFERROR(IF(AND($C45&gt;=D$15, $C45&lt;=D$16), IF(D$14&gt;1, N(MOD($C45-D$15, D$14)&lt;1), 1/D$14)*PI()*D$9/4*(D$7^2*MIN(D$10, $D44)+(D$7^2-D$8^2)*MIN(D$12, D$42))/IF($B$4, 25.4^3, 1), 0), 0)</f>
        <v>0</v>
      </c>
      <c r="G45" s="55" t="n">
        <f aca="false">IFERROR(IF(AND($C45&gt;=E$15, $C45&lt;=E$16), IF(E$14&gt;1, N(MOD($C45-E$15, E$14)&lt;1), 1/E$14)*PI()*E$9/4*(E$7^2*MIN(E$10, $D44)+(E$7^2-E$8^2)*MIN(E$12, E$42))/IF($B$4, 25.4^3, 1), 0), 0)</f>
        <v>0</v>
      </c>
      <c r="H45" s="55" t="n">
        <f aca="false">IFERROR(IF(AND($C45&gt;=F$15, $C45&lt;=F$16), IF(F$14&gt;1, N(MOD($C45-F$15, F$14)&lt;1), 1/F$14)*PI()*F$9/4*(F$7^2*MIN(F$10, $D44)+(F$7^2-F$8^2)*MIN(F$12, F$42))/IF($B$4, 25.4^3, 1), 0), 0)</f>
        <v>0</v>
      </c>
      <c r="I45" s="55" t="n">
        <f aca="false">IFERROR(IF(AND($C45&gt;=G$15, $C45&lt;=G$16), IF(G$14&gt;1, N(MOD($C45-G$15, G$14)&lt;1), 1/G$14)*PI()*G$9/4*(G$7^2*MIN(G$10, $D44)+(G$7^2-G$8^2)*MIN(G$12, G$42))/IF($B$4, 25.4^3, 1), 0), 0)</f>
        <v>0</v>
      </c>
      <c r="J45" s="55" t="n">
        <f aca="false">IFERROR(IF(AND($C45&gt;=H$15, $C45&lt;=H$16), IF(H$14&gt;1, N(MOD($C45-H$15, H$14)&lt;1), 1/H$14)*PI()*H$9/4*(H$7^2*MIN(H$10, $D44)+(H$7^2-H$8^2)*MIN(H$12, H$42))/IF($B$4, 25.4^3, 1), 0), 0)</f>
        <v>0</v>
      </c>
      <c r="K45" s="55" t="n">
        <f aca="false">IFERROR(IF(AND($C45&gt;=I$15, $C45&lt;=I$16), IF(I$14&gt;1, N(MOD($C45-I$15, I$14)&lt;1), 1/I$14)*PI()*I$9/4*(I$7^2*MIN(I$10, $D44)+(I$7^2-I$8^2)*MIN(I$12, I$42))/IF($B$4, 25.4^3, 1), 0), 0)</f>
        <v>0</v>
      </c>
      <c r="L45" s="55" t="n">
        <f aca="false">IFERROR(IF(AND($C45&gt;=J$15, $C45&lt;=J$16), IF(J$14&gt;1, N(MOD($C45-J$15, J$14)&lt;1), 1/J$14)*PI()*J$9/4*(J$7^2*MIN(J$10, $D44)+(J$7^2-J$8^2)*MIN(J$12, J$42))/IF($B$4, 25.4^3, 1), 0), 0)</f>
        <v>0</v>
      </c>
      <c r="M45" s="55" t="n">
        <f aca="false">IFERROR(IF(AND($C45&gt;=K$15, $C45&lt;=K$16), IF(K$14&gt;1, N(MOD($C45-K$15, K$14)&lt;1), 1/K$14)*PI()*K$9/4*(K$7^2*MIN(K$10, $D44)+(K$7^2-K$8^2)*MIN(K$12, K$42))/IF($B$4, 25.4^3, 1), 0), 0)</f>
        <v>0</v>
      </c>
      <c r="N45" s="148"/>
    </row>
    <row r="46" customFormat="false" ht="15" hidden="false" customHeight="false" outlineLevel="0" collapsed="false">
      <c r="C46" s="55" t="n">
        <v>4</v>
      </c>
      <c r="D46" s="55" t="n">
        <f aca="false">MAX((D45*($N$10/IF($B$4, 16.387, 1))+E46-SUM(F46:M46))/($N$10/IF($B$4, 16.387, 1)), 0)</f>
        <v>120</v>
      </c>
      <c r="E46" s="55" t="n">
        <f aca="false">IF(D45&lt;$N$15, $D$40*D45^3+$E$40*D45^2+$F$40*D45+$G$40, 0) * 12^3/60*14.7</f>
        <v>0</v>
      </c>
      <c r="F46" s="55" t="n">
        <f aca="false">IFERROR(IF(AND($C46&gt;=D$15, $C46&lt;=D$16), IF(D$14&gt;1, N(MOD($C46-D$15, D$14)&lt;1), 1/D$14)*PI()*D$9/4*(D$7^2*MIN(D$10, $D45)+(D$7^2-D$8^2)*MIN(D$12, D$42))/IF($B$4, 25.4^3, 1), 0), 0)</f>
        <v>0</v>
      </c>
      <c r="G46" s="55" t="n">
        <f aca="false">IFERROR(IF(AND($C46&gt;=E$15, $C46&lt;=E$16), IF(E$14&gt;1, N(MOD($C46-E$15, E$14)&lt;1), 1/E$14)*PI()*E$9/4*(E$7^2*MIN(E$10, $D45)+(E$7^2-E$8^2)*MIN(E$12, E$42))/IF($B$4, 25.4^3, 1), 0), 0)</f>
        <v>0</v>
      </c>
      <c r="H46" s="55" t="n">
        <f aca="false">IFERROR(IF(AND($C46&gt;=F$15, $C46&lt;=F$16), IF(F$14&gt;1, N(MOD($C46-F$15, F$14)&lt;1), 1/F$14)*PI()*F$9/4*(F$7^2*MIN(F$10, $D45)+(F$7^2-F$8^2)*MIN(F$12, F$42))/IF($B$4, 25.4^3, 1), 0), 0)</f>
        <v>0</v>
      </c>
      <c r="I46" s="55" t="n">
        <f aca="false">IFERROR(IF(AND($C46&gt;=G$15, $C46&lt;=G$16), IF(G$14&gt;1, N(MOD($C46-G$15, G$14)&lt;1), 1/G$14)*PI()*G$9/4*(G$7^2*MIN(G$10, $D45)+(G$7^2-G$8^2)*MIN(G$12, G$42))/IF($B$4, 25.4^3, 1), 0), 0)</f>
        <v>0</v>
      </c>
      <c r="J46" s="55" t="n">
        <f aca="false">IFERROR(IF(AND($C46&gt;=H$15, $C46&lt;=H$16), IF(H$14&gt;1, N(MOD($C46-H$15, H$14)&lt;1), 1/H$14)*PI()*H$9/4*(H$7^2*MIN(H$10, $D45)+(H$7^2-H$8^2)*MIN(H$12, H$42))/IF($B$4, 25.4^3, 1), 0), 0)</f>
        <v>0</v>
      </c>
      <c r="K46" s="55" t="n">
        <f aca="false">IFERROR(IF(AND($C46&gt;=I$15, $C46&lt;=I$16), IF(I$14&gt;1, N(MOD($C46-I$15, I$14)&lt;1), 1/I$14)*PI()*I$9/4*(I$7^2*MIN(I$10, $D45)+(I$7^2-I$8^2)*MIN(I$12, I$42))/IF($B$4, 25.4^3, 1), 0), 0)</f>
        <v>0</v>
      </c>
      <c r="L46" s="55" t="n">
        <f aca="false">IFERROR(IF(AND($C46&gt;=J$15, $C46&lt;=J$16), IF(J$14&gt;1, N(MOD($C46-J$15, J$14)&lt;1), 1/J$14)*PI()*J$9/4*(J$7^2*MIN(J$10, $D45)+(J$7^2-J$8^2)*MIN(J$12, J$42))/IF($B$4, 25.4^3, 1), 0), 0)</f>
        <v>0</v>
      </c>
      <c r="M46" s="55" t="n">
        <f aca="false">IFERROR(IF(AND($C46&gt;=K$15, $C46&lt;=K$16), IF(K$14&gt;1, N(MOD($C46-K$15, K$14)&lt;1), 1/K$14)*PI()*K$9/4*(K$7^2*MIN(K$10, $D45)+(K$7^2-K$8^2)*MIN(K$12, K$42))/IF($B$4, 25.4^3, 1), 0), 0)</f>
        <v>0</v>
      </c>
      <c r="N46" s="148"/>
    </row>
    <row r="47" customFormat="false" ht="15" hidden="false" customHeight="false" outlineLevel="0" collapsed="false">
      <c r="C47" s="55" t="n">
        <v>5</v>
      </c>
      <c r="D47" s="55" t="n">
        <f aca="false">MAX((D46*($N$10/IF($B$4, 16.387, 1))+E47-SUM(F47:M47))/($N$10/IF($B$4, 16.387, 1)), 0)</f>
        <v>120</v>
      </c>
      <c r="E47" s="55" t="n">
        <f aca="false">IF(D46&lt;$N$15, $D$40*D46^3+$E$40*D46^2+$F$40*D46+$G$40, 0) * 12^3/60*14.7</f>
        <v>0</v>
      </c>
      <c r="F47" s="55" t="n">
        <f aca="false">IFERROR(IF(AND($C47&gt;=D$15, $C47&lt;=D$16), IF(D$14&gt;1, N(MOD($C47-D$15, D$14)&lt;1), 1/D$14)*PI()*D$9/4*(D$7^2*MIN(D$10, $D46)+(D$7^2-D$8^2)*MIN(D$12, D$42))/IF($B$4, 25.4^3, 1), 0), 0)</f>
        <v>0</v>
      </c>
      <c r="G47" s="55" t="n">
        <f aca="false">IFERROR(IF(AND($C47&gt;=E$15, $C47&lt;=E$16), IF(E$14&gt;1, N(MOD($C47-E$15, E$14)&lt;1), 1/E$14)*PI()*E$9/4*(E$7^2*MIN(E$10, $D46)+(E$7^2-E$8^2)*MIN(E$12, E$42))/IF($B$4, 25.4^3, 1), 0), 0)</f>
        <v>0</v>
      </c>
      <c r="H47" s="55" t="n">
        <f aca="false">IFERROR(IF(AND($C47&gt;=F$15, $C47&lt;=F$16), IF(F$14&gt;1, N(MOD($C47-F$15, F$14)&lt;1), 1/F$14)*PI()*F$9/4*(F$7^2*MIN(F$10, $D46)+(F$7^2-F$8^2)*MIN(F$12, F$42))/IF($B$4, 25.4^3, 1), 0), 0)</f>
        <v>0</v>
      </c>
      <c r="I47" s="55" t="n">
        <f aca="false">IFERROR(IF(AND($C47&gt;=G$15, $C47&lt;=G$16), IF(G$14&gt;1, N(MOD($C47-G$15, G$14)&lt;1), 1/G$14)*PI()*G$9/4*(G$7^2*MIN(G$10, $D46)+(G$7^2-G$8^2)*MIN(G$12, G$42))/IF($B$4, 25.4^3, 1), 0), 0)</f>
        <v>0</v>
      </c>
      <c r="J47" s="55" t="n">
        <f aca="false">IFERROR(IF(AND($C47&gt;=H$15, $C47&lt;=H$16), IF(H$14&gt;1, N(MOD($C47-H$15, H$14)&lt;1), 1/H$14)*PI()*H$9/4*(H$7^2*MIN(H$10, $D46)+(H$7^2-H$8^2)*MIN(H$12, H$42))/IF($B$4, 25.4^3, 1), 0), 0)</f>
        <v>0</v>
      </c>
      <c r="K47" s="55" t="n">
        <f aca="false">IFERROR(IF(AND($C47&gt;=I$15, $C47&lt;=I$16), IF(I$14&gt;1, N(MOD($C47-I$15, I$14)&lt;1), 1/I$14)*PI()*I$9/4*(I$7^2*MIN(I$10, $D46)+(I$7^2-I$8^2)*MIN(I$12, I$42))/IF($B$4, 25.4^3, 1), 0), 0)</f>
        <v>0</v>
      </c>
      <c r="L47" s="55" t="n">
        <f aca="false">IFERROR(IF(AND($C47&gt;=J$15, $C47&lt;=J$16), IF(J$14&gt;1, N(MOD($C47-J$15, J$14)&lt;1), 1/J$14)*PI()*J$9/4*(J$7^2*MIN(J$10, $D46)+(J$7^2-J$8^2)*MIN(J$12, J$42))/IF($B$4, 25.4^3, 1), 0), 0)</f>
        <v>0</v>
      </c>
      <c r="M47" s="55" t="n">
        <f aca="false">IFERROR(IF(AND($C47&gt;=K$15, $C47&lt;=K$16), IF(K$14&gt;1, N(MOD($C47-K$15, K$14)&lt;1), 1/K$14)*PI()*K$9/4*(K$7^2*MIN(K$10, $D46)+(K$7^2-K$8^2)*MIN(K$12, K$42))/IF($B$4, 25.4^3, 1), 0), 0)</f>
        <v>0</v>
      </c>
    </row>
    <row r="48" customFormat="false" ht="15" hidden="false" customHeight="false" outlineLevel="0" collapsed="false">
      <c r="C48" s="55" t="n">
        <v>6</v>
      </c>
      <c r="D48" s="55" t="n">
        <f aca="false">MAX((D47*($N$10/IF($B$4, 16.387, 1))+E48-SUM(F48:M48))/($N$10/IF($B$4, 16.387, 1)), 0)</f>
        <v>120</v>
      </c>
      <c r="E48" s="55" t="n">
        <f aca="false">IF(D47&lt;$N$15, $D$40*D47^3+$E$40*D47^2+$F$40*D47+$G$40, 0) * 12^3/60*14.7</f>
        <v>0</v>
      </c>
      <c r="F48" s="55" t="n">
        <f aca="false">IFERROR(IF(AND($C48&gt;=D$15, $C48&lt;=D$16), IF(D$14&gt;1, N(MOD($C48-D$15, D$14)&lt;1), 1/D$14)*PI()*D$9/4*(D$7^2*MIN(D$10, $D47)+(D$7^2-D$8^2)*MIN(D$12, D$42))/IF($B$4, 25.4^3, 1), 0), 0)</f>
        <v>0</v>
      </c>
      <c r="G48" s="55" t="n">
        <f aca="false">IFERROR(IF(AND($C48&gt;=E$15, $C48&lt;=E$16), IF(E$14&gt;1, N(MOD($C48-E$15, E$14)&lt;1), 1/E$14)*PI()*E$9/4*(E$7^2*MIN(E$10, $D47)+(E$7^2-E$8^2)*MIN(E$12, E$42))/IF($B$4, 25.4^3, 1), 0), 0)</f>
        <v>0</v>
      </c>
      <c r="H48" s="55" t="n">
        <f aca="false">IFERROR(IF(AND($C48&gt;=F$15, $C48&lt;=F$16), IF(F$14&gt;1, N(MOD($C48-F$15, F$14)&lt;1), 1/F$14)*PI()*F$9/4*(F$7^2*MIN(F$10, $D47)+(F$7^2-F$8^2)*MIN(F$12, F$42))/IF($B$4, 25.4^3, 1), 0), 0)</f>
        <v>0</v>
      </c>
      <c r="I48" s="55" t="n">
        <f aca="false">IFERROR(IF(AND($C48&gt;=G$15, $C48&lt;=G$16), IF(G$14&gt;1, N(MOD($C48-G$15, G$14)&lt;1), 1/G$14)*PI()*G$9/4*(G$7^2*MIN(G$10, $D47)+(G$7^2-G$8^2)*MIN(G$12, G$42))/IF($B$4, 25.4^3, 1), 0), 0)</f>
        <v>0</v>
      </c>
      <c r="J48" s="55" t="n">
        <f aca="false">IFERROR(IF(AND($C48&gt;=H$15, $C48&lt;=H$16), IF(H$14&gt;1, N(MOD($C48-H$15, H$14)&lt;1), 1/H$14)*PI()*H$9/4*(H$7^2*MIN(H$10, $D47)+(H$7^2-H$8^2)*MIN(H$12, H$42))/IF($B$4, 25.4^3, 1), 0), 0)</f>
        <v>0</v>
      </c>
      <c r="K48" s="55" t="n">
        <f aca="false">IFERROR(IF(AND($C48&gt;=I$15, $C48&lt;=I$16), IF(I$14&gt;1, N(MOD($C48-I$15, I$14)&lt;1), 1/I$14)*PI()*I$9/4*(I$7^2*MIN(I$10, $D47)+(I$7^2-I$8^2)*MIN(I$12, I$42))/IF($B$4, 25.4^3, 1), 0), 0)</f>
        <v>0</v>
      </c>
      <c r="L48" s="55" t="n">
        <f aca="false">IFERROR(IF(AND($C48&gt;=J$15, $C48&lt;=J$16), IF(J$14&gt;1, N(MOD($C48-J$15, J$14)&lt;1), 1/J$14)*PI()*J$9/4*(J$7^2*MIN(J$10, $D47)+(J$7^2-J$8^2)*MIN(J$12, J$42))/IF($B$4, 25.4^3, 1), 0), 0)</f>
        <v>0</v>
      </c>
      <c r="M48" s="55" t="n">
        <f aca="false">IFERROR(IF(AND($C48&gt;=K$15, $C48&lt;=K$16), IF(K$14&gt;1, N(MOD($C48-K$15, K$14)&lt;1), 1/K$14)*PI()*K$9/4*(K$7^2*MIN(K$10, $D47)+(K$7^2-K$8^2)*MIN(K$12, K$42))/IF($B$4, 25.4^3, 1), 0), 0)</f>
        <v>0</v>
      </c>
    </row>
    <row r="49" customFormat="false" ht="15" hidden="false" customHeight="false" outlineLevel="0" collapsed="false">
      <c r="C49" s="55" t="n">
        <v>7</v>
      </c>
      <c r="D49" s="55" t="n">
        <f aca="false">MAX((D48*($N$10/IF($B$4, 16.387, 1))+E49-SUM(F49:M49))/($N$10/IF($B$4, 16.387, 1)), 0)</f>
        <v>120</v>
      </c>
      <c r="E49" s="55" t="n">
        <f aca="false">IF(D48&lt;$N$15, $D$40*D48^3+$E$40*D48^2+$F$40*D48+$G$40, 0) * 12^3/60*14.7</f>
        <v>0</v>
      </c>
      <c r="F49" s="55" t="n">
        <f aca="false">IFERROR(IF(AND($C49&gt;=D$15, $C49&lt;=D$16), IF(D$14&gt;1, N(MOD($C49-D$15, D$14)&lt;1), 1/D$14)*PI()*D$9/4*(D$7^2*MIN(D$10, $D48)+(D$7^2-D$8^2)*MIN(D$12, D$42))/IF($B$4, 25.4^3, 1), 0), 0)</f>
        <v>0</v>
      </c>
      <c r="G49" s="55" t="n">
        <f aca="false">IFERROR(IF(AND($C49&gt;=E$15, $C49&lt;=E$16), IF(E$14&gt;1, N(MOD($C49-E$15, E$14)&lt;1), 1/E$14)*PI()*E$9/4*(E$7^2*MIN(E$10, $D48)+(E$7^2-E$8^2)*MIN(E$12, E$42))/IF($B$4, 25.4^3, 1), 0), 0)</f>
        <v>0</v>
      </c>
      <c r="H49" s="55" t="n">
        <f aca="false">IFERROR(IF(AND($C49&gt;=F$15, $C49&lt;=F$16), IF(F$14&gt;1, N(MOD($C49-F$15, F$14)&lt;1), 1/F$14)*PI()*F$9/4*(F$7^2*MIN(F$10, $D48)+(F$7^2-F$8^2)*MIN(F$12, F$42))/IF($B$4, 25.4^3, 1), 0), 0)</f>
        <v>0</v>
      </c>
      <c r="I49" s="55" t="n">
        <f aca="false">IFERROR(IF(AND($C49&gt;=G$15, $C49&lt;=G$16), IF(G$14&gt;1, N(MOD($C49-G$15, G$14)&lt;1), 1/G$14)*PI()*G$9/4*(G$7^2*MIN(G$10, $D48)+(G$7^2-G$8^2)*MIN(G$12, G$42))/IF($B$4, 25.4^3, 1), 0), 0)</f>
        <v>0</v>
      </c>
      <c r="J49" s="55" t="n">
        <f aca="false">IFERROR(IF(AND($C49&gt;=H$15, $C49&lt;=H$16), IF(H$14&gt;1, N(MOD($C49-H$15, H$14)&lt;1), 1/H$14)*PI()*H$9/4*(H$7^2*MIN(H$10, $D48)+(H$7^2-H$8^2)*MIN(H$12, H$42))/IF($B$4, 25.4^3, 1), 0), 0)</f>
        <v>0</v>
      </c>
      <c r="K49" s="55" t="n">
        <f aca="false">IFERROR(IF(AND($C49&gt;=I$15, $C49&lt;=I$16), IF(I$14&gt;1, N(MOD($C49-I$15, I$14)&lt;1), 1/I$14)*PI()*I$9/4*(I$7^2*MIN(I$10, $D48)+(I$7^2-I$8^2)*MIN(I$12, I$42))/IF($B$4, 25.4^3, 1), 0), 0)</f>
        <v>0</v>
      </c>
      <c r="L49" s="55" t="n">
        <f aca="false">IFERROR(IF(AND($C49&gt;=J$15, $C49&lt;=J$16), IF(J$14&gt;1, N(MOD($C49-J$15, J$14)&lt;1), 1/J$14)*PI()*J$9/4*(J$7^2*MIN(J$10, $D48)+(J$7^2-J$8^2)*MIN(J$12, J$42))/IF($B$4, 25.4^3, 1), 0), 0)</f>
        <v>0</v>
      </c>
      <c r="M49" s="55" t="n">
        <f aca="false">IFERROR(IF(AND($C49&gt;=K$15, $C49&lt;=K$16), IF(K$14&gt;1, N(MOD($C49-K$15, K$14)&lt;1), 1/K$14)*PI()*K$9/4*(K$7^2*MIN(K$10, $D48)+(K$7^2-K$8^2)*MIN(K$12, K$42))/IF($B$4, 25.4^3, 1), 0), 0)</f>
        <v>0</v>
      </c>
    </row>
    <row r="50" customFormat="false" ht="15" hidden="false" customHeight="false" outlineLevel="0" collapsed="false">
      <c r="C50" s="55" t="n">
        <v>8</v>
      </c>
      <c r="D50" s="55" t="n">
        <f aca="false">MAX((D49*($N$10/IF($B$4, 16.387, 1))+E50-SUM(F50:M50))/($N$10/IF($B$4, 16.387, 1)), 0)</f>
        <v>109.081563032055</v>
      </c>
      <c r="E50" s="55" t="n">
        <f aca="false">IF(D49&lt;$N$15, $D$40*D49^3+$E$40*D49^2+$F$40*D49+$G$40, 0) * 12^3/60*14.7</f>
        <v>0</v>
      </c>
      <c r="F50" s="55" t="n">
        <f aca="false">IFERROR(IF(AND($C50&gt;=D$15, $C50&lt;=D$16), IF(D$14&gt;1, N(MOD($C50-D$15, D$14)&lt;1), 1/D$14)*PI()*D$9/4*(D$7^2*MIN(D$10, $D49)+(D$7^2-D$8^2)*MIN(D$12, D$42))/IF($B$4, 25.4^3, 1), 0), 0)</f>
        <v>1146.43588163421</v>
      </c>
      <c r="G50" s="55" t="n">
        <f aca="false">IFERROR(IF(AND($C50&gt;=E$15, $C50&lt;=E$16), IF(E$14&gt;1, N(MOD($C50-E$15, E$14)&lt;1), 1/E$14)*PI()*E$9/4*(E$7^2*MIN(E$10, $D49)+(E$7^2-E$8^2)*MIN(E$12, E$42))/IF($B$4, 25.4^3, 1), 0), 0)</f>
        <v>0</v>
      </c>
      <c r="H50" s="55" t="n">
        <f aca="false">IFERROR(IF(AND($C50&gt;=F$15, $C50&lt;=F$16), IF(F$14&gt;1, N(MOD($C50-F$15, F$14)&lt;1), 1/F$14)*PI()*F$9/4*(F$7^2*MIN(F$10, $D49)+(F$7^2-F$8^2)*MIN(F$12, F$42))/IF($B$4, 25.4^3, 1), 0), 0)</f>
        <v>0</v>
      </c>
      <c r="I50" s="55" t="n">
        <f aca="false">IFERROR(IF(AND($C50&gt;=G$15, $C50&lt;=G$16), IF(G$14&gt;1, N(MOD($C50-G$15, G$14)&lt;1), 1/G$14)*PI()*G$9/4*(G$7^2*MIN(G$10, $D49)+(G$7^2-G$8^2)*MIN(G$12, G$42))/IF($B$4, 25.4^3, 1), 0), 0)</f>
        <v>0</v>
      </c>
      <c r="J50" s="55" t="n">
        <f aca="false">IFERROR(IF(AND($C50&gt;=H$15, $C50&lt;=H$16), IF(H$14&gt;1, N(MOD($C50-H$15, H$14)&lt;1), 1/H$14)*PI()*H$9/4*(H$7^2*MIN(H$10, $D49)+(H$7^2-H$8^2)*MIN(H$12, H$42))/IF($B$4, 25.4^3, 1), 0), 0)</f>
        <v>0</v>
      </c>
      <c r="K50" s="55" t="n">
        <f aca="false">IFERROR(IF(AND($C50&gt;=I$15, $C50&lt;=I$16), IF(I$14&gt;1, N(MOD($C50-I$15, I$14)&lt;1), 1/I$14)*PI()*I$9/4*(I$7^2*MIN(I$10, $D49)+(I$7^2-I$8^2)*MIN(I$12, I$42))/IF($B$4, 25.4^3, 1), 0), 0)</f>
        <v>0</v>
      </c>
      <c r="L50" s="55" t="n">
        <f aca="false">IFERROR(IF(AND($C50&gt;=J$15, $C50&lt;=J$16), IF(J$14&gt;1, N(MOD($C50-J$15, J$14)&lt;1), 1/J$14)*PI()*J$9/4*(J$7^2*MIN(J$10, $D49)+(J$7^2-J$8^2)*MIN(J$12, J$42))/IF($B$4, 25.4^3, 1), 0), 0)</f>
        <v>0</v>
      </c>
      <c r="M50" s="55" t="n">
        <f aca="false">IFERROR(IF(AND($C50&gt;=K$15, $C50&lt;=K$16), IF(K$14&gt;1, N(MOD($C50-K$15, K$14)&lt;1), 1/K$14)*PI()*K$9/4*(K$7^2*MIN(K$10, $D49)+(K$7^2-K$8^2)*MIN(K$12, K$42))/IF($B$4, 25.4^3, 1), 0), 0)</f>
        <v>0</v>
      </c>
    </row>
    <row r="51" customFormat="false" ht="15" hidden="false" customHeight="false" outlineLevel="0" collapsed="false">
      <c r="C51" s="55" t="n">
        <v>9</v>
      </c>
      <c r="D51" s="55" t="n">
        <f aca="false">MAX((D50*($N$10/IF($B$4, 16.387, 1))+E51-SUM(F51:M51))/($N$10/IF($B$4, 16.387, 1)), 0)</f>
        <v>109.081563032055</v>
      </c>
      <c r="E51" s="55" t="n">
        <f aca="false">IF(D50&lt;$N$15, $D$40*D50^3+$E$40*D50^2+$F$40*D50+$G$40, 0) * 12^3/60*14.7</f>
        <v>0</v>
      </c>
      <c r="F51" s="55" t="n">
        <f aca="false">IFERROR(IF(AND($C51&gt;=D$15, $C51&lt;=D$16), IF(D$14&gt;1, N(MOD($C51-D$15, D$14)&lt;1), 1/D$14)*PI()*D$9/4*(D$7^2*MIN(D$10, $D50)+(D$7^2-D$8^2)*MIN(D$12, D$42))/IF($B$4, 25.4^3, 1), 0), 0)</f>
        <v>0</v>
      </c>
      <c r="G51" s="55" t="n">
        <f aca="false">IFERROR(IF(AND($C51&gt;=E$15, $C51&lt;=E$16), IF(E$14&gt;1, N(MOD($C51-E$15, E$14)&lt;1), 1/E$14)*PI()*E$9/4*(E$7^2*MIN(E$10, $D50)+(E$7^2-E$8^2)*MIN(E$12, E$42))/IF($B$4, 25.4^3, 1), 0), 0)</f>
        <v>0</v>
      </c>
      <c r="H51" s="55" t="n">
        <f aca="false">IFERROR(IF(AND($C51&gt;=F$15, $C51&lt;=F$16), IF(F$14&gt;1, N(MOD($C51-F$15, F$14)&lt;1), 1/F$14)*PI()*F$9/4*(F$7^2*MIN(F$10, $D50)+(F$7^2-F$8^2)*MIN(F$12, F$42))/IF($B$4, 25.4^3, 1), 0), 0)</f>
        <v>0</v>
      </c>
      <c r="I51" s="55" t="n">
        <f aca="false">IFERROR(IF(AND($C51&gt;=G$15, $C51&lt;=G$16), IF(G$14&gt;1, N(MOD($C51-G$15, G$14)&lt;1), 1/G$14)*PI()*G$9/4*(G$7^2*MIN(G$10, $D50)+(G$7^2-G$8^2)*MIN(G$12, G$42))/IF($B$4, 25.4^3, 1), 0), 0)</f>
        <v>0</v>
      </c>
      <c r="J51" s="55" t="n">
        <f aca="false">IFERROR(IF(AND($C51&gt;=H$15, $C51&lt;=H$16), IF(H$14&gt;1, N(MOD($C51-H$15, H$14)&lt;1), 1/H$14)*PI()*H$9/4*(H$7^2*MIN(H$10, $D50)+(H$7^2-H$8^2)*MIN(H$12, H$42))/IF($B$4, 25.4^3, 1), 0), 0)</f>
        <v>0</v>
      </c>
      <c r="K51" s="55" t="n">
        <f aca="false">IFERROR(IF(AND($C51&gt;=I$15, $C51&lt;=I$16), IF(I$14&gt;1, N(MOD($C51-I$15, I$14)&lt;1), 1/I$14)*PI()*I$9/4*(I$7^2*MIN(I$10, $D50)+(I$7^2-I$8^2)*MIN(I$12, I$42))/IF($B$4, 25.4^3, 1), 0), 0)</f>
        <v>0</v>
      </c>
      <c r="L51" s="55" t="n">
        <f aca="false">IFERROR(IF(AND($C51&gt;=J$15, $C51&lt;=J$16), IF(J$14&gt;1, N(MOD($C51-J$15, J$14)&lt;1), 1/J$14)*PI()*J$9/4*(J$7^2*MIN(J$10, $D50)+(J$7^2-J$8^2)*MIN(J$12, J$42))/IF($B$4, 25.4^3, 1), 0), 0)</f>
        <v>0</v>
      </c>
      <c r="M51" s="55" t="n">
        <f aca="false">IFERROR(IF(AND($C51&gt;=K$15, $C51&lt;=K$16), IF(K$14&gt;1, N(MOD($C51-K$15, K$14)&lt;1), 1/K$14)*PI()*K$9/4*(K$7^2*MIN(K$10, $D50)+(K$7^2-K$8^2)*MIN(K$12, K$42))/IF($B$4, 25.4^3, 1), 0), 0)</f>
        <v>0</v>
      </c>
    </row>
    <row r="52" customFormat="false" ht="15" hidden="false" customHeight="false" outlineLevel="0" collapsed="false">
      <c r="C52" s="55" t="n">
        <v>10</v>
      </c>
      <c r="D52" s="55" t="n">
        <f aca="false">MAX((D51*($N$10/IF($B$4, 16.387, 1))+E52-SUM(F52:M52))/($N$10/IF($B$4, 16.387, 1)), 0)</f>
        <v>109.081563032055</v>
      </c>
      <c r="E52" s="55" t="n">
        <f aca="false">IF(D51&lt;$N$15, $D$40*D51^3+$E$40*D51^2+$F$40*D51+$G$40, 0) * 12^3/60*14.7</f>
        <v>0</v>
      </c>
      <c r="F52" s="55" t="n">
        <f aca="false">IFERROR(IF(AND($C52&gt;=D$15, $C52&lt;=D$16), IF(D$14&gt;1, N(MOD($C52-D$15, D$14)&lt;1), 1/D$14)*PI()*D$9/4*(D$7^2*MIN(D$10, $D51)+(D$7^2-D$8^2)*MIN(D$12, D$42))/IF($B$4, 25.4^3, 1), 0), 0)</f>
        <v>0</v>
      </c>
      <c r="G52" s="55" t="n">
        <f aca="false">IFERROR(IF(AND($C52&gt;=E$15, $C52&lt;=E$16), IF(E$14&gt;1, N(MOD($C52-E$15, E$14)&lt;1), 1/E$14)*PI()*E$9/4*(E$7^2*MIN(E$10, $D51)+(E$7^2-E$8^2)*MIN(E$12, E$42))/IF($B$4, 25.4^3, 1), 0), 0)</f>
        <v>0</v>
      </c>
      <c r="H52" s="55" t="n">
        <f aca="false">IFERROR(IF(AND($C52&gt;=F$15, $C52&lt;=F$16), IF(F$14&gt;1, N(MOD($C52-F$15, F$14)&lt;1), 1/F$14)*PI()*F$9/4*(F$7^2*MIN(F$10, $D51)+(F$7^2-F$8^2)*MIN(F$12, F$42))/IF($B$4, 25.4^3, 1), 0), 0)</f>
        <v>0</v>
      </c>
      <c r="I52" s="55" t="n">
        <f aca="false">IFERROR(IF(AND($C52&gt;=G$15, $C52&lt;=G$16), IF(G$14&gt;1, N(MOD($C52-G$15, G$14)&lt;1), 1/G$14)*PI()*G$9/4*(G$7^2*MIN(G$10, $D51)+(G$7^2-G$8^2)*MIN(G$12, G$42))/IF($B$4, 25.4^3, 1), 0), 0)</f>
        <v>0</v>
      </c>
      <c r="J52" s="55" t="n">
        <f aca="false">IFERROR(IF(AND($C52&gt;=H$15, $C52&lt;=H$16), IF(H$14&gt;1, N(MOD($C52-H$15, H$14)&lt;1), 1/H$14)*PI()*H$9/4*(H$7^2*MIN(H$10, $D51)+(H$7^2-H$8^2)*MIN(H$12, H$42))/IF($B$4, 25.4^3, 1), 0), 0)</f>
        <v>0</v>
      </c>
      <c r="K52" s="55" t="n">
        <f aca="false">IFERROR(IF(AND($C52&gt;=I$15, $C52&lt;=I$16), IF(I$14&gt;1, N(MOD($C52-I$15, I$14)&lt;1), 1/I$14)*PI()*I$9/4*(I$7^2*MIN(I$10, $D51)+(I$7^2-I$8^2)*MIN(I$12, I$42))/IF($B$4, 25.4^3, 1), 0), 0)</f>
        <v>0</v>
      </c>
      <c r="L52" s="55" t="n">
        <f aca="false">IFERROR(IF(AND($C52&gt;=J$15, $C52&lt;=J$16), IF(J$14&gt;1, N(MOD($C52-J$15, J$14)&lt;1), 1/J$14)*PI()*J$9/4*(J$7^2*MIN(J$10, $D51)+(J$7^2-J$8^2)*MIN(J$12, J$42))/IF($B$4, 25.4^3, 1), 0), 0)</f>
        <v>0</v>
      </c>
      <c r="M52" s="55" t="n">
        <f aca="false">IFERROR(IF(AND($C52&gt;=K$15, $C52&lt;=K$16), IF(K$14&gt;1, N(MOD($C52-K$15, K$14)&lt;1), 1/K$14)*PI()*K$9/4*(K$7^2*MIN(K$10, $D51)+(K$7^2-K$8^2)*MIN(K$12, K$42))/IF($B$4, 25.4^3, 1), 0), 0)</f>
        <v>0</v>
      </c>
    </row>
    <row r="53" customFormat="false" ht="15" hidden="false" customHeight="false" outlineLevel="0" collapsed="false">
      <c r="C53" s="55" t="n">
        <v>11</v>
      </c>
      <c r="D53" s="55" t="n">
        <f aca="false">MAX((D52*($N$10/IF($B$4, 16.387, 1))+E53-SUM(F53:M53))/($N$10/IF($B$4, 16.387, 1)), 0)</f>
        <v>109.081563032055</v>
      </c>
      <c r="E53" s="55" t="n">
        <f aca="false">IF(D52&lt;$N$15, $D$40*D52^3+$E$40*D52^2+$F$40*D52+$G$40, 0) * 12^3/60*14.7</f>
        <v>0</v>
      </c>
      <c r="F53" s="55" t="n">
        <f aca="false">IFERROR(IF(AND($C53&gt;=D$15, $C53&lt;=D$16), IF(D$14&gt;1, N(MOD($C53-D$15, D$14)&lt;1), 1/D$14)*PI()*D$9/4*(D$7^2*MIN(D$10, $D52)+(D$7^2-D$8^2)*MIN(D$12, D$42))/IF($B$4, 25.4^3, 1), 0), 0)</f>
        <v>0</v>
      </c>
      <c r="G53" s="55" t="n">
        <f aca="false">IFERROR(IF(AND($C53&gt;=E$15, $C53&lt;=E$16), IF(E$14&gt;1, N(MOD($C53-E$15, E$14)&lt;1), 1/E$14)*PI()*E$9/4*(E$7^2*MIN(E$10, $D52)+(E$7^2-E$8^2)*MIN(E$12, E$42))/IF($B$4, 25.4^3, 1), 0), 0)</f>
        <v>0</v>
      </c>
      <c r="H53" s="55" t="n">
        <f aca="false">IFERROR(IF(AND($C53&gt;=F$15, $C53&lt;=F$16), IF(F$14&gt;1, N(MOD($C53-F$15, F$14)&lt;1), 1/F$14)*PI()*F$9/4*(F$7^2*MIN(F$10, $D52)+(F$7^2-F$8^2)*MIN(F$12, F$42))/IF($B$4, 25.4^3, 1), 0), 0)</f>
        <v>0</v>
      </c>
      <c r="I53" s="55" t="n">
        <f aca="false">IFERROR(IF(AND($C53&gt;=G$15, $C53&lt;=G$16), IF(G$14&gt;1, N(MOD($C53-G$15, G$14)&lt;1), 1/G$14)*PI()*G$9/4*(G$7^2*MIN(G$10, $D52)+(G$7^2-G$8^2)*MIN(G$12, G$42))/IF($B$4, 25.4^3, 1), 0), 0)</f>
        <v>0</v>
      </c>
      <c r="J53" s="55" t="n">
        <f aca="false">IFERROR(IF(AND($C53&gt;=H$15, $C53&lt;=H$16), IF(H$14&gt;1, N(MOD($C53-H$15, H$14)&lt;1), 1/H$14)*PI()*H$9/4*(H$7^2*MIN(H$10, $D52)+(H$7^2-H$8^2)*MIN(H$12, H$42))/IF($B$4, 25.4^3, 1), 0), 0)</f>
        <v>0</v>
      </c>
      <c r="K53" s="55" t="n">
        <f aca="false">IFERROR(IF(AND($C53&gt;=I$15, $C53&lt;=I$16), IF(I$14&gt;1, N(MOD($C53-I$15, I$14)&lt;1), 1/I$14)*PI()*I$9/4*(I$7^2*MIN(I$10, $D52)+(I$7^2-I$8^2)*MIN(I$12, I$42))/IF($B$4, 25.4^3, 1), 0), 0)</f>
        <v>0</v>
      </c>
      <c r="L53" s="55" t="n">
        <f aca="false">IFERROR(IF(AND($C53&gt;=J$15, $C53&lt;=J$16), IF(J$14&gt;1, N(MOD($C53-J$15, J$14)&lt;1), 1/J$14)*PI()*J$9/4*(J$7^2*MIN(J$10, $D52)+(J$7^2-J$8^2)*MIN(J$12, J$42))/IF($B$4, 25.4^3, 1), 0), 0)</f>
        <v>0</v>
      </c>
      <c r="M53" s="55" t="n">
        <f aca="false">IFERROR(IF(AND($C53&gt;=K$15, $C53&lt;=K$16), IF(K$14&gt;1, N(MOD($C53-K$15, K$14)&lt;1), 1/K$14)*PI()*K$9/4*(K$7^2*MIN(K$10, $D52)+(K$7^2-K$8^2)*MIN(K$12, K$42))/IF($B$4, 25.4^3, 1), 0), 0)</f>
        <v>0</v>
      </c>
    </row>
    <row r="54" customFormat="false" ht="15" hidden="false" customHeight="false" outlineLevel="0" collapsed="false">
      <c r="C54" s="55" t="n">
        <v>12</v>
      </c>
      <c r="D54" s="55" t="n">
        <f aca="false">MAX((D53*($N$10/IF($B$4, 16.387, 1))+E54-SUM(F54:M54))/($N$10/IF($B$4, 16.387, 1)), 0)</f>
        <v>109.081563032055</v>
      </c>
      <c r="E54" s="55" t="n">
        <f aca="false">IF(D53&lt;$N$15, $D$40*D53^3+$E$40*D53^2+$F$40*D53+$G$40, 0) * 12^3/60*14.7</f>
        <v>0</v>
      </c>
      <c r="F54" s="55" t="n">
        <f aca="false">IFERROR(IF(AND($C54&gt;=D$15, $C54&lt;=D$16), IF(D$14&gt;1, N(MOD($C54-D$15, D$14)&lt;1), 1/D$14)*PI()*D$9/4*(D$7^2*MIN(D$10, $D53)+(D$7^2-D$8^2)*MIN(D$12, D$42))/IF($B$4, 25.4^3, 1), 0), 0)</f>
        <v>0</v>
      </c>
      <c r="G54" s="55" t="n">
        <f aca="false">IFERROR(IF(AND($C54&gt;=E$15, $C54&lt;=E$16), IF(E$14&gt;1, N(MOD($C54-E$15, E$14)&lt;1), 1/E$14)*PI()*E$9/4*(E$7^2*MIN(E$10, $D53)+(E$7^2-E$8^2)*MIN(E$12, E$42))/IF($B$4, 25.4^3, 1), 0), 0)</f>
        <v>0</v>
      </c>
      <c r="H54" s="55" t="n">
        <f aca="false">IFERROR(IF(AND($C54&gt;=F$15, $C54&lt;=F$16), IF(F$14&gt;1, N(MOD($C54-F$15, F$14)&lt;1), 1/F$14)*PI()*F$9/4*(F$7^2*MIN(F$10, $D53)+(F$7^2-F$8^2)*MIN(F$12, F$42))/IF($B$4, 25.4^3, 1), 0), 0)</f>
        <v>0</v>
      </c>
      <c r="I54" s="55" t="n">
        <f aca="false">IFERROR(IF(AND($C54&gt;=G$15, $C54&lt;=G$16), IF(G$14&gt;1, N(MOD($C54-G$15, G$14)&lt;1), 1/G$14)*PI()*G$9/4*(G$7^2*MIN(G$10, $D53)+(G$7^2-G$8^2)*MIN(G$12, G$42))/IF($B$4, 25.4^3, 1), 0), 0)</f>
        <v>0</v>
      </c>
      <c r="J54" s="55" t="n">
        <f aca="false">IFERROR(IF(AND($C54&gt;=H$15, $C54&lt;=H$16), IF(H$14&gt;1, N(MOD($C54-H$15, H$14)&lt;1), 1/H$14)*PI()*H$9/4*(H$7^2*MIN(H$10, $D53)+(H$7^2-H$8^2)*MIN(H$12, H$42))/IF($B$4, 25.4^3, 1), 0), 0)</f>
        <v>0</v>
      </c>
      <c r="K54" s="55" t="n">
        <f aca="false">IFERROR(IF(AND($C54&gt;=I$15, $C54&lt;=I$16), IF(I$14&gt;1, N(MOD($C54-I$15, I$14)&lt;1), 1/I$14)*PI()*I$9/4*(I$7^2*MIN(I$10, $D53)+(I$7^2-I$8^2)*MIN(I$12, I$42))/IF($B$4, 25.4^3, 1), 0), 0)</f>
        <v>0</v>
      </c>
      <c r="L54" s="55" t="n">
        <f aca="false">IFERROR(IF(AND($C54&gt;=J$15, $C54&lt;=J$16), IF(J$14&gt;1, N(MOD($C54-J$15, J$14)&lt;1), 1/J$14)*PI()*J$9/4*(J$7^2*MIN(J$10, $D53)+(J$7^2-J$8^2)*MIN(J$12, J$42))/IF($B$4, 25.4^3, 1), 0), 0)</f>
        <v>0</v>
      </c>
      <c r="M54" s="55" t="n">
        <f aca="false">IFERROR(IF(AND($C54&gt;=K$15, $C54&lt;=K$16), IF(K$14&gt;1, N(MOD($C54-K$15, K$14)&lt;1), 1/K$14)*PI()*K$9/4*(K$7^2*MIN(K$10, $D53)+(K$7^2-K$8^2)*MIN(K$12, K$42))/IF($B$4, 25.4^3, 1), 0), 0)</f>
        <v>0</v>
      </c>
    </row>
    <row r="55" customFormat="false" ht="15" hidden="false" customHeight="false" outlineLevel="0" collapsed="false">
      <c r="C55" s="55" t="n">
        <v>13</v>
      </c>
      <c r="D55" s="55" t="n">
        <f aca="false">MAX((D54*($N$10/IF($B$4, 16.387, 1))+E55-SUM(F55:M55))/($N$10/IF($B$4, 16.387, 1)), 0)</f>
        <v>98.1631260641103</v>
      </c>
      <c r="E55" s="55" t="n">
        <f aca="false">IF(D54&lt;$N$15, $D$40*D54^3+$E$40*D54^2+$F$40*D54+$G$40, 0) * 12^3/60*14.7</f>
        <v>0</v>
      </c>
      <c r="F55" s="55" t="n">
        <f aca="false">IFERROR(IF(AND($C55&gt;=D$15, $C55&lt;=D$16), IF(D$14&gt;1, N(MOD($C55-D$15, D$14)&lt;1), 1/D$14)*PI()*D$9/4*(D$7^2*MIN(D$10, $D54)+(D$7^2-D$8^2)*MIN(D$12, D$42))/IF($B$4, 25.4^3, 1), 0), 0)</f>
        <v>1146.43588163421</v>
      </c>
      <c r="G55" s="55" t="n">
        <f aca="false">IFERROR(IF(AND($C55&gt;=E$15, $C55&lt;=E$16), IF(E$14&gt;1, N(MOD($C55-E$15, E$14)&lt;1), 1/E$14)*PI()*E$9/4*(E$7^2*MIN(E$10, $D54)+(E$7^2-E$8^2)*MIN(E$12, E$42))/IF($B$4, 25.4^3, 1), 0), 0)</f>
        <v>0</v>
      </c>
      <c r="H55" s="55" t="n">
        <f aca="false">IFERROR(IF(AND($C55&gt;=F$15, $C55&lt;=F$16), IF(F$14&gt;1, N(MOD($C55-F$15, F$14)&lt;1), 1/F$14)*PI()*F$9/4*(F$7^2*MIN(F$10, $D54)+(F$7^2-F$8^2)*MIN(F$12, F$42))/IF($B$4, 25.4^3, 1), 0), 0)</f>
        <v>0</v>
      </c>
      <c r="I55" s="55" t="n">
        <f aca="false">IFERROR(IF(AND($C55&gt;=G$15, $C55&lt;=G$16), IF(G$14&gt;1, N(MOD($C55-G$15, G$14)&lt;1), 1/G$14)*PI()*G$9/4*(G$7^2*MIN(G$10, $D54)+(G$7^2-G$8^2)*MIN(G$12, G$42))/IF($B$4, 25.4^3, 1), 0), 0)</f>
        <v>0</v>
      </c>
      <c r="J55" s="55" t="n">
        <f aca="false">IFERROR(IF(AND($C55&gt;=H$15, $C55&lt;=H$16), IF(H$14&gt;1, N(MOD($C55-H$15, H$14)&lt;1), 1/H$14)*PI()*H$9/4*(H$7^2*MIN(H$10, $D54)+(H$7^2-H$8^2)*MIN(H$12, H$42))/IF($B$4, 25.4^3, 1), 0), 0)</f>
        <v>0</v>
      </c>
      <c r="K55" s="55" t="n">
        <f aca="false">IFERROR(IF(AND($C55&gt;=I$15, $C55&lt;=I$16), IF(I$14&gt;1, N(MOD($C55-I$15, I$14)&lt;1), 1/I$14)*PI()*I$9/4*(I$7^2*MIN(I$10, $D54)+(I$7^2-I$8^2)*MIN(I$12, I$42))/IF($B$4, 25.4^3, 1), 0), 0)</f>
        <v>0</v>
      </c>
      <c r="L55" s="55" t="n">
        <f aca="false">IFERROR(IF(AND($C55&gt;=J$15, $C55&lt;=J$16), IF(J$14&gt;1, N(MOD($C55-J$15, J$14)&lt;1), 1/J$14)*PI()*J$9/4*(J$7^2*MIN(J$10, $D54)+(J$7^2-J$8^2)*MIN(J$12, J$42))/IF($B$4, 25.4^3, 1), 0), 0)</f>
        <v>0</v>
      </c>
      <c r="M55" s="55" t="n">
        <f aca="false">IFERROR(IF(AND($C55&gt;=K$15, $C55&lt;=K$16), IF(K$14&gt;1, N(MOD($C55-K$15, K$14)&lt;1), 1/K$14)*PI()*K$9/4*(K$7^2*MIN(K$10, $D54)+(K$7^2-K$8^2)*MIN(K$12, K$42))/IF($B$4, 25.4^3, 1), 0), 0)</f>
        <v>0</v>
      </c>
    </row>
    <row r="56" customFormat="false" ht="15" hidden="false" customHeight="false" outlineLevel="0" collapsed="false">
      <c r="C56" s="55" t="n">
        <v>14</v>
      </c>
      <c r="D56" s="55" t="n">
        <f aca="false">MAX((D55*($N$10/IF($B$4, 16.387, 1))+E56-SUM(F56:M56))/($N$10/IF($B$4, 16.387, 1)), 0)</f>
        <v>98.1631260641103</v>
      </c>
      <c r="E56" s="55" t="n">
        <f aca="false">IF(D55&lt;$N$15, $D$40*D55^3+$E$40*D55^2+$F$40*D55+$G$40, 0) * 12^3/60*14.7</f>
        <v>0</v>
      </c>
      <c r="F56" s="55" t="n">
        <f aca="false">IFERROR(IF(AND($C56&gt;=D$15, $C56&lt;=D$16), IF(D$14&gt;1, N(MOD($C56-D$15, D$14)&lt;1), 1/D$14)*PI()*D$9/4*(D$7^2*MIN(D$10, $D55)+(D$7^2-D$8^2)*MIN(D$12, D$42))/IF($B$4, 25.4^3, 1), 0), 0)</f>
        <v>0</v>
      </c>
      <c r="G56" s="55" t="n">
        <f aca="false">IFERROR(IF(AND($C56&gt;=E$15, $C56&lt;=E$16), IF(E$14&gt;1, N(MOD($C56-E$15, E$14)&lt;1), 1/E$14)*PI()*E$9/4*(E$7^2*MIN(E$10, $D55)+(E$7^2-E$8^2)*MIN(E$12, E$42))/IF($B$4, 25.4^3, 1), 0), 0)</f>
        <v>0</v>
      </c>
      <c r="H56" s="55" t="n">
        <f aca="false">IFERROR(IF(AND($C56&gt;=F$15, $C56&lt;=F$16), IF(F$14&gt;1, N(MOD($C56-F$15, F$14)&lt;1), 1/F$14)*PI()*F$9/4*(F$7^2*MIN(F$10, $D55)+(F$7^2-F$8^2)*MIN(F$12, F$42))/IF($B$4, 25.4^3, 1), 0), 0)</f>
        <v>0</v>
      </c>
      <c r="I56" s="55" t="n">
        <f aca="false">IFERROR(IF(AND($C56&gt;=G$15, $C56&lt;=G$16), IF(G$14&gt;1, N(MOD($C56-G$15, G$14)&lt;1), 1/G$14)*PI()*G$9/4*(G$7^2*MIN(G$10, $D55)+(G$7^2-G$8^2)*MIN(G$12, G$42))/IF($B$4, 25.4^3, 1), 0), 0)</f>
        <v>0</v>
      </c>
      <c r="J56" s="55" t="n">
        <f aca="false">IFERROR(IF(AND($C56&gt;=H$15, $C56&lt;=H$16), IF(H$14&gt;1, N(MOD($C56-H$15, H$14)&lt;1), 1/H$14)*PI()*H$9/4*(H$7^2*MIN(H$10, $D55)+(H$7^2-H$8^2)*MIN(H$12, H$42))/IF($B$4, 25.4^3, 1), 0), 0)</f>
        <v>0</v>
      </c>
      <c r="K56" s="55" t="n">
        <f aca="false">IFERROR(IF(AND($C56&gt;=I$15, $C56&lt;=I$16), IF(I$14&gt;1, N(MOD($C56-I$15, I$14)&lt;1), 1/I$14)*PI()*I$9/4*(I$7^2*MIN(I$10, $D55)+(I$7^2-I$8^2)*MIN(I$12, I$42))/IF($B$4, 25.4^3, 1), 0), 0)</f>
        <v>0</v>
      </c>
      <c r="L56" s="55" t="n">
        <f aca="false">IFERROR(IF(AND($C56&gt;=J$15, $C56&lt;=J$16), IF(J$14&gt;1, N(MOD($C56-J$15, J$14)&lt;1), 1/J$14)*PI()*J$9/4*(J$7^2*MIN(J$10, $D55)+(J$7^2-J$8^2)*MIN(J$12, J$42))/IF($B$4, 25.4^3, 1), 0), 0)</f>
        <v>0</v>
      </c>
      <c r="M56" s="55" t="n">
        <f aca="false">IFERROR(IF(AND($C56&gt;=K$15, $C56&lt;=K$16), IF(K$14&gt;1, N(MOD($C56-K$15, K$14)&lt;1), 1/K$14)*PI()*K$9/4*(K$7^2*MIN(K$10, $D55)+(K$7^2-K$8^2)*MIN(K$12, K$42))/IF($B$4, 25.4^3, 1), 0), 0)</f>
        <v>0</v>
      </c>
    </row>
    <row r="57" customFormat="false" ht="15" hidden="false" customHeight="false" outlineLevel="0" collapsed="false">
      <c r="C57" s="55" t="n">
        <v>15</v>
      </c>
      <c r="D57" s="55" t="n">
        <f aca="false">MAX((D56*($N$10/IF($B$4, 16.387, 1))+E57-SUM(F57:M57))/($N$10/IF($B$4, 16.387, 1)), 0)</f>
        <v>98.1631260641103</v>
      </c>
      <c r="E57" s="55" t="n">
        <f aca="false">IF(D56&lt;$N$15, $D$40*D56^3+$E$40*D56^2+$F$40*D56+$G$40, 0) * 12^3/60*14.7</f>
        <v>0</v>
      </c>
      <c r="F57" s="55" t="n">
        <f aca="false">IFERROR(IF(AND($C57&gt;=D$15, $C57&lt;=D$16), IF(D$14&gt;1, N(MOD($C57-D$15, D$14)&lt;1), 1/D$14)*PI()*D$9/4*(D$7^2*MIN(D$10, $D56)+(D$7^2-D$8^2)*MIN(D$12, D$42))/IF($B$4, 25.4^3, 1), 0), 0)</f>
        <v>0</v>
      </c>
      <c r="G57" s="55" t="n">
        <f aca="false">IFERROR(IF(AND($C57&gt;=E$15, $C57&lt;=E$16), IF(E$14&gt;1, N(MOD($C57-E$15, E$14)&lt;1), 1/E$14)*PI()*E$9/4*(E$7^2*MIN(E$10, $D56)+(E$7^2-E$8^2)*MIN(E$12, E$42))/IF($B$4, 25.4^3, 1), 0), 0)</f>
        <v>0</v>
      </c>
      <c r="H57" s="55" t="n">
        <f aca="false">IFERROR(IF(AND($C57&gt;=F$15, $C57&lt;=F$16), IF(F$14&gt;1, N(MOD($C57-F$15, F$14)&lt;1), 1/F$14)*PI()*F$9/4*(F$7^2*MIN(F$10, $D56)+(F$7^2-F$8^2)*MIN(F$12, F$42))/IF($B$4, 25.4^3, 1), 0), 0)</f>
        <v>0</v>
      </c>
      <c r="I57" s="55" t="n">
        <f aca="false">IFERROR(IF(AND($C57&gt;=G$15, $C57&lt;=G$16), IF(G$14&gt;1, N(MOD($C57-G$15, G$14)&lt;1), 1/G$14)*PI()*G$9/4*(G$7^2*MIN(G$10, $D56)+(G$7^2-G$8^2)*MIN(G$12, G$42))/IF($B$4, 25.4^3, 1), 0), 0)</f>
        <v>0</v>
      </c>
      <c r="J57" s="55" t="n">
        <f aca="false">IFERROR(IF(AND($C57&gt;=H$15, $C57&lt;=H$16), IF(H$14&gt;1, N(MOD($C57-H$15, H$14)&lt;1), 1/H$14)*PI()*H$9/4*(H$7^2*MIN(H$10, $D56)+(H$7^2-H$8^2)*MIN(H$12, H$42))/IF($B$4, 25.4^3, 1), 0), 0)</f>
        <v>0</v>
      </c>
      <c r="K57" s="55" t="n">
        <f aca="false">IFERROR(IF(AND($C57&gt;=I$15, $C57&lt;=I$16), IF(I$14&gt;1, N(MOD($C57-I$15, I$14)&lt;1), 1/I$14)*PI()*I$9/4*(I$7^2*MIN(I$10, $D56)+(I$7^2-I$8^2)*MIN(I$12, I$42))/IF($B$4, 25.4^3, 1), 0), 0)</f>
        <v>0</v>
      </c>
      <c r="L57" s="55" t="n">
        <f aca="false">IFERROR(IF(AND($C57&gt;=J$15, $C57&lt;=J$16), IF(J$14&gt;1, N(MOD($C57-J$15, J$14)&lt;1), 1/J$14)*PI()*J$9/4*(J$7^2*MIN(J$10, $D56)+(J$7^2-J$8^2)*MIN(J$12, J$42))/IF($B$4, 25.4^3, 1), 0), 0)</f>
        <v>0</v>
      </c>
      <c r="M57" s="55" t="n">
        <f aca="false">IFERROR(IF(AND($C57&gt;=K$15, $C57&lt;=K$16), IF(K$14&gt;1, N(MOD($C57-K$15, K$14)&lt;1), 1/K$14)*PI()*K$9/4*(K$7^2*MIN(K$10, $D56)+(K$7^2-K$8^2)*MIN(K$12, K$42))/IF($B$4, 25.4^3, 1), 0), 0)</f>
        <v>0</v>
      </c>
    </row>
    <row r="58" customFormat="false" ht="15" hidden="false" customHeight="false" outlineLevel="0" collapsed="false">
      <c r="C58" s="55" t="n">
        <v>16</v>
      </c>
      <c r="D58" s="55" t="n">
        <f aca="false">MAX((D57*($N$10/IF($B$4, 16.387, 1))+E58-SUM(F58:M58))/($N$10/IF($B$4, 16.387, 1)), 0)</f>
        <v>98.1631260641103</v>
      </c>
      <c r="E58" s="55" t="n">
        <f aca="false">IF(D57&lt;$N$15, $D$40*D57^3+$E$40*D57^2+$F$40*D57+$G$40, 0) * 12^3/60*14.7</f>
        <v>0</v>
      </c>
      <c r="F58" s="55" t="n">
        <f aca="false">IFERROR(IF(AND($C58&gt;=D$15, $C58&lt;=D$16), IF(D$14&gt;1, N(MOD($C58-D$15, D$14)&lt;1), 1/D$14)*PI()*D$9/4*(D$7^2*MIN(D$10, $D57)+(D$7^2-D$8^2)*MIN(D$12, D$42))/IF($B$4, 25.4^3, 1), 0), 0)</f>
        <v>0</v>
      </c>
      <c r="G58" s="55" t="n">
        <f aca="false">IFERROR(IF(AND($C58&gt;=E$15, $C58&lt;=E$16), IF(E$14&gt;1, N(MOD($C58-E$15, E$14)&lt;1), 1/E$14)*PI()*E$9/4*(E$7^2*MIN(E$10, $D57)+(E$7^2-E$8^2)*MIN(E$12, E$42))/IF($B$4, 25.4^3, 1), 0), 0)</f>
        <v>0</v>
      </c>
      <c r="H58" s="55" t="n">
        <f aca="false">IFERROR(IF(AND($C58&gt;=F$15, $C58&lt;=F$16), IF(F$14&gt;1, N(MOD($C58-F$15, F$14)&lt;1), 1/F$14)*PI()*F$9/4*(F$7^2*MIN(F$10, $D57)+(F$7^2-F$8^2)*MIN(F$12, F$42))/IF($B$4, 25.4^3, 1), 0), 0)</f>
        <v>0</v>
      </c>
      <c r="I58" s="55" t="n">
        <f aca="false">IFERROR(IF(AND($C58&gt;=G$15, $C58&lt;=G$16), IF(G$14&gt;1, N(MOD($C58-G$15, G$14)&lt;1), 1/G$14)*PI()*G$9/4*(G$7^2*MIN(G$10, $D57)+(G$7^2-G$8^2)*MIN(G$12, G$42))/IF($B$4, 25.4^3, 1), 0), 0)</f>
        <v>0</v>
      </c>
      <c r="J58" s="55" t="n">
        <f aca="false">IFERROR(IF(AND($C58&gt;=H$15, $C58&lt;=H$16), IF(H$14&gt;1, N(MOD($C58-H$15, H$14)&lt;1), 1/H$14)*PI()*H$9/4*(H$7^2*MIN(H$10, $D57)+(H$7^2-H$8^2)*MIN(H$12, H$42))/IF($B$4, 25.4^3, 1), 0), 0)</f>
        <v>0</v>
      </c>
      <c r="K58" s="55" t="n">
        <f aca="false">IFERROR(IF(AND($C58&gt;=I$15, $C58&lt;=I$16), IF(I$14&gt;1, N(MOD($C58-I$15, I$14)&lt;1), 1/I$14)*PI()*I$9/4*(I$7^2*MIN(I$10, $D57)+(I$7^2-I$8^2)*MIN(I$12, I$42))/IF($B$4, 25.4^3, 1), 0), 0)</f>
        <v>0</v>
      </c>
      <c r="L58" s="55" t="n">
        <f aca="false">IFERROR(IF(AND($C58&gt;=J$15, $C58&lt;=J$16), IF(J$14&gt;1, N(MOD($C58-J$15, J$14)&lt;1), 1/J$14)*PI()*J$9/4*(J$7^2*MIN(J$10, $D57)+(J$7^2-J$8^2)*MIN(J$12, J$42))/IF($B$4, 25.4^3, 1), 0), 0)</f>
        <v>0</v>
      </c>
      <c r="M58" s="55" t="n">
        <f aca="false">IFERROR(IF(AND($C58&gt;=K$15, $C58&lt;=K$16), IF(K$14&gt;1, N(MOD($C58-K$15, K$14)&lt;1), 1/K$14)*PI()*K$9/4*(K$7^2*MIN(K$10, $D57)+(K$7^2-K$8^2)*MIN(K$12, K$42))/IF($B$4, 25.4^3, 1), 0), 0)</f>
        <v>0</v>
      </c>
    </row>
    <row r="59" customFormat="false" ht="15" hidden="false" customHeight="false" outlineLevel="0" collapsed="false">
      <c r="C59" s="55" t="n">
        <v>17</v>
      </c>
      <c r="D59" s="55" t="n">
        <f aca="false">MAX((D58*($N$10/IF($B$4, 16.387, 1))+E59-SUM(F59:M59))/($N$10/IF($B$4, 16.387, 1)), 0)</f>
        <v>98.1631260641103</v>
      </c>
      <c r="E59" s="55" t="n">
        <f aca="false">IF(D58&lt;$N$15, $D$40*D58^3+$E$40*D58^2+$F$40*D58+$G$40, 0) * 12^3/60*14.7</f>
        <v>0</v>
      </c>
      <c r="F59" s="55" t="n">
        <f aca="false">IFERROR(IF(AND($C59&gt;=D$15, $C59&lt;=D$16), IF(D$14&gt;1, N(MOD($C59-D$15, D$14)&lt;1), 1/D$14)*PI()*D$9/4*(D$7^2*MIN(D$10, $D58)+(D$7^2-D$8^2)*MIN(D$12, D$42))/IF($B$4, 25.4^3, 1), 0), 0)</f>
        <v>0</v>
      </c>
      <c r="G59" s="55" t="n">
        <f aca="false">IFERROR(IF(AND($C59&gt;=E$15, $C59&lt;=E$16), IF(E$14&gt;1, N(MOD($C59-E$15, E$14)&lt;1), 1/E$14)*PI()*E$9/4*(E$7^2*MIN(E$10, $D58)+(E$7^2-E$8^2)*MIN(E$12, E$42))/IF($B$4, 25.4^3, 1), 0), 0)</f>
        <v>0</v>
      </c>
      <c r="H59" s="55" t="n">
        <f aca="false">IFERROR(IF(AND($C59&gt;=F$15, $C59&lt;=F$16), IF(F$14&gt;1, N(MOD($C59-F$15, F$14)&lt;1), 1/F$14)*PI()*F$9/4*(F$7^2*MIN(F$10, $D58)+(F$7^2-F$8^2)*MIN(F$12, F$42))/IF($B$4, 25.4^3, 1), 0), 0)</f>
        <v>0</v>
      </c>
      <c r="I59" s="55" t="n">
        <f aca="false">IFERROR(IF(AND($C59&gt;=G$15, $C59&lt;=G$16), IF(G$14&gt;1, N(MOD($C59-G$15, G$14)&lt;1), 1/G$14)*PI()*G$9/4*(G$7^2*MIN(G$10, $D58)+(G$7^2-G$8^2)*MIN(G$12, G$42))/IF($B$4, 25.4^3, 1), 0), 0)</f>
        <v>0</v>
      </c>
      <c r="J59" s="55" t="n">
        <f aca="false">IFERROR(IF(AND($C59&gt;=H$15, $C59&lt;=H$16), IF(H$14&gt;1, N(MOD($C59-H$15, H$14)&lt;1), 1/H$14)*PI()*H$9/4*(H$7^2*MIN(H$10, $D58)+(H$7^2-H$8^2)*MIN(H$12, H$42))/IF($B$4, 25.4^3, 1), 0), 0)</f>
        <v>0</v>
      </c>
      <c r="K59" s="55" t="n">
        <f aca="false">IFERROR(IF(AND($C59&gt;=I$15, $C59&lt;=I$16), IF(I$14&gt;1, N(MOD($C59-I$15, I$14)&lt;1), 1/I$14)*PI()*I$9/4*(I$7^2*MIN(I$10, $D58)+(I$7^2-I$8^2)*MIN(I$12, I$42))/IF($B$4, 25.4^3, 1), 0), 0)</f>
        <v>0</v>
      </c>
      <c r="L59" s="55" t="n">
        <f aca="false">IFERROR(IF(AND($C59&gt;=J$15, $C59&lt;=J$16), IF(J$14&gt;1, N(MOD($C59-J$15, J$14)&lt;1), 1/J$14)*PI()*J$9/4*(J$7^2*MIN(J$10, $D58)+(J$7^2-J$8^2)*MIN(J$12, J$42))/IF($B$4, 25.4^3, 1), 0), 0)</f>
        <v>0</v>
      </c>
      <c r="M59" s="55" t="n">
        <f aca="false">IFERROR(IF(AND($C59&gt;=K$15, $C59&lt;=K$16), IF(K$14&gt;1, N(MOD($C59-K$15, K$14)&lt;1), 1/K$14)*PI()*K$9/4*(K$7^2*MIN(K$10, $D58)+(K$7^2-K$8^2)*MIN(K$12, K$42))/IF($B$4, 25.4^3, 1), 0), 0)</f>
        <v>0</v>
      </c>
    </row>
    <row r="60" customFormat="false" ht="15" hidden="false" customHeight="false" outlineLevel="0" collapsed="false">
      <c r="C60" s="55" t="n">
        <v>18</v>
      </c>
      <c r="D60" s="55" t="n">
        <f aca="false">MAX((D59*($N$10/IF($B$4, 16.387, 1))+E60-SUM(F60:M60))/($N$10/IF($B$4, 16.387, 1)), 0)</f>
        <v>87.2446890961654</v>
      </c>
      <c r="E60" s="55" t="n">
        <f aca="false">IF(D59&lt;$N$15, $D$40*D59^3+$E$40*D59^2+$F$40*D59+$G$40, 0) * 12^3/60*14.7</f>
        <v>0</v>
      </c>
      <c r="F60" s="55" t="n">
        <f aca="false">IFERROR(IF(AND($C60&gt;=D$15, $C60&lt;=D$16), IF(D$14&gt;1, N(MOD($C60-D$15, D$14)&lt;1), 1/D$14)*PI()*D$9/4*(D$7^2*MIN(D$10, $D59)+(D$7^2-D$8^2)*MIN(D$12, D$42))/IF($B$4, 25.4^3, 1), 0), 0)</f>
        <v>1146.43588163421</v>
      </c>
      <c r="G60" s="55" t="n">
        <f aca="false">IFERROR(IF(AND($C60&gt;=E$15, $C60&lt;=E$16), IF(E$14&gt;1, N(MOD($C60-E$15, E$14)&lt;1), 1/E$14)*PI()*E$9/4*(E$7^2*MIN(E$10, $D59)+(E$7^2-E$8^2)*MIN(E$12, E$42))/IF($B$4, 25.4^3, 1), 0), 0)</f>
        <v>0</v>
      </c>
      <c r="H60" s="55" t="n">
        <f aca="false">IFERROR(IF(AND($C60&gt;=F$15, $C60&lt;=F$16), IF(F$14&gt;1, N(MOD($C60-F$15, F$14)&lt;1), 1/F$14)*PI()*F$9/4*(F$7^2*MIN(F$10, $D59)+(F$7^2-F$8^2)*MIN(F$12, F$42))/IF($B$4, 25.4^3, 1), 0), 0)</f>
        <v>0</v>
      </c>
      <c r="I60" s="55" t="n">
        <f aca="false">IFERROR(IF(AND($C60&gt;=G$15, $C60&lt;=G$16), IF(G$14&gt;1, N(MOD($C60-G$15, G$14)&lt;1), 1/G$14)*PI()*G$9/4*(G$7^2*MIN(G$10, $D59)+(G$7^2-G$8^2)*MIN(G$12, G$42))/IF($B$4, 25.4^3, 1), 0), 0)</f>
        <v>0</v>
      </c>
      <c r="J60" s="55" t="n">
        <f aca="false">IFERROR(IF(AND($C60&gt;=H$15, $C60&lt;=H$16), IF(H$14&gt;1, N(MOD($C60-H$15, H$14)&lt;1), 1/H$14)*PI()*H$9/4*(H$7^2*MIN(H$10, $D59)+(H$7^2-H$8^2)*MIN(H$12, H$42))/IF($B$4, 25.4^3, 1), 0), 0)</f>
        <v>0</v>
      </c>
      <c r="K60" s="55" t="n">
        <f aca="false">IFERROR(IF(AND($C60&gt;=I$15, $C60&lt;=I$16), IF(I$14&gt;1, N(MOD($C60-I$15, I$14)&lt;1), 1/I$14)*PI()*I$9/4*(I$7^2*MIN(I$10, $D59)+(I$7^2-I$8^2)*MIN(I$12, I$42))/IF($B$4, 25.4^3, 1), 0), 0)</f>
        <v>0</v>
      </c>
      <c r="L60" s="55" t="n">
        <f aca="false">IFERROR(IF(AND($C60&gt;=J$15, $C60&lt;=J$16), IF(J$14&gt;1, N(MOD($C60-J$15, J$14)&lt;1), 1/J$14)*PI()*J$9/4*(J$7^2*MIN(J$10, $D59)+(J$7^2-J$8^2)*MIN(J$12, J$42))/IF($B$4, 25.4^3, 1), 0), 0)</f>
        <v>0</v>
      </c>
      <c r="M60" s="55" t="n">
        <f aca="false">IFERROR(IF(AND($C60&gt;=K$15, $C60&lt;=K$16), IF(K$14&gt;1, N(MOD($C60-K$15, K$14)&lt;1), 1/K$14)*PI()*K$9/4*(K$7^2*MIN(K$10, $D59)+(K$7^2-K$8^2)*MIN(K$12, K$42))/IF($B$4, 25.4^3, 1), 0), 0)</f>
        <v>0</v>
      </c>
    </row>
    <row r="61" customFormat="false" ht="15" hidden="false" customHeight="false" outlineLevel="0" collapsed="false">
      <c r="C61" s="55" t="n">
        <v>19</v>
      </c>
      <c r="D61" s="55" t="n">
        <f aca="false">MAX((D60*($N$10/IF($B$4, 16.387, 1))+E61-SUM(F61:M61))/($N$10/IF($B$4, 16.387, 1)), 0)</f>
        <v>88.5279869243913</v>
      </c>
      <c r="E61" s="55" t="n">
        <f aca="false">IF(D60&lt;$N$15, $D$40*D60^3+$E$40*D60^2+$F$40*D60+$G$40, 0) * 12^3/60*14.7</f>
        <v>134.746271963718</v>
      </c>
      <c r="F61" s="55" t="n">
        <f aca="false">IFERROR(IF(AND($C61&gt;=D$15, $C61&lt;=D$16), IF(D$14&gt;1, N(MOD($C61-D$15, D$14)&lt;1), 1/D$14)*PI()*D$9/4*(D$7^2*MIN(D$10, $D60)+(D$7^2-D$8^2)*MIN(D$12, D$42))/IF($B$4, 25.4^3, 1), 0), 0)</f>
        <v>0</v>
      </c>
      <c r="G61" s="55" t="n">
        <f aca="false">IFERROR(IF(AND($C61&gt;=E$15, $C61&lt;=E$16), IF(E$14&gt;1, N(MOD($C61-E$15, E$14)&lt;1), 1/E$14)*PI()*E$9/4*(E$7^2*MIN(E$10, $D60)+(E$7^2-E$8^2)*MIN(E$12, E$42))/IF($B$4, 25.4^3, 1), 0), 0)</f>
        <v>0</v>
      </c>
      <c r="H61" s="55" t="n">
        <f aca="false">IFERROR(IF(AND($C61&gt;=F$15, $C61&lt;=F$16), IF(F$14&gt;1, N(MOD($C61-F$15, F$14)&lt;1), 1/F$14)*PI()*F$9/4*(F$7^2*MIN(F$10, $D60)+(F$7^2-F$8^2)*MIN(F$12, F$42))/IF($B$4, 25.4^3, 1), 0), 0)</f>
        <v>0</v>
      </c>
      <c r="I61" s="55" t="n">
        <f aca="false">IFERROR(IF(AND($C61&gt;=G$15, $C61&lt;=G$16), IF(G$14&gt;1, N(MOD($C61-G$15, G$14)&lt;1), 1/G$14)*PI()*G$9/4*(G$7^2*MIN(G$10, $D60)+(G$7^2-G$8^2)*MIN(G$12, G$42))/IF($B$4, 25.4^3, 1), 0), 0)</f>
        <v>0</v>
      </c>
      <c r="J61" s="55" t="n">
        <f aca="false">IFERROR(IF(AND($C61&gt;=H$15, $C61&lt;=H$16), IF(H$14&gt;1, N(MOD($C61-H$15, H$14)&lt;1), 1/H$14)*PI()*H$9/4*(H$7^2*MIN(H$10, $D60)+(H$7^2-H$8^2)*MIN(H$12, H$42))/IF($B$4, 25.4^3, 1), 0), 0)</f>
        <v>0</v>
      </c>
      <c r="K61" s="55" t="n">
        <f aca="false">IFERROR(IF(AND($C61&gt;=I$15, $C61&lt;=I$16), IF(I$14&gt;1, N(MOD($C61-I$15, I$14)&lt;1), 1/I$14)*PI()*I$9/4*(I$7^2*MIN(I$10, $D60)+(I$7^2-I$8^2)*MIN(I$12, I$42))/IF($B$4, 25.4^3, 1), 0), 0)</f>
        <v>0</v>
      </c>
      <c r="L61" s="55" t="n">
        <f aca="false">IFERROR(IF(AND($C61&gt;=J$15, $C61&lt;=J$16), IF(J$14&gt;1, N(MOD($C61-J$15, J$14)&lt;1), 1/J$14)*PI()*J$9/4*(J$7^2*MIN(J$10, $D60)+(J$7^2-J$8^2)*MIN(J$12, J$42))/IF($B$4, 25.4^3, 1), 0), 0)</f>
        <v>0</v>
      </c>
      <c r="M61" s="55" t="n">
        <f aca="false">IFERROR(IF(AND($C61&gt;=K$15, $C61&lt;=K$16), IF(K$14&gt;1, N(MOD($C61-K$15, K$14)&lt;1), 1/K$14)*PI()*K$9/4*(K$7^2*MIN(K$10, $D60)+(K$7^2-K$8^2)*MIN(K$12, K$42))/IF($B$4, 25.4^3, 1), 0), 0)</f>
        <v>0</v>
      </c>
    </row>
    <row r="62" customFormat="false" ht="15" hidden="false" customHeight="false" outlineLevel="0" collapsed="false">
      <c r="C62" s="55" t="n">
        <v>20</v>
      </c>
      <c r="D62" s="55" t="n">
        <f aca="false">MAX((D61*($N$10/IF($B$4, 16.387, 1))+E62-SUM(F62:M62))/($N$10/IF($B$4, 16.387, 1)), 0)</f>
        <v>89.8023016677959</v>
      </c>
      <c r="E62" s="55" t="n">
        <f aca="false">IF(D61&lt;$N$15, $D$40*D61^3+$E$40*D61^2+$F$40*D61+$G$40, 0) * 12^3/60*14.7</f>
        <v>133.803048057482</v>
      </c>
      <c r="F62" s="55" t="n">
        <f aca="false">IFERROR(IF(AND($C62&gt;=D$15, $C62&lt;=D$16), IF(D$14&gt;1, N(MOD($C62-D$15, D$14)&lt;1), 1/D$14)*PI()*D$9/4*(D$7^2*MIN(D$10, $D61)+(D$7^2-D$8^2)*MIN(D$12, D$42))/IF($B$4, 25.4^3, 1), 0), 0)</f>
        <v>0</v>
      </c>
      <c r="G62" s="55" t="n">
        <f aca="false">IFERROR(IF(AND($C62&gt;=E$15, $C62&lt;=E$16), IF(E$14&gt;1, N(MOD($C62-E$15, E$14)&lt;1), 1/E$14)*PI()*E$9/4*(E$7^2*MIN(E$10, $D61)+(E$7^2-E$8^2)*MIN(E$12, E$42))/IF($B$4, 25.4^3, 1), 0), 0)</f>
        <v>0</v>
      </c>
      <c r="H62" s="55" t="n">
        <f aca="false">IFERROR(IF(AND($C62&gt;=F$15, $C62&lt;=F$16), IF(F$14&gt;1, N(MOD($C62-F$15, F$14)&lt;1), 1/F$14)*PI()*F$9/4*(F$7^2*MIN(F$10, $D61)+(F$7^2-F$8^2)*MIN(F$12, F$42))/IF($B$4, 25.4^3, 1), 0), 0)</f>
        <v>0</v>
      </c>
      <c r="I62" s="55" t="n">
        <f aca="false">IFERROR(IF(AND($C62&gt;=G$15, $C62&lt;=G$16), IF(G$14&gt;1, N(MOD($C62-G$15, G$14)&lt;1), 1/G$14)*PI()*G$9/4*(G$7^2*MIN(G$10, $D61)+(G$7^2-G$8^2)*MIN(G$12, G$42))/IF($B$4, 25.4^3, 1), 0), 0)</f>
        <v>0</v>
      </c>
      <c r="J62" s="55" t="n">
        <f aca="false">IFERROR(IF(AND($C62&gt;=H$15, $C62&lt;=H$16), IF(H$14&gt;1, N(MOD($C62-H$15, H$14)&lt;1), 1/H$14)*PI()*H$9/4*(H$7^2*MIN(H$10, $D61)+(H$7^2-H$8^2)*MIN(H$12, H$42))/IF($B$4, 25.4^3, 1), 0), 0)</f>
        <v>0</v>
      </c>
      <c r="K62" s="55" t="n">
        <f aca="false">IFERROR(IF(AND($C62&gt;=I$15, $C62&lt;=I$16), IF(I$14&gt;1, N(MOD($C62-I$15, I$14)&lt;1), 1/I$14)*PI()*I$9/4*(I$7^2*MIN(I$10, $D61)+(I$7^2-I$8^2)*MIN(I$12, I$42))/IF($B$4, 25.4^3, 1), 0), 0)</f>
        <v>0</v>
      </c>
      <c r="L62" s="55" t="n">
        <f aca="false">IFERROR(IF(AND($C62&gt;=J$15, $C62&lt;=J$16), IF(J$14&gt;1, N(MOD($C62-J$15, J$14)&lt;1), 1/J$14)*PI()*J$9/4*(J$7^2*MIN(J$10, $D61)+(J$7^2-J$8^2)*MIN(J$12, J$42))/IF($B$4, 25.4^3, 1), 0), 0)</f>
        <v>0</v>
      </c>
      <c r="M62" s="55" t="n">
        <f aca="false">IFERROR(IF(AND($C62&gt;=K$15, $C62&lt;=K$16), IF(K$14&gt;1, N(MOD($C62-K$15, K$14)&lt;1), 1/K$14)*PI()*K$9/4*(K$7^2*MIN(K$10, $D61)+(K$7^2-K$8^2)*MIN(K$12, K$42))/IF($B$4, 25.4^3, 1), 0), 0)</f>
        <v>0</v>
      </c>
    </row>
    <row r="63" customFormat="false" ht="15" hidden="false" customHeight="false" outlineLevel="0" collapsed="false">
      <c r="C63" s="55" t="n">
        <v>21</v>
      </c>
      <c r="D63" s="55" t="n">
        <f aca="false">MAX((D62*($N$10/IF($B$4, 16.387, 1))+E63-SUM(F63:M63))/($N$10/IF($B$4, 16.387, 1)), 0)</f>
        <v>91.0685304676605</v>
      </c>
      <c r="E63" s="55" t="n">
        <f aca="false">IF(D62&lt;$N$15, $D$40*D62^3+$E$40*D62^2+$F$40*D62+$G$40, 0) * 12^3/60*14.7</f>
        <v>132.954023985791</v>
      </c>
      <c r="F63" s="55" t="n">
        <f aca="false">IFERROR(IF(AND($C63&gt;=D$15, $C63&lt;=D$16), IF(D$14&gt;1, N(MOD($C63-D$15, D$14)&lt;1), 1/D$14)*PI()*D$9/4*(D$7^2*MIN(D$10, $D62)+(D$7^2-D$8^2)*MIN(D$12, D$42))/IF($B$4, 25.4^3, 1), 0), 0)</f>
        <v>0</v>
      </c>
      <c r="G63" s="55" t="n">
        <f aca="false">IFERROR(IF(AND($C63&gt;=E$15, $C63&lt;=E$16), IF(E$14&gt;1, N(MOD($C63-E$15, E$14)&lt;1), 1/E$14)*PI()*E$9/4*(E$7^2*MIN(E$10, $D62)+(E$7^2-E$8^2)*MIN(E$12, E$42))/IF($B$4, 25.4^3, 1), 0), 0)</f>
        <v>0</v>
      </c>
      <c r="H63" s="55" t="n">
        <f aca="false">IFERROR(IF(AND($C63&gt;=F$15, $C63&lt;=F$16), IF(F$14&gt;1, N(MOD($C63-F$15, F$14)&lt;1), 1/F$14)*PI()*F$9/4*(F$7^2*MIN(F$10, $D62)+(F$7^2-F$8^2)*MIN(F$12, F$42))/IF($B$4, 25.4^3, 1), 0), 0)</f>
        <v>0</v>
      </c>
      <c r="I63" s="55" t="n">
        <f aca="false">IFERROR(IF(AND($C63&gt;=G$15, $C63&lt;=G$16), IF(G$14&gt;1, N(MOD($C63-G$15, G$14)&lt;1), 1/G$14)*PI()*G$9/4*(G$7^2*MIN(G$10, $D62)+(G$7^2-G$8^2)*MIN(G$12, G$42))/IF($B$4, 25.4^3, 1), 0), 0)</f>
        <v>0</v>
      </c>
      <c r="J63" s="55" t="n">
        <f aca="false">IFERROR(IF(AND($C63&gt;=H$15, $C63&lt;=H$16), IF(H$14&gt;1, N(MOD($C63-H$15, H$14)&lt;1), 1/H$14)*PI()*H$9/4*(H$7^2*MIN(H$10, $D62)+(H$7^2-H$8^2)*MIN(H$12, H$42))/IF($B$4, 25.4^3, 1), 0), 0)</f>
        <v>0</v>
      </c>
      <c r="K63" s="55" t="n">
        <f aca="false">IFERROR(IF(AND($C63&gt;=I$15, $C63&lt;=I$16), IF(I$14&gt;1, N(MOD($C63-I$15, I$14)&lt;1), 1/I$14)*PI()*I$9/4*(I$7^2*MIN(I$10, $D62)+(I$7^2-I$8^2)*MIN(I$12, I$42))/IF($B$4, 25.4^3, 1), 0), 0)</f>
        <v>0</v>
      </c>
      <c r="L63" s="55" t="n">
        <f aca="false">IFERROR(IF(AND($C63&gt;=J$15, $C63&lt;=J$16), IF(J$14&gt;1, N(MOD($C63-J$15, J$14)&lt;1), 1/J$14)*PI()*J$9/4*(J$7^2*MIN(J$10, $D62)+(J$7^2-J$8^2)*MIN(J$12, J$42))/IF($B$4, 25.4^3, 1), 0), 0)</f>
        <v>0</v>
      </c>
      <c r="M63" s="55" t="n">
        <f aca="false">IFERROR(IF(AND($C63&gt;=K$15, $C63&lt;=K$16), IF(K$14&gt;1, N(MOD($C63-K$15, K$14)&lt;1), 1/K$14)*PI()*K$9/4*(K$7^2*MIN(K$10, $D62)+(K$7^2-K$8^2)*MIN(K$12, K$42))/IF($B$4, 25.4^3, 1), 0), 0)</f>
        <v>0</v>
      </c>
    </row>
    <row r="64" customFormat="false" ht="15" hidden="false" customHeight="false" outlineLevel="0" collapsed="false">
      <c r="C64" s="55" t="n">
        <v>22</v>
      </c>
      <c r="D64" s="55" t="n">
        <f aca="false">MAX((D63*($N$10/IF($B$4, 16.387, 1))+E64-SUM(F64:M64))/($N$10/IF($B$4, 16.387, 1)), 0)</f>
        <v>92.3275672350213</v>
      </c>
      <c r="E64" s="55" t="n">
        <f aca="false">IF(D63&lt;$N$15, $D$40*D63^3+$E$40*D63^2+$F$40*D63+$G$40, 0) * 12^3/60*14.7</f>
        <v>132.19886057288</v>
      </c>
      <c r="F64" s="55" t="n">
        <f aca="false">IFERROR(IF(AND($C64&gt;=D$15, $C64&lt;=D$16), IF(D$14&gt;1, N(MOD($C64-D$15, D$14)&lt;1), 1/D$14)*PI()*D$9/4*(D$7^2*MIN(D$10, $D63)+(D$7^2-D$8^2)*MIN(D$12, D$42))/IF($B$4, 25.4^3, 1), 0), 0)</f>
        <v>0</v>
      </c>
      <c r="G64" s="55" t="n">
        <f aca="false">IFERROR(IF(AND($C64&gt;=E$15, $C64&lt;=E$16), IF(E$14&gt;1, N(MOD($C64-E$15, E$14)&lt;1), 1/E$14)*PI()*E$9/4*(E$7^2*MIN(E$10, $D63)+(E$7^2-E$8^2)*MIN(E$12, E$42))/IF($B$4, 25.4^3, 1), 0), 0)</f>
        <v>0</v>
      </c>
      <c r="H64" s="55" t="n">
        <f aca="false">IFERROR(IF(AND($C64&gt;=F$15, $C64&lt;=F$16), IF(F$14&gt;1, N(MOD($C64-F$15, F$14)&lt;1), 1/F$14)*PI()*F$9/4*(F$7^2*MIN(F$10, $D63)+(F$7^2-F$8^2)*MIN(F$12, F$42))/IF($B$4, 25.4^3, 1), 0), 0)</f>
        <v>0</v>
      </c>
      <c r="I64" s="55" t="n">
        <f aca="false">IFERROR(IF(AND($C64&gt;=G$15, $C64&lt;=G$16), IF(G$14&gt;1, N(MOD($C64-G$15, G$14)&lt;1), 1/G$14)*PI()*G$9/4*(G$7^2*MIN(G$10, $D63)+(G$7^2-G$8^2)*MIN(G$12, G$42))/IF($B$4, 25.4^3, 1), 0), 0)</f>
        <v>0</v>
      </c>
      <c r="J64" s="55" t="n">
        <f aca="false">IFERROR(IF(AND($C64&gt;=H$15, $C64&lt;=H$16), IF(H$14&gt;1, N(MOD($C64-H$15, H$14)&lt;1), 1/H$14)*PI()*H$9/4*(H$7^2*MIN(H$10, $D63)+(H$7^2-H$8^2)*MIN(H$12, H$42))/IF($B$4, 25.4^3, 1), 0), 0)</f>
        <v>0</v>
      </c>
      <c r="K64" s="55" t="n">
        <f aca="false">IFERROR(IF(AND($C64&gt;=I$15, $C64&lt;=I$16), IF(I$14&gt;1, N(MOD($C64-I$15, I$14)&lt;1), 1/I$14)*PI()*I$9/4*(I$7^2*MIN(I$10, $D63)+(I$7^2-I$8^2)*MIN(I$12, I$42))/IF($B$4, 25.4^3, 1), 0), 0)</f>
        <v>0</v>
      </c>
      <c r="L64" s="55" t="n">
        <f aca="false">IFERROR(IF(AND($C64&gt;=J$15, $C64&lt;=J$16), IF(J$14&gt;1, N(MOD($C64-J$15, J$14)&lt;1), 1/J$14)*PI()*J$9/4*(J$7^2*MIN(J$10, $D63)+(J$7^2-J$8^2)*MIN(J$12, J$42))/IF($B$4, 25.4^3, 1), 0), 0)</f>
        <v>0</v>
      </c>
      <c r="M64" s="55" t="n">
        <f aca="false">IFERROR(IF(AND($C64&gt;=K$15, $C64&lt;=K$16), IF(K$14&gt;1, N(MOD($C64-K$15, K$14)&lt;1), 1/K$14)*PI()*K$9/4*(K$7^2*MIN(K$10, $D63)+(K$7^2-K$8^2)*MIN(K$12, K$42))/IF($B$4, 25.4^3, 1), 0), 0)</f>
        <v>0</v>
      </c>
    </row>
    <row r="65" customFormat="false" ht="15" hidden="false" customHeight="false" outlineLevel="0" collapsed="false">
      <c r="C65" s="55" t="n">
        <v>23</v>
      </c>
      <c r="D65" s="55" t="n">
        <f aca="false">MAX((D64*($N$10/IF($B$4, 16.387, 1))+E65-SUM(F65:M65))/($N$10/IF($B$4, 16.387, 1)), 0)</f>
        <v>82.6618674563844</v>
      </c>
      <c r="E65" s="55" t="n">
        <f aca="false">IF(D64&lt;$N$15, $D$40*D64^3+$E$40*D64^2+$F$40*D64+$G$40, 0) * 12^3/60*14.7</f>
        <v>131.537404877337</v>
      </c>
      <c r="F65" s="55" t="n">
        <f aca="false">IFERROR(IF(AND($C65&gt;=D$15, $C65&lt;=D$16), IF(D$14&gt;1, N(MOD($C65-D$15, D$14)&lt;1), 1/D$14)*PI()*D$9/4*(D$7^2*MIN(D$10, $D64)+(D$7^2-D$8^2)*MIN(D$12, D$42))/IF($B$4, 25.4^3, 1), 0), 0)</f>
        <v>1146.43588163421</v>
      </c>
      <c r="G65" s="55" t="n">
        <f aca="false">IFERROR(IF(AND($C65&gt;=E$15, $C65&lt;=E$16), IF(E$14&gt;1, N(MOD($C65-E$15, E$14)&lt;1), 1/E$14)*PI()*E$9/4*(E$7^2*MIN(E$10, $D64)+(E$7^2-E$8^2)*MIN(E$12, E$42))/IF($B$4, 25.4^3, 1), 0), 0)</f>
        <v>0</v>
      </c>
      <c r="H65" s="55" t="n">
        <f aca="false">IFERROR(IF(AND($C65&gt;=F$15, $C65&lt;=F$16), IF(F$14&gt;1, N(MOD($C65-F$15, F$14)&lt;1), 1/F$14)*PI()*F$9/4*(F$7^2*MIN(F$10, $D64)+(F$7^2-F$8^2)*MIN(F$12, F$42))/IF($B$4, 25.4^3, 1), 0), 0)</f>
        <v>0</v>
      </c>
      <c r="I65" s="55" t="n">
        <f aca="false">IFERROR(IF(AND($C65&gt;=G$15, $C65&lt;=G$16), IF(G$14&gt;1, N(MOD($C65-G$15, G$14)&lt;1), 1/G$14)*PI()*G$9/4*(G$7^2*MIN(G$10, $D64)+(G$7^2-G$8^2)*MIN(G$12, G$42))/IF($B$4, 25.4^3, 1), 0), 0)</f>
        <v>0</v>
      </c>
      <c r="J65" s="55" t="n">
        <f aca="false">IFERROR(IF(AND($C65&gt;=H$15, $C65&lt;=H$16), IF(H$14&gt;1, N(MOD($C65-H$15, H$14)&lt;1), 1/H$14)*PI()*H$9/4*(H$7^2*MIN(H$10, $D64)+(H$7^2-H$8^2)*MIN(H$12, H$42))/IF($B$4, 25.4^3, 1), 0), 0)</f>
        <v>0</v>
      </c>
      <c r="K65" s="55" t="n">
        <f aca="false">IFERROR(IF(AND($C65&gt;=I$15, $C65&lt;=I$16), IF(I$14&gt;1, N(MOD($C65-I$15, I$14)&lt;1), 1/I$14)*PI()*I$9/4*(I$7^2*MIN(I$10, $D64)+(I$7^2-I$8^2)*MIN(I$12, I$42))/IF($B$4, 25.4^3, 1), 0), 0)</f>
        <v>0</v>
      </c>
      <c r="L65" s="55" t="n">
        <f aca="false">IFERROR(IF(AND($C65&gt;=J$15, $C65&lt;=J$16), IF(J$14&gt;1, N(MOD($C65-J$15, J$14)&lt;1), 1/J$14)*PI()*J$9/4*(J$7^2*MIN(J$10, $D64)+(J$7^2-J$8^2)*MIN(J$12, J$42))/IF($B$4, 25.4^3, 1), 0), 0)</f>
        <v>0</v>
      </c>
      <c r="M65" s="55" t="n">
        <f aca="false">IFERROR(IF(AND($C65&gt;=K$15, $C65&lt;=K$16), IF(K$14&gt;1, N(MOD($C65-K$15, K$14)&lt;1), 1/K$14)*PI()*K$9/4*(K$7^2*MIN(K$10, $D64)+(K$7^2-K$8^2)*MIN(K$12, K$42))/IF($B$4, 25.4^3, 1), 0), 0)</f>
        <v>0</v>
      </c>
    </row>
    <row r="66" customFormat="false" ht="15" hidden="false" customHeight="false" outlineLevel="0" collapsed="false">
      <c r="C66" s="55" t="n">
        <v>24</v>
      </c>
      <c r="D66" s="55" t="n">
        <f aca="false">MAX((D65*($N$10/IF($B$4, 16.387, 1))+E66-SUM(F66:M66))/($N$10/IF($B$4, 16.387, 1)), 0)</f>
        <v>83.9838272434678</v>
      </c>
      <c r="E66" s="55" t="n">
        <f aca="false">IF(D65&lt;$N$15, $D$40*D65^3+$E$40*D65^2+$F$40*D65+$G$40, 0) * 12^3/60*14.7</f>
        <v>138.805777643756</v>
      </c>
      <c r="F66" s="55" t="n">
        <f aca="false">IFERROR(IF(AND($C66&gt;=D$15, $C66&lt;=D$16), IF(D$14&gt;1, N(MOD($C66-D$15, D$14)&lt;1), 1/D$14)*PI()*D$9/4*(D$7^2*MIN(D$10, $D65)+(D$7^2-D$8^2)*MIN(D$12, D$42))/IF($B$4, 25.4^3, 1), 0), 0)</f>
        <v>0</v>
      </c>
      <c r="G66" s="55" t="n">
        <f aca="false">IFERROR(IF(AND($C66&gt;=E$15, $C66&lt;=E$16), IF(E$14&gt;1, N(MOD($C66-E$15, E$14)&lt;1), 1/E$14)*PI()*E$9/4*(E$7^2*MIN(E$10, $D65)+(E$7^2-E$8^2)*MIN(E$12, E$42))/IF($B$4, 25.4^3, 1), 0), 0)</f>
        <v>0</v>
      </c>
      <c r="H66" s="55" t="n">
        <f aca="false">IFERROR(IF(AND($C66&gt;=F$15, $C66&lt;=F$16), IF(F$14&gt;1, N(MOD($C66-F$15, F$14)&lt;1), 1/F$14)*PI()*F$9/4*(F$7^2*MIN(F$10, $D65)+(F$7^2-F$8^2)*MIN(F$12, F$42))/IF($B$4, 25.4^3, 1), 0), 0)</f>
        <v>0</v>
      </c>
      <c r="I66" s="55" t="n">
        <f aca="false">IFERROR(IF(AND($C66&gt;=G$15, $C66&lt;=G$16), IF(G$14&gt;1, N(MOD($C66-G$15, G$14)&lt;1), 1/G$14)*PI()*G$9/4*(G$7^2*MIN(G$10, $D65)+(G$7^2-G$8^2)*MIN(G$12, G$42))/IF($B$4, 25.4^3, 1), 0), 0)</f>
        <v>0</v>
      </c>
      <c r="J66" s="55" t="n">
        <f aca="false">IFERROR(IF(AND($C66&gt;=H$15, $C66&lt;=H$16), IF(H$14&gt;1, N(MOD($C66-H$15, H$14)&lt;1), 1/H$14)*PI()*H$9/4*(H$7^2*MIN(H$10, $D65)+(H$7^2-H$8^2)*MIN(H$12, H$42))/IF($B$4, 25.4^3, 1), 0), 0)</f>
        <v>0</v>
      </c>
      <c r="K66" s="55" t="n">
        <f aca="false">IFERROR(IF(AND($C66&gt;=I$15, $C66&lt;=I$16), IF(I$14&gt;1, N(MOD($C66-I$15, I$14)&lt;1), 1/I$14)*PI()*I$9/4*(I$7^2*MIN(I$10, $D65)+(I$7^2-I$8^2)*MIN(I$12, I$42))/IF($B$4, 25.4^3, 1), 0), 0)</f>
        <v>0</v>
      </c>
      <c r="L66" s="55" t="n">
        <f aca="false">IFERROR(IF(AND($C66&gt;=J$15, $C66&lt;=J$16), IF(J$14&gt;1, N(MOD($C66-J$15, J$14)&lt;1), 1/J$14)*PI()*J$9/4*(J$7^2*MIN(J$10, $D65)+(J$7^2-J$8^2)*MIN(J$12, J$42))/IF($B$4, 25.4^3, 1), 0), 0)</f>
        <v>0</v>
      </c>
      <c r="M66" s="55" t="n">
        <f aca="false">IFERROR(IF(AND($C66&gt;=K$15, $C66&lt;=K$16), IF(K$14&gt;1, N(MOD($C66-K$15, K$14)&lt;1), 1/K$14)*PI()*K$9/4*(K$7^2*MIN(K$10, $D65)+(K$7^2-K$8^2)*MIN(K$12, K$42))/IF($B$4, 25.4^3, 1), 0), 0)</f>
        <v>0</v>
      </c>
    </row>
    <row r="67" customFormat="false" ht="15" hidden="false" customHeight="false" outlineLevel="0" collapsed="false">
      <c r="C67" s="55" t="n">
        <v>25</v>
      </c>
      <c r="D67" s="55" t="n">
        <f aca="false">MAX((D66*($N$10/IF($B$4, 16.387, 1))+E67-SUM(F67:M67))/($N$10/IF($B$4, 16.387, 1)), 0)</f>
        <v>85.2936096845154</v>
      </c>
      <c r="E67" s="55" t="n">
        <f aca="false">IF(D66&lt;$N$15, $D$40*D66^3+$E$40*D66^2+$F$40*D66+$G$40, 0) * 12^3/60*14.7</f>
        <v>137.527156310001</v>
      </c>
      <c r="F67" s="55" t="n">
        <f aca="false">IFERROR(IF(AND($C67&gt;=D$15, $C67&lt;=D$16), IF(D$14&gt;1, N(MOD($C67-D$15, D$14)&lt;1), 1/D$14)*PI()*D$9/4*(D$7^2*MIN(D$10, $D66)+(D$7^2-D$8^2)*MIN(D$12, D$42))/IF($B$4, 25.4^3, 1), 0), 0)</f>
        <v>0</v>
      </c>
      <c r="G67" s="55" t="n">
        <f aca="false">IFERROR(IF(AND($C67&gt;=E$15, $C67&lt;=E$16), IF(E$14&gt;1, N(MOD($C67-E$15, E$14)&lt;1), 1/E$14)*PI()*E$9/4*(E$7^2*MIN(E$10, $D66)+(E$7^2-E$8^2)*MIN(E$12, E$42))/IF($B$4, 25.4^3, 1), 0), 0)</f>
        <v>0</v>
      </c>
      <c r="H67" s="55" t="n">
        <f aca="false">IFERROR(IF(AND($C67&gt;=F$15, $C67&lt;=F$16), IF(F$14&gt;1, N(MOD($C67-F$15, F$14)&lt;1), 1/F$14)*PI()*F$9/4*(F$7^2*MIN(F$10, $D66)+(F$7^2-F$8^2)*MIN(F$12, F$42))/IF($B$4, 25.4^3, 1), 0), 0)</f>
        <v>0</v>
      </c>
      <c r="I67" s="55" t="n">
        <f aca="false">IFERROR(IF(AND($C67&gt;=G$15, $C67&lt;=G$16), IF(G$14&gt;1, N(MOD($C67-G$15, G$14)&lt;1), 1/G$14)*PI()*G$9/4*(G$7^2*MIN(G$10, $D66)+(G$7^2-G$8^2)*MIN(G$12, G$42))/IF($B$4, 25.4^3, 1), 0), 0)</f>
        <v>0</v>
      </c>
      <c r="J67" s="55" t="n">
        <f aca="false">IFERROR(IF(AND($C67&gt;=H$15, $C67&lt;=H$16), IF(H$14&gt;1, N(MOD($C67-H$15, H$14)&lt;1), 1/H$14)*PI()*H$9/4*(H$7^2*MIN(H$10, $D66)+(H$7^2-H$8^2)*MIN(H$12, H$42))/IF($B$4, 25.4^3, 1), 0), 0)</f>
        <v>0</v>
      </c>
      <c r="K67" s="55" t="n">
        <f aca="false">IFERROR(IF(AND($C67&gt;=I$15, $C67&lt;=I$16), IF(I$14&gt;1, N(MOD($C67-I$15, I$14)&lt;1), 1/I$14)*PI()*I$9/4*(I$7^2*MIN(I$10, $D66)+(I$7^2-I$8^2)*MIN(I$12, I$42))/IF($B$4, 25.4^3, 1), 0), 0)</f>
        <v>0</v>
      </c>
      <c r="L67" s="55" t="n">
        <f aca="false">IFERROR(IF(AND($C67&gt;=J$15, $C67&lt;=J$16), IF(J$14&gt;1, N(MOD($C67-J$15, J$14)&lt;1), 1/J$14)*PI()*J$9/4*(J$7^2*MIN(J$10, $D66)+(J$7^2-J$8^2)*MIN(J$12, J$42))/IF($B$4, 25.4^3, 1), 0), 0)</f>
        <v>0</v>
      </c>
      <c r="M67" s="55" t="n">
        <f aca="false">IFERROR(IF(AND($C67&gt;=K$15, $C67&lt;=K$16), IF(K$14&gt;1, N(MOD($C67-K$15, K$14)&lt;1), 1/K$14)*PI()*K$9/4*(K$7^2*MIN(K$10, $D66)+(K$7^2-K$8^2)*MIN(K$12, K$42))/IF($B$4, 25.4^3, 1), 0), 0)</f>
        <v>0</v>
      </c>
    </row>
    <row r="68" customFormat="false" ht="15" hidden="false" customHeight="false" outlineLevel="0" collapsed="false">
      <c r="C68" s="55" t="n">
        <v>26</v>
      </c>
      <c r="D68" s="55" t="n">
        <f aca="false">MAX((D67*($N$10/IF($B$4, 16.387, 1))+E68-SUM(F68:M68))/($N$10/IF($B$4, 16.387, 1)), 0)</f>
        <v>86.5921360378763</v>
      </c>
      <c r="E68" s="55" t="n">
        <f aca="false">IF(D67&lt;$N$15, $D$40*D67^3+$E$40*D67^2+$F$40*D67+$G$40, 0) * 12^3/60*14.7</f>
        <v>136.34526710289</v>
      </c>
      <c r="F68" s="55" t="n">
        <f aca="false">IFERROR(IF(AND($C68&gt;=D$15, $C68&lt;=D$16), IF(D$14&gt;1, N(MOD($C68-D$15, D$14)&lt;1), 1/D$14)*PI()*D$9/4*(D$7^2*MIN(D$10, $D67)+(D$7^2-D$8^2)*MIN(D$12, D$42))/IF($B$4, 25.4^3, 1), 0), 0)</f>
        <v>0</v>
      </c>
      <c r="G68" s="55" t="n">
        <f aca="false">IFERROR(IF(AND($C68&gt;=E$15, $C68&lt;=E$16), IF(E$14&gt;1, N(MOD($C68-E$15, E$14)&lt;1), 1/E$14)*PI()*E$9/4*(E$7^2*MIN(E$10, $D67)+(E$7^2-E$8^2)*MIN(E$12, E$42))/IF($B$4, 25.4^3, 1), 0), 0)</f>
        <v>0</v>
      </c>
      <c r="H68" s="55" t="n">
        <f aca="false">IFERROR(IF(AND($C68&gt;=F$15, $C68&lt;=F$16), IF(F$14&gt;1, N(MOD($C68-F$15, F$14)&lt;1), 1/F$14)*PI()*F$9/4*(F$7^2*MIN(F$10, $D67)+(F$7^2-F$8^2)*MIN(F$12, F$42))/IF($B$4, 25.4^3, 1), 0), 0)</f>
        <v>0</v>
      </c>
      <c r="I68" s="55" t="n">
        <f aca="false">IFERROR(IF(AND($C68&gt;=G$15, $C68&lt;=G$16), IF(G$14&gt;1, N(MOD($C68-G$15, G$14)&lt;1), 1/G$14)*PI()*G$9/4*(G$7^2*MIN(G$10, $D67)+(G$7^2-G$8^2)*MIN(G$12, G$42))/IF($B$4, 25.4^3, 1), 0), 0)</f>
        <v>0</v>
      </c>
      <c r="J68" s="55" t="n">
        <f aca="false">IFERROR(IF(AND($C68&gt;=H$15, $C68&lt;=H$16), IF(H$14&gt;1, N(MOD($C68-H$15, H$14)&lt;1), 1/H$14)*PI()*H$9/4*(H$7^2*MIN(H$10, $D67)+(H$7^2-H$8^2)*MIN(H$12, H$42))/IF($B$4, 25.4^3, 1), 0), 0)</f>
        <v>0</v>
      </c>
      <c r="K68" s="55" t="n">
        <f aca="false">IFERROR(IF(AND($C68&gt;=I$15, $C68&lt;=I$16), IF(I$14&gt;1, N(MOD($C68-I$15, I$14)&lt;1), 1/I$14)*PI()*I$9/4*(I$7^2*MIN(I$10, $D67)+(I$7^2-I$8^2)*MIN(I$12, I$42))/IF($B$4, 25.4^3, 1), 0), 0)</f>
        <v>0</v>
      </c>
      <c r="L68" s="55" t="n">
        <f aca="false">IFERROR(IF(AND($C68&gt;=J$15, $C68&lt;=J$16), IF(J$14&gt;1, N(MOD($C68-J$15, J$14)&lt;1), 1/J$14)*PI()*J$9/4*(J$7^2*MIN(J$10, $D67)+(J$7^2-J$8^2)*MIN(J$12, J$42))/IF($B$4, 25.4^3, 1), 0), 0)</f>
        <v>0</v>
      </c>
      <c r="M68" s="55" t="n">
        <f aca="false">IFERROR(IF(AND($C68&gt;=K$15, $C68&lt;=K$16), IF(K$14&gt;1, N(MOD($C68-K$15, K$14)&lt;1), 1/K$14)*PI()*K$9/4*(K$7^2*MIN(K$10, $D67)+(K$7^2-K$8^2)*MIN(K$12, K$42))/IF($B$4, 25.4^3, 1), 0), 0)</f>
        <v>0</v>
      </c>
    </row>
    <row r="69" customFormat="false" ht="15" hidden="false" customHeight="false" outlineLevel="0" collapsed="false">
      <c r="C69" s="55" t="n">
        <v>27</v>
      </c>
      <c r="D69" s="55" t="n">
        <f aca="false">MAX((D68*($N$10/IF($B$4, 16.387, 1))+E69-SUM(F69:M69))/($N$10/IF($B$4, 16.387, 1)), 0)</f>
        <v>87.8803187714547</v>
      </c>
      <c r="E69" s="55" t="n">
        <f aca="false">IF(D68&lt;$N$15, $D$40*D68^3+$E$40*D68^2+$F$40*D68+$G$40, 0) * 12^3/60*14.7</f>
        <v>135.259187025729</v>
      </c>
      <c r="F69" s="55" t="n">
        <f aca="false">IFERROR(IF(AND($C69&gt;=D$15, $C69&lt;=D$16), IF(D$14&gt;1, N(MOD($C69-D$15, D$14)&lt;1), 1/D$14)*PI()*D$9/4*(D$7^2*MIN(D$10, $D68)+(D$7^2-D$8^2)*MIN(D$12, D$42))/IF($B$4, 25.4^3, 1), 0), 0)</f>
        <v>0</v>
      </c>
      <c r="G69" s="55" t="n">
        <f aca="false">IFERROR(IF(AND($C69&gt;=E$15, $C69&lt;=E$16), IF(E$14&gt;1, N(MOD($C69-E$15, E$14)&lt;1), 1/E$14)*PI()*E$9/4*(E$7^2*MIN(E$10, $D68)+(E$7^2-E$8^2)*MIN(E$12, E$42))/IF($B$4, 25.4^3, 1), 0), 0)</f>
        <v>0</v>
      </c>
      <c r="H69" s="55" t="n">
        <f aca="false">IFERROR(IF(AND($C69&gt;=F$15, $C69&lt;=F$16), IF(F$14&gt;1, N(MOD($C69-F$15, F$14)&lt;1), 1/F$14)*PI()*F$9/4*(F$7^2*MIN(F$10, $D68)+(F$7^2-F$8^2)*MIN(F$12, F$42))/IF($B$4, 25.4^3, 1), 0), 0)</f>
        <v>0</v>
      </c>
      <c r="I69" s="55" t="n">
        <f aca="false">IFERROR(IF(AND($C69&gt;=G$15, $C69&lt;=G$16), IF(G$14&gt;1, N(MOD($C69-G$15, G$14)&lt;1), 1/G$14)*PI()*G$9/4*(G$7^2*MIN(G$10, $D68)+(G$7^2-G$8^2)*MIN(G$12, G$42))/IF($B$4, 25.4^3, 1), 0), 0)</f>
        <v>0</v>
      </c>
      <c r="J69" s="55" t="n">
        <f aca="false">IFERROR(IF(AND($C69&gt;=H$15, $C69&lt;=H$16), IF(H$14&gt;1, N(MOD($C69-H$15, H$14)&lt;1), 1/H$14)*PI()*H$9/4*(H$7^2*MIN(H$10, $D68)+(H$7^2-H$8^2)*MIN(H$12, H$42))/IF($B$4, 25.4^3, 1), 0), 0)</f>
        <v>0</v>
      </c>
      <c r="K69" s="55" t="n">
        <f aca="false">IFERROR(IF(AND($C69&gt;=I$15, $C69&lt;=I$16), IF(I$14&gt;1, N(MOD($C69-I$15, I$14)&lt;1), 1/I$14)*PI()*I$9/4*(I$7^2*MIN(I$10, $D68)+(I$7^2-I$8^2)*MIN(I$12, I$42))/IF($B$4, 25.4^3, 1), 0), 0)</f>
        <v>0</v>
      </c>
      <c r="L69" s="55" t="n">
        <f aca="false">IFERROR(IF(AND($C69&gt;=J$15, $C69&lt;=J$16), IF(J$14&gt;1, N(MOD($C69-J$15, J$14)&lt;1), 1/J$14)*PI()*J$9/4*(J$7^2*MIN(J$10, $D68)+(J$7^2-J$8^2)*MIN(J$12, J$42))/IF($B$4, 25.4^3, 1), 0), 0)</f>
        <v>0</v>
      </c>
      <c r="M69" s="55" t="n">
        <f aca="false">IFERROR(IF(AND($C69&gt;=K$15, $C69&lt;=K$16), IF(K$14&gt;1, N(MOD($C69-K$15, K$14)&lt;1), 1/K$14)*PI()*K$9/4*(K$7^2*MIN(K$10, $D68)+(K$7^2-K$8^2)*MIN(K$12, K$42))/IF($B$4, 25.4^3, 1), 0), 0)</f>
        <v>0</v>
      </c>
    </row>
    <row r="70" customFormat="false" ht="15" hidden="false" customHeight="false" outlineLevel="0" collapsed="false">
      <c r="C70" s="55" t="n">
        <v>28</v>
      </c>
      <c r="D70" s="55" t="n">
        <f aca="false">MAX((D69*($N$10/IF($B$4, 16.387, 1))+E70-SUM(F70:M70))/($N$10/IF($B$4, 16.387, 1)), 0)</f>
        <v>78.2406260798719</v>
      </c>
      <c r="E70" s="55" t="n">
        <f aca="false">IF(D69&lt;$N$15, $D$40*D69^3+$E$40*D69^2+$F$40*D69+$G$40, 0) * 12^3/60*14.7</f>
        <v>134.268149018019</v>
      </c>
      <c r="F70" s="55" t="n">
        <f aca="false">IFERROR(IF(AND($C70&gt;=D$15, $C70&lt;=D$16), IF(D$14&gt;1, N(MOD($C70-D$15, D$14)&lt;1), 1/D$14)*PI()*D$9/4*(D$7^2*MIN(D$10, $D69)+(D$7^2-D$8^2)*MIN(D$12, D$42))/IF($B$4, 25.4^3, 1), 0), 0)</f>
        <v>1146.43588163421</v>
      </c>
      <c r="G70" s="55" t="n">
        <f aca="false">IFERROR(IF(AND($C70&gt;=E$15, $C70&lt;=E$16), IF(E$14&gt;1, N(MOD($C70-E$15, E$14)&lt;1), 1/E$14)*PI()*E$9/4*(E$7^2*MIN(E$10, $D69)+(E$7^2-E$8^2)*MIN(E$12, E$42))/IF($B$4, 25.4^3, 1), 0), 0)</f>
        <v>0</v>
      </c>
      <c r="H70" s="55" t="n">
        <f aca="false">IFERROR(IF(AND($C70&gt;=F$15, $C70&lt;=F$16), IF(F$14&gt;1, N(MOD($C70-F$15, F$14)&lt;1), 1/F$14)*PI()*F$9/4*(F$7^2*MIN(F$10, $D69)+(F$7^2-F$8^2)*MIN(F$12, F$42))/IF($B$4, 25.4^3, 1), 0), 0)</f>
        <v>0</v>
      </c>
      <c r="I70" s="55" t="n">
        <f aca="false">IFERROR(IF(AND($C70&gt;=G$15, $C70&lt;=G$16), IF(G$14&gt;1, N(MOD($C70-G$15, G$14)&lt;1), 1/G$14)*PI()*G$9/4*(G$7^2*MIN(G$10, $D69)+(G$7^2-G$8^2)*MIN(G$12, G$42))/IF($B$4, 25.4^3, 1), 0), 0)</f>
        <v>0</v>
      </c>
      <c r="J70" s="55" t="n">
        <f aca="false">IFERROR(IF(AND($C70&gt;=H$15, $C70&lt;=H$16), IF(H$14&gt;1, N(MOD($C70-H$15, H$14)&lt;1), 1/H$14)*PI()*H$9/4*(H$7^2*MIN(H$10, $D69)+(H$7^2-H$8^2)*MIN(H$12, H$42))/IF($B$4, 25.4^3, 1), 0), 0)</f>
        <v>0</v>
      </c>
      <c r="K70" s="55" t="n">
        <f aca="false">IFERROR(IF(AND($C70&gt;=I$15, $C70&lt;=I$16), IF(I$14&gt;1, N(MOD($C70-I$15, I$14)&lt;1), 1/I$14)*PI()*I$9/4*(I$7^2*MIN(I$10, $D69)+(I$7^2-I$8^2)*MIN(I$12, I$42))/IF($B$4, 25.4^3, 1), 0), 0)</f>
        <v>0</v>
      </c>
      <c r="L70" s="55" t="n">
        <f aca="false">IFERROR(IF(AND($C70&gt;=J$15, $C70&lt;=J$16), IF(J$14&gt;1, N(MOD($C70-J$15, J$14)&lt;1), 1/J$14)*PI()*J$9/4*(J$7^2*MIN(J$10, $D69)+(J$7^2-J$8^2)*MIN(J$12, J$42))/IF($B$4, 25.4^3, 1), 0), 0)</f>
        <v>0</v>
      </c>
      <c r="M70" s="55" t="n">
        <f aca="false">IFERROR(IF(AND($C70&gt;=K$15, $C70&lt;=K$16), IF(K$14&gt;1, N(MOD($C70-K$15, K$14)&lt;1), 1/K$14)*PI()*K$9/4*(K$7^2*MIN(K$10, $D69)+(K$7^2-K$8^2)*MIN(K$12, K$42))/IF($B$4, 25.4^3, 1), 0), 0)</f>
        <v>0</v>
      </c>
    </row>
    <row r="71" customFormat="false" ht="15" hidden="false" customHeight="false" outlineLevel="0" collapsed="false">
      <c r="C71" s="55" t="n">
        <v>29</v>
      </c>
      <c r="D71" s="55" t="n">
        <f aca="false">MAX((D70*($N$10/IF($B$4, 16.387, 1))+E71-SUM(F71:M71))/($N$10/IF($B$4, 16.387, 1)), 0)</f>
        <v>79.6089934782006</v>
      </c>
      <c r="E71" s="55" t="n">
        <f aca="false">IF(D70&lt;$N$15, $D$40*D70^3+$E$40*D70^2+$F$40*D70+$G$40, 0) * 12^3/60*14.7</f>
        <v>143.678576824513</v>
      </c>
      <c r="F71" s="55" t="n">
        <f aca="false">IFERROR(IF(AND($C71&gt;=D$15, $C71&lt;=D$16), IF(D$14&gt;1, N(MOD($C71-D$15, D$14)&lt;1), 1/D$14)*PI()*D$9/4*(D$7^2*MIN(D$10, $D70)+(D$7^2-D$8^2)*MIN(D$12, D$42))/IF($B$4, 25.4^3, 1), 0), 0)</f>
        <v>0</v>
      </c>
      <c r="G71" s="55" t="n">
        <f aca="false">IFERROR(IF(AND($C71&gt;=E$15, $C71&lt;=E$16), IF(E$14&gt;1, N(MOD($C71-E$15, E$14)&lt;1), 1/E$14)*PI()*E$9/4*(E$7^2*MIN(E$10, $D70)+(E$7^2-E$8^2)*MIN(E$12, E$42))/IF($B$4, 25.4^3, 1), 0), 0)</f>
        <v>0</v>
      </c>
      <c r="H71" s="55" t="n">
        <f aca="false">IFERROR(IF(AND($C71&gt;=F$15, $C71&lt;=F$16), IF(F$14&gt;1, N(MOD($C71-F$15, F$14)&lt;1), 1/F$14)*PI()*F$9/4*(F$7^2*MIN(F$10, $D70)+(F$7^2-F$8^2)*MIN(F$12, F$42))/IF($B$4, 25.4^3, 1), 0), 0)</f>
        <v>0</v>
      </c>
      <c r="I71" s="55" t="n">
        <f aca="false">IFERROR(IF(AND($C71&gt;=G$15, $C71&lt;=G$16), IF(G$14&gt;1, N(MOD($C71-G$15, G$14)&lt;1), 1/G$14)*PI()*G$9/4*(G$7^2*MIN(G$10, $D70)+(G$7^2-G$8^2)*MIN(G$12, G$42))/IF($B$4, 25.4^3, 1), 0), 0)</f>
        <v>0</v>
      </c>
      <c r="J71" s="55" t="n">
        <f aca="false">IFERROR(IF(AND($C71&gt;=H$15, $C71&lt;=H$16), IF(H$14&gt;1, N(MOD($C71-H$15, H$14)&lt;1), 1/H$14)*PI()*H$9/4*(H$7^2*MIN(H$10, $D70)+(H$7^2-H$8^2)*MIN(H$12, H$42))/IF($B$4, 25.4^3, 1), 0), 0)</f>
        <v>0</v>
      </c>
      <c r="K71" s="55" t="n">
        <f aca="false">IFERROR(IF(AND($C71&gt;=I$15, $C71&lt;=I$16), IF(I$14&gt;1, N(MOD($C71-I$15, I$14)&lt;1), 1/I$14)*PI()*I$9/4*(I$7^2*MIN(I$10, $D70)+(I$7^2-I$8^2)*MIN(I$12, I$42))/IF($B$4, 25.4^3, 1), 0), 0)</f>
        <v>0</v>
      </c>
      <c r="L71" s="55" t="n">
        <f aca="false">IFERROR(IF(AND($C71&gt;=J$15, $C71&lt;=J$16), IF(J$14&gt;1, N(MOD($C71-J$15, J$14)&lt;1), 1/J$14)*PI()*J$9/4*(J$7^2*MIN(J$10, $D70)+(J$7^2-J$8^2)*MIN(J$12, J$42))/IF($B$4, 25.4^3, 1), 0), 0)</f>
        <v>0</v>
      </c>
      <c r="M71" s="55" t="n">
        <f aca="false">IFERROR(IF(AND($C71&gt;=K$15, $C71&lt;=K$16), IF(K$14&gt;1, N(MOD($C71-K$15, K$14)&lt;1), 1/K$14)*PI()*K$9/4*(K$7^2*MIN(K$10, $D70)+(K$7^2-K$8^2)*MIN(K$12, K$42))/IF($B$4, 25.4^3, 1), 0), 0)</f>
        <v>0</v>
      </c>
    </row>
    <row r="72" customFormat="false" ht="15" hidden="false" customHeight="false" outlineLevel="0" collapsed="false">
      <c r="C72" s="55" t="n">
        <v>30</v>
      </c>
      <c r="D72" s="55" t="n">
        <f aca="false">MAX((D71*($N$10/IF($B$4, 16.387, 1))+E72-SUM(F72:M72))/($N$10/IF($B$4, 16.387, 1)), 0)</f>
        <v>80.9620916513819</v>
      </c>
      <c r="E72" s="55" t="n">
        <f aca="false">IF(D71&lt;$N$15, $D$40*D71^3+$E$40*D71^2+$F$40*D71+$G$40, 0) * 12^3/60*14.7</f>
        <v>142.075308184041</v>
      </c>
      <c r="F72" s="55" t="n">
        <f aca="false">IFERROR(IF(AND($C72&gt;=D$15, $C72&lt;=D$16), IF(D$14&gt;1, N(MOD($C72-D$15, D$14)&lt;1), 1/D$14)*PI()*D$9/4*(D$7^2*MIN(D$10, $D71)+(D$7^2-D$8^2)*MIN(D$12, D$42))/IF($B$4, 25.4^3, 1), 0), 0)</f>
        <v>0</v>
      </c>
      <c r="G72" s="55" t="n">
        <f aca="false">IFERROR(IF(AND($C72&gt;=E$15, $C72&lt;=E$16), IF(E$14&gt;1, N(MOD($C72-E$15, E$14)&lt;1), 1/E$14)*PI()*E$9/4*(E$7^2*MIN(E$10, $D71)+(E$7^2-E$8^2)*MIN(E$12, E$42))/IF($B$4, 25.4^3, 1), 0), 0)</f>
        <v>0</v>
      </c>
      <c r="H72" s="55" t="n">
        <f aca="false">IFERROR(IF(AND($C72&gt;=F$15, $C72&lt;=F$16), IF(F$14&gt;1, N(MOD($C72-F$15, F$14)&lt;1), 1/F$14)*PI()*F$9/4*(F$7^2*MIN(F$10, $D71)+(F$7^2-F$8^2)*MIN(F$12, F$42))/IF($B$4, 25.4^3, 1), 0), 0)</f>
        <v>0</v>
      </c>
      <c r="I72" s="55" t="n">
        <f aca="false">IFERROR(IF(AND($C72&gt;=G$15, $C72&lt;=G$16), IF(G$14&gt;1, N(MOD($C72-G$15, G$14)&lt;1), 1/G$14)*PI()*G$9/4*(G$7^2*MIN(G$10, $D71)+(G$7^2-G$8^2)*MIN(G$12, G$42))/IF($B$4, 25.4^3, 1), 0), 0)</f>
        <v>0</v>
      </c>
      <c r="J72" s="55" t="n">
        <f aca="false">IFERROR(IF(AND($C72&gt;=H$15, $C72&lt;=H$16), IF(H$14&gt;1, N(MOD($C72-H$15, H$14)&lt;1), 1/H$14)*PI()*H$9/4*(H$7^2*MIN(H$10, $D71)+(H$7^2-H$8^2)*MIN(H$12, H$42))/IF($B$4, 25.4^3, 1), 0), 0)</f>
        <v>0</v>
      </c>
      <c r="K72" s="55" t="n">
        <f aca="false">IFERROR(IF(AND($C72&gt;=I$15, $C72&lt;=I$16), IF(I$14&gt;1, N(MOD($C72-I$15, I$14)&lt;1), 1/I$14)*PI()*I$9/4*(I$7^2*MIN(I$10, $D71)+(I$7^2-I$8^2)*MIN(I$12, I$42))/IF($B$4, 25.4^3, 1), 0), 0)</f>
        <v>0</v>
      </c>
      <c r="L72" s="55" t="n">
        <f aca="false">IFERROR(IF(AND($C72&gt;=J$15, $C72&lt;=J$16), IF(J$14&gt;1, N(MOD($C72-J$15, J$14)&lt;1), 1/J$14)*PI()*J$9/4*(J$7^2*MIN(J$10, $D71)+(J$7^2-J$8^2)*MIN(J$12, J$42))/IF($B$4, 25.4^3, 1), 0), 0)</f>
        <v>0</v>
      </c>
      <c r="M72" s="55" t="n">
        <f aca="false">IFERROR(IF(AND($C72&gt;=K$15, $C72&lt;=K$16), IF(K$14&gt;1, N(MOD($C72-K$15, K$14)&lt;1), 1/K$14)*PI()*K$9/4*(K$7^2*MIN(K$10, $D71)+(K$7^2-K$8^2)*MIN(K$12, K$42))/IF($B$4, 25.4^3, 1), 0), 0)</f>
        <v>0</v>
      </c>
    </row>
    <row r="73" customFormat="false" ht="15" hidden="false" customHeight="false" outlineLevel="0" collapsed="false">
      <c r="C73" s="55" t="n">
        <v>31</v>
      </c>
      <c r="D73" s="55" t="n">
        <f aca="false">MAX((D72*($N$10/IF($B$4, 16.387, 1))+E73-SUM(F73:M73))/($N$10/IF($B$4, 16.387, 1)), 0)</f>
        <v>82.3008799901239</v>
      </c>
      <c r="E73" s="55" t="n">
        <f aca="false">IF(D72&lt;$N$15, $D$40*D72^3+$E$40*D72^2+$F$40*D72+$G$40, 0) * 12^3/60*14.7</f>
        <v>140.572775567905</v>
      </c>
      <c r="F73" s="55" t="n">
        <f aca="false">IFERROR(IF(AND($C73&gt;=D$15, $C73&lt;=D$16), IF(D$14&gt;1, N(MOD($C73-D$15, D$14)&lt;1), 1/D$14)*PI()*D$9/4*(D$7^2*MIN(D$10, $D72)+(D$7^2-D$8^2)*MIN(D$12, D$42))/IF($B$4, 25.4^3, 1), 0), 0)</f>
        <v>0</v>
      </c>
      <c r="G73" s="55" t="n">
        <f aca="false">IFERROR(IF(AND($C73&gt;=E$15, $C73&lt;=E$16), IF(E$14&gt;1, N(MOD($C73-E$15, E$14)&lt;1), 1/E$14)*PI()*E$9/4*(E$7^2*MIN(E$10, $D72)+(E$7^2-E$8^2)*MIN(E$12, E$42))/IF($B$4, 25.4^3, 1), 0), 0)</f>
        <v>0</v>
      </c>
      <c r="H73" s="55" t="n">
        <f aca="false">IFERROR(IF(AND($C73&gt;=F$15, $C73&lt;=F$16), IF(F$14&gt;1, N(MOD($C73-F$15, F$14)&lt;1), 1/F$14)*PI()*F$9/4*(F$7^2*MIN(F$10, $D72)+(F$7^2-F$8^2)*MIN(F$12, F$42))/IF($B$4, 25.4^3, 1), 0), 0)</f>
        <v>0</v>
      </c>
      <c r="I73" s="55" t="n">
        <f aca="false">IFERROR(IF(AND($C73&gt;=G$15, $C73&lt;=G$16), IF(G$14&gt;1, N(MOD($C73-G$15, G$14)&lt;1), 1/G$14)*PI()*G$9/4*(G$7^2*MIN(G$10, $D72)+(G$7^2-G$8^2)*MIN(G$12, G$42))/IF($B$4, 25.4^3, 1), 0), 0)</f>
        <v>0</v>
      </c>
      <c r="J73" s="55" t="n">
        <f aca="false">IFERROR(IF(AND($C73&gt;=H$15, $C73&lt;=H$16), IF(H$14&gt;1, N(MOD($C73-H$15, H$14)&lt;1), 1/H$14)*PI()*H$9/4*(H$7^2*MIN(H$10, $D72)+(H$7^2-H$8^2)*MIN(H$12, H$42))/IF($B$4, 25.4^3, 1), 0), 0)</f>
        <v>0</v>
      </c>
      <c r="K73" s="55" t="n">
        <f aca="false">IFERROR(IF(AND($C73&gt;=I$15, $C73&lt;=I$16), IF(I$14&gt;1, N(MOD($C73-I$15, I$14)&lt;1), 1/I$14)*PI()*I$9/4*(I$7^2*MIN(I$10, $D72)+(I$7^2-I$8^2)*MIN(I$12, I$42))/IF($B$4, 25.4^3, 1), 0), 0)</f>
        <v>0</v>
      </c>
      <c r="L73" s="55" t="n">
        <f aca="false">IFERROR(IF(AND($C73&gt;=J$15, $C73&lt;=J$16), IF(J$14&gt;1, N(MOD($C73-J$15, J$14)&lt;1), 1/J$14)*PI()*J$9/4*(J$7^2*MIN(J$10, $D72)+(J$7^2-J$8^2)*MIN(J$12, J$42))/IF($B$4, 25.4^3, 1), 0), 0)</f>
        <v>0</v>
      </c>
      <c r="M73" s="55" t="n">
        <f aca="false">IFERROR(IF(AND($C73&gt;=K$15, $C73&lt;=K$16), IF(K$14&gt;1, N(MOD($C73-K$15, K$14)&lt;1), 1/K$14)*PI()*K$9/4*(K$7^2*MIN(K$10, $D72)+(K$7^2-K$8^2)*MIN(K$12, K$42))/IF($B$4, 25.4^3, 1), 0), 0)</f>
        <v>0</v>
      </c>
    </row>
    <row r="74" customFormat="false" ht="15" hidden="false" customHeight="false" outlineLevel="0" collapsed="false">
      <c r="C74" s="55" t="n">
        <v>32</v>
      </c>
      <c r="D74" s="55" t="n">
        <f aca="false">MAX((D73*($N$10/IF($B$4, 16.387, 1))+E74-SUM(F74:M74))/($N$10/IF($B$4, 16.387, 1)), 0)</f>
        <v>83.6263048092775</v>
      </c>
      <c r="E74" s="55" t="n">
        <f aca="false">IF(D73&lt;$N$15, $D$40*D73^3+$E$40*D73^2+$F$40*D73+$G$40, 0) * 12^3/60*14.7</f>
        <v>139.16960601113</v>
      </c>
      <c r="F74" s="55" t="n">
        <f aca="false">IFERROR(IF(AND($C74&gt;=D$15, $C74&lt;=D$16), IF(D$14&gt;1, N(MOD($C74-D$15, D$14)&lt;1), 1/D$14)*PI()*D$9/4*(D$7^2*MIN(D$10, $D73)+(D$7^2-D$8^2)*MIN(D$12, D$42))/IF($B$4, 25.4^3, 1), 0), 0)</f>
        <v>0</v>
      </c>
      <c r="G74" s="55" t="n">
        <f aca="false">IFERROR(IF(AND($C74&gt;=E$15, $C74&lt;=E$16), IF(E$14&gt;1, N(MOD($C74-E$15, E$14)&lt;1), 1/E$14)*PI()*E$9/4*(E$7^2*MIN(E$10, $D73)+(E$7^2-E$8^2)*MIN(E$12, E$42))/IF($B$4, 25.4^3, 1), 0), 0)</f>
        <v>0</v>
      </c>
      <c r="H74" s="55" t="n">
        <f aca="false">IFERROR(IF(AND($C74&gt;=F$15, $C74&lt;=F$16), IF(F$14&gt;1, N(MOD($C74-F$15, F$14)&lt;1), 1/F$14)*PI()*F$9/4*(F$7^2*MIN(F$10, $D73)+(F$7^2-F$8^2)*MIN(F$12, F$42))/IF($B$4, 25.4^3, 1), 0), 0)</f>
        <v>0</v>
      </c>
      <c r="I74" s="55" t="n">
        <f aca="false">IFERROR(IF(AND($C74&gt;=G$15, $C74&lt;=G$16), IF(G$14&gt;1, N(MOD($C74-G$15, G$14)&lt;1), 1/G$14)*PI()*G$9/4*(G$7^2*MIN(G$10, $D73)+(G$7^2-G$8^2)*MIN(G$12, G$42))/IF($B$4, 25.4^3, 1), 0), 0)</f>
        <v>0</v>
      </c>
      <c r="J74" s="55" t="n">
        <f aca="false">IFERROR(IF(AND($C74&gt;=H$15, $C74&lt;=H$16), IF(H$14&gt;1, N(MOD($C74-H$15, H$14)&lt;1), 1/H$14)*PI()*H$9/4*(H$7^2*MIN(H$10, $D73)+(H$7^2-H$8^2)*MIN(H$12, H$42))/IF($B$4, 25.4^3, 1), 0), 0)</f>
        <v>0</v>
      </c>
      <c r="K74" s="55" t="n">
        <f aca="false">IFERROR(IF(AND($C74&gt;=I$15, $C74&lt;=I$16), IF(I$14&gt;1, N(MOD($C74-I$15, I$14)&lt;1), 1/I$14)*PI()*I$9/4*(I$7^2*MIN(I$10, $D73)+(I$7^2-I$8^2)*MIN(I$12, I$42))/IF($B$4, 25.4^3, 1), 0), 0)</f>
        <v>0</v>
      </c>
      <c r="L74" s="55" t="n">
        <f aca="false">IFERROR(IF(AND($C74&gt;=J$15, $C74&lt;=J$16), IF(J$14&gt;1, N(MOD($C74-J$15, J$14)&lt;1), 1/J$14)*PI()*J$9/4*(J$7^2*MIN(J$10, $D73)+(J$7^2-J$8^2)*MIN(J$12, J$42))/IF($B$4, 25.4^3, 1), 0), 0)</f>
        <v>0</v>
      </c>
      <c r="M74" s="55" t="n">
        <f aca="false">IFERROR(IF(AND($C74&gt;=K$15, $C74&lt;=K$16), IF(K$14&gt;1, N(MOD($C74-K$15, K$14)&lt;1), 1/K$14)*PI()*K$9/4*(K$7^2*MIN(K$10, $D73)+(K$7^2-K$8^2)*MIN(K$12, K$42))/IF($B$4, 25.4^3, 1), 0), 0)</f>
        <v>0</v>
      </c>
    </row>
    <row r="75" customFormat="false" ht="15" hidden="false" customHeight="false" outlineLevel="0" collapsed="false">
      <c r="C75" s="55" t="n">
        <v>33</v>
      </c>
      <c r="D75" s="55" t="n">
        <f aca="false">MAX((D74*($N$10/IF($B$4, 16.387, 1))+E75-SUM(F75:M75))/($N$10/IF($B$4, 16.387, 1)), 0)</f>
        <v>74.0208635931864</v>
      </c>
      <c r="E75" s="55" t="n">
        <f aca="false">IF(D74&lt;$N$15, $D$40*D74^3+$E$40*D74^2+$F$40*D74+$G$40, 0) * 12^3/60*14.7</f>
        <v>137.864553944647</v>
      </c>
      <c r="F75" s="55" t="n">
        <f aca="false">IFERROR(IF(AND($C75&gt;=D$15, $C75&lt;=D$16), IF(D$14&gt;1, N(MOD($C75-D$15, D$14)&lt;1), 1/D$14)*PI()*D$9/4*(D$7^2*MIN(D$10, $D74)+(D$7^2-D$8^2)*MIN(D$12, D$42))/IF($B$4, 25.4^3, 1), 0), 0)</f>
        <v>1146.43588163421</v>
      </c>
      <c r="G75" s="55" t="n">
        <f aca="false">IFERROR(IF(AND($C75&gt;=E$15, $C75&lt;=E$16), IF(E$14&gt;1, N(MOD($C75-E$15, E$14)&lt;1), 1/E$14)*PI()*E$9/4*(E$7^2*MIN(E$10, $D74)+(E$7^2-E$8^2)*MIN(E$12, E$42))/IF($B$4, 25.4^3, 1), 0), 0)</f>
        <v>0</v>
      </c>
      <c r="H75" s="55" t="n">
        <f aca="false">IFERROR(IF(AND($C75&gt;=F$15, $C75&lt;=F$16), IF(F$14&gt;1, N(MOD($C75-F$15, F$14)&lt;1), 1/F$14)*PI()*F$9/4*(F$7^2*MIN(F$10, $D74)+(F$7^2-F$8^2)*MIN(F$12, F$42))/IF($B$4, 25.4^3, 1), 0), 0)</f>
        <v>0</v>
      </c>
      <c r="I75" s="55" t="n">
        <f aca="false">IFERROR(IF(AND($C75&gt;=G$15, $C75&lt;=G$16), IF(G$14&gt;1, N(MOD($C75-G$15, G$14)&lt;1), 1/G$14)*PI()*G$9/4*(G$7^2*MIN(G$10, $D74)+(G$7^2-G$8^2)*MIN(G$12, G$42))/IF($B$4, 25.4^3, 1), 0), 0)</f>
        <v>0</v>
      </c>
      <c r="J75" s="55" t="n">
        <f aca="false">IFERROR(IF(AND($C75&gt;=H$15, $C75&lt;=H$16), IF(H$14&gt;1, N(MOD($C75-H$15, H$14)&lt;1), 1/H$14)*PI()*H$9/4*(H$7^2*MIN(H$10, $D74)+(H$7^2-H$8^2)*MIN(H$12, H$42))/IF($B$4, 25.4^3, 1), 0), 0)</f>
        <v>0</v>
      </c>
      <c r="K75" s="55" t="n">
        <f aca="false">IFERROR(IF(AND($C75&gt;=I$15, $C75&lt;=I$16), IF(I$14&gt;1, N(MOD($C75-I$15, I$14)&lt;1), 1/I$14)*PI()*I$9/4*(I$7^2*MIN(I$10, $D74)+(I$7^2-I$8^2)*MIN(I$12, I$42))/IF($B$4, 25.4^3, 1), 0), 0)</f>
        <v>0</v>
      </c>
      <c r="L75" s="55" t="n">
        <f aca="false">IFERROR(IF(AND($C75&gt;=J$15, $C75&lt;=J$16), IF(J$14&gt;1, N(MOD($C75-J$15, J$14)&lt;1), 1/J$14)*PI()*J$9/4*(J$7^2*MIN(J$10, $D74)+(J$7^2-J$8^2)*MIN(J$12, J$42))/IF($B$4, 25.4^3, 1), 0), 0)</f>
        <v>0</v>
      </c>
      <c r="M75" s="55" t="n">
        <f aca="false">IFERROR(IF(AND($C75&gt;=K$15, $C75&lt;=K$16), IF(K$14&gt;1, N(MOD($C75-K$15, K$14)&lt;1), 1/K$14)*PI()*K$9/4*(K$7^2*MIN(K$10, $D74)+(K$7^2-K$8^2)*MIN(K$12, K$42))/IF($B$4, 25.4^3, 1), 0), 0)</f>
        <v>0</v>
      </c>
    </row>
    <row r="76" customFormat="false" ht="15" hidden="false" customHeight="false" outlineLevel="0" collapsed="false">
      <c r="C76" s="55" t="n">
        <v>34</v>
      </c>
      <c r="D76" s="55" t="n">
        <f aca="false">MAX((D75*($N$10/IF($B$4, 16.387, 1))+E76-SUM(F76:M76))/($N$10/IF($B$4, 16.387, 1)), 0)</f>
        <v>75.4411155135365</v>
      </c>
      <c r="E76" s="55" t="n">
        <f aca="false">IF(D75&lt;$N$15, $D$40*D75^3+$E$40*D75^2+$F$40*D75+$G$40, 0) * 12^3/60*14.7</f>
        <v>149.126451636756</v>
      </c>
      <c r="F76" s="55" t="n">
        <f aca="false">IFERROR(IF(AND($C76&gt;=D$15, $C76&lt;=D$16), IF(D$14&gt;1, N(MOD($C76-D$15, D$14)&lt;1), 1/D$14)*PI()*D$9/4*(D$7^2*MIN(D$10, $D75)+(D$7^2-D$8^2)*MIN(D$12, D$42))/IF($B$4, 25.4^3, 1), 0), 0)</f>
        <v>0</v>
      </c>
      <c r="G76" s="55" t="n">
        <f aca="false">IFERROR(IF(AND($C76&gt;=E$15, $C76&lt;=E$16), IF(E$14&gt;1, N(MOD($C76-E$15, E$14)&lt;1), 1/E$14)*PI()*E$9/4*(E$7^2*MIN(E$10, $D75)+(E$7^2-E$8^2)*MIN(E$12, E$42))/IF($B$4, 25.4^3, 1), 0), 0)</f>
        <v>0</v>
      </c>
      <c r="H76" s="55" t="n">
        <f aca="false">IFERROR(IF(AND($C76&gt;=F$15, $C76&lt;=F$16), IF(F$14&gt;1, N(MOD($C76-F$15, F$14)&lt;1), 1/F$14)*PI()*F$9/4*(F$7^2*MIN(F$10, $D75)+(F$7^2-F$8^2)*MIN(F$12, F$42))/IF($B$4, 25.4^3, 1), 0), 0)</f>
        <v>0</v>
      </c>
      <c r="I76" s="55" t="n">
        <f aca="false">IFERROR(IF(AND($C76&gt;=G$15, $C76&lt;=G$16), IF(G$14&gt;1, N(MOD($C76-G$15, G$14)&lt;1), 1/G$14)*PI()*G$9/4*(G$7^2*MIN(G$10, $D75)+(G$7^2-G$8^2)*MIN(G$12, G$42))/IF($B$4, 25.4^3, 1), 0), 0)</f>
        <v>0</v>
      </c>
      <c r="J76" s="55" t="n">
        <f aca="false">IFERROR(IF(AND($C76&gt;=H$15, $C76&lt;=H$16), IF(H$14&gt;1, N(MOD($C76-H$15, H$14)&lt;1), 1/H$14)*PI()*H$9/4*(H$7^2*MIN(H$10, $D75)+(H$7^2-H$8^2)*MIN(H$12, H$42))/IF($B$4, 25.4^3, 1), 0), 0)</f>
        <v>0</v>
      </c>
      <c r="K76" s="55" t="n">
        <f aca="false">IFERROR(IF(AND($C76&gt;=I$15, $C76&lt;=I$16), IF(I$14&gt;1, N(MOD($C76-I$15, I$14)&lt;1), 1/I$14)*PI()*I$9/4*(I$7^2*MIN(I$10, $D75)+(I$7^2-I$8^2)*MIN(I$12, I$42))/IF($B$4, 25.4^3, 1), 0), 0)</f>
        <v>0</v>
      </c>
      <c r="L76" s="55" t="n">
        <f aca="false">IFERROR(IF(AND($C76&gt;=J$15, $C76&lt;=J$16), IF(J$14&gt;1, N(MOD($C76-J$15, J$14)&lt;1), 1/J$14)*PI()*J$9/4*(J$7^2*MIN(J$10, $D75)+(J$7^2-J$8^2)*MIN(J$12, J$42))/IF($B$4, 25.4^3, 1), 0), 0)</f>
        <v>0</v>
      </c>
      <c r="M76" s="55" t="n">
        <f aca="false">IFERROR(IF(AND($C76&gt;=K$15, $C76&lt;=K$16), IF(K$14&gt;1, N(MOD($C76-K$15, K$14)&lt;1), 1/K$14)*PI()*K$9/4*(K$7^2*MIN(K$10, $D75)+(K$7^2-K$8^2)*MIN(K$12, K$42))/IF($B$4, 25.4^3, 1), 0), 0)</f>
        <v>0</v>
      </c>
    </row>
    <row r="77" customFormat="false" ht="15" hidden="false" customHeight="false" outlineLevel="0" collapsed="false">
      <c r="C77" s="55" t="n">
        <v>35</v>
      </c>
      <c r="D77" s="55" t="n">
        <f aca="false">MAX((D76*($N$10/IF($B$4, 16.387, 1))+E77-SUM(F77:M77))/($N$10/IF($B$4, 16.387, 1)), 0)</f>
        <v>76.8431215003556</v>
      </c>
      <c r="E77" s="55" t="n">
        <f aca="false">IF(D76&lt;$N$15, $D$40*D76^3+$E$40*D76^2+$F$40*D76+$G$40, 0) * 12^3/60*14.7</f>
        <v>147.21062861601</v>
      </c>
      <c r="F77" s="55" t="n">
        <f aca="false">IFERROR(IF(AND($C77&gt;=D$15, $C77&lt;=D$16), IF(D$14&gt;1, N(MOD($C77-D$15, D$14)&lt;1), 1/D$14)*PI()*D$9/4*(D$7^2*MIN(D$10, $D76)+(D$7^2-D$8^2)*MIN(D$12, D$42))/IF($B$4, 25.4^3, 1), 0), 0)</f>
        <v>0</v>
      </c>
      <c r="G77" s="55" t="n">
        <f aca="false">IFERROR(IF(AND($C77&gt;=E$15, $C77&lt;=E$16), IF(E$14&gt;1, N(MOD($C77-E$15, E$14)&lt;1), 1/E$14)*PI()*E$9/4*(E$7^2*MIN(E$10, $D76)+(E$7^2-E$8^2)*MIN(E$12, E$42))/IF($B$4, 25.4^3, 1), 0), 0)</f>
        <v>0</v>
      </c>
      <c r="H77" s="55" t="n">
        <f aca="false">IFERROR(IF(AND($C77&gt;=F$15, $C77&lt;=F$16), IF(F$14&gt;1, N(MOD($C77-F$15, F$14)&lt;1), 1/F$14)*PI()*F$9/4*(F$7^2*MIN(F$10, $D76)+(F$7^2-F$8^2)*MIN(F$12, F$42))/IF($B$4, 25.4^3, 1), 0), 0)</f>
        <v>0</v>
      </c>
      <c r="I77" s="55" t="n">
        <f aca="false">IFERROR(IF(AND($C77&gt;=G$15, $C77&lt;=G$16), IF(G$14&gt;1, N(MOD($C77-G$15, G$14)&lt;1), 1/G$14)*PI()*G$9/4*(G$7^2*MIN(G$10, $D76)+(G$7^2-G$8^2)*MIN(G$12, G$42))/IF($B$4, 25.4^3, 1), 0), 0)</f>
        <v>0</v>
      </c>
      <c r="J77" s="55" t="n">
        <f aca="false">IFERROR(IF(AND($C77&gt;=H$15, $C77&lt;=H$16), IF(H$14&gt;1, N(MOD($C77-H$15, H$14)&lt;1), 1/H$14)*PI()*H$9/4*(H$7^2*MIN(H$10, $D76)+(H$7^2-H$8^2)*MIN(H$12, H$42))/IF($B$4, 25.4^3, 1), 0), 0)</f>
        <v>0</v>
      </c>
      <c r="K77" s="55" t="n">
        <f aca="false">IFERROR(IF(AND($C77&gt;=I$15, $C77&lt;=I$16), IF(I$14&gt;1, N(MOD($C77-I$15, I$14)&lt;1), 1/I$14)*PI()*I$9/4*(I$7^2*MIN(I$10, $D76)+(I$7^2-I$8^2)*MIN(I$12, I$42))/IF($B$4, 25.4^3, 1), 0), 0)</f>
        <v>0</v>
      </c>
      <c r="L77" s="55" t="n">
        <f aca="false">IFERROR(IF(AND($C77&gt;=J$15, $C77&lt;=J$16), IF(J$14&gt;1, N(MOD($C77-J$15, J$14)&lt;1), 1/J$14)*PI()*J$9/4*(J$7^2*MIN(J$10, $D76)+(J$7^2-J$8^2)*MIN(J$12, J$42))/IF($B$4, 25.4^3, 1), 0), 0)</f>
        <v>0</v>
      </c>
      <c r="M77" s="55" t="n">
        <f aca="false">IFERROR(IF(AND($C77&gt;=K$15, $C77&lt;=K$16), IF(K$14&gt;1, N(MOD($C77-K$15, K$14)&lt;1), 1/K$14)*PI()*K$9/4*(K$7^2*MIN(K$10, $D76)+(K$7^2-K$8^2)*MIN(K$12, K$42))/IF($B$4, 25.4^3, 1), 0), 0)</f>
        <v>0</v>
      </c>
    </row>
    <row r="78" customFormat="false" ht="15" hidden="false" customHeight="false" outlineLevel="0" collapsed="false">
      <c r="C78" s="55" t="n">
        <v>36</v>
      </c>
      <c r="D78" s="55" t="n">
        <f aca="false">MAX((D77*($N$10/IF($B$4, 16.387, 1))+E78-SUM(F78:M78))/($N$10/IF($B$4, 16.387, 1)), 0)</f>
        <v>78.2278866427924</v>
      </c>
      <c r="E78" s="55" t="n">
        <f aca="false">IF(D77&lt;$N$15, $D$40*D77^3+$E$40*D77^2+$F$40*D77+$G$40, 0) * 12^3/60*14.7</f>
        <v>145.400339955866</v>
      </c>
      <c r="F78" s="55" t="n">
        <f aca="false">IFERROR(IF(AND($C78&gt;=D$15, $C78&lt;=D$16), IF(D$14&gt;1, N(MOD($C78-D$15, D$14)&lt;1), 1/D$14)*PI()*D$9/4*(D$7^2*MIN(D$10, $D77)+(D$7^2-D$8^2)*MIN(D$12, D$42))/IF($B$4, 25.4^3, 1), 0), 0)</f>
        <v>0</v>
      </c>
      <c r="G78" s="55" t="n">
        <f aca="false">IFERROR(IF(AND($C78&gt;=E$15, $C78&lt;=E$16), IF(E$14&gt;1, N(MOD($C78-E$15, E$14)&lt;1), 1/E$14)*PI()*E$9/4*(E$7^2*MIN(E$10, $D77)+(E$7^2-E$8^2)*MIN(E$12, E$42))/IF($B$4, 25.4^3, 1), 0), 0)</f>
        <v>0</v>
      </c>
      <c r="H78" s="55" t="n">
        <f aca="false">IFERROR(IF(AND($C78&gt;=F$15, $C78&lt;=F$16), IF(F$14&gt;1, N(MOD($C78-F$15, F$14)&lt;1), 1/F$14)*PI()*F$9/4*(F$7^2*MIN(F$10, $D77)+(F$7^2-F$8^2)*MIN(F$12, F$42))/IF($B$4, 25.4^3, 1), 0), 0)</f>
        <v>0</v>
      </c>
      <c r="I78" s="55" t="n">
        <f aca="false">IFERROR(IF(AND($C78&gt;=G$15, $C78&lt;=G$16), IF(G$14&gt;1, N(MOD($C78-G$15, G$14)&lt;1), 1/G$14)*PI()*G$9/4*(G$7^2*MIN(G$10, $D77)+(G$7^2-G$8^2)*MIN(G$12, G$42))/IF($B$4, 25.4^3, 1), 0), 0)</f>
        <v>0</v>
      </c>
      <c r="J78" s="55" t="n">
        <f aca="false">IFERROR(IF(AND($C78&gt;=H$15, $C78&lt;=H$16), IF(H$14&gt;1, N(MOD($C78-H$15, H$14)&lt;1), 1/H$14)*PI()*H$9/4*(H$7^2*MIN(H$10, $D77)+(H$7^2-H$8^2)*MIN(H$12, H$42))/IF($B$4, 25.4^3, 1), 0), 0)</f>
        <v>0</v>
      </c>
      <c r="K78" s="55" t="n">
        <f aca="false">IFERROR(IF(AND($C78&gt;=I$15, $C78&lt;=I$16), IF(I$14&gt;1, N(MOD($C78-I$15, I$14)&lt;1), 1/I$14)*PI()*I$9/4*(I$7^2*MIN(I$10, $D77)+(I$7^2-I$8^2)*MIN(I$12, I$42))/IF($B$4, 25.4^3, 1), 0), 0)</f>
        <v>0</v>
      </c>
      <c r="L78" s="55" t="n">
        <f aca="false">IFERROR(IF(AND($C78&gt;=J$15, $C78&lt;=J$16), IF(J$14&gt;1, N(MOD($C78-J$15, J$14)&lt;1), 1/J$14)*PI()*J$9/4*(J$7^2*MIN(J$10, $D77)+(J$7^2-J$8^2)*MIN(J$12, J$42))/IF($B$4, 25.4^3, 1), 0), 0)</f>
        <v>0</v>
      </c>
      <c r="M78" s="55" t="n">
        <f aca="false">IFERROR(IF(AND($C78&gt;=K$15, $C78&lt;=K$16), IF(K$14&gt;1, N(MOD($C78-K$15, K$14)&lt;1), 1/K$14)*PI()*K$9/4*(K$7^2*MIN(K$10, $D77)+(K$7^2-K$8^2)*MIN(K$12, K$42))/IF($B$4, 25.4^3, 1), 0), 0)</f>
        <v>0</v>
      </c>
    </row>
    <row r="79" customFormat="false" ht="15" hidden="false" customHeight="false" outlineLevel="0" collapsed="false">
      <c r="C79" s="55" t="n">
        <v>37</v>
      </c>
      <c r="D79" s="55" t="n">
        <f aca="false">MAX((D78*($N$10/IF($B$4, 16.387, 1))+E79-SUM(F79:M79))/($N$10/IF($B$4, 16.387, 1)), 0)</f>
        <v>79.596399891794</v>
      </c>
      <c r="E79" s="55" t="n">
        <f aca="false">IF(D78&lt;$N$15, $D$40*D78^3+$E$40*D78^2+$F$40*D78+$G$40, 0) * 12^3/60*14.7</f>
        <v>143.693891145159</v>
      </c>
      <c r="F79" s="55" t="n">
        <f aca="false">IFERROR(IF(AND($C79&gt;=D$15, $C79&lt;=D$16), IF(D$14&gt;1, N(MOD($C79-D$15, D$14)&lt;1), 1/D$14)*PI()*D$9/4*(D$7^2*MIN(D$10, $D78)+(D$7^2-D$8^2)*MIN(D$12, D$42))/IF($B$4, 25.4^3, 1), 0), 0)</f>
        <v>0</v>
      </c>
      <c r="G79" s="55" t="n">
        <f aca="false">IFERROR(IF(AND($C79&gt;=E$15, $C79&lt;=E$16), IF(E$14&gt;1, N(MOD($C79-E$15, E$14)&lt;1), 1/E$14)*PI()*E$9/4*(E$7^2*MIN(E$10, $D78)+(E$7^2-E$8^2)*MIN(E$12, E$42))/IF($B$4, 25.4^3, 1), 0), 0)</f>
        <v>0</v>
      </c>
      <c r="H79" s="55" t="n">
        <f aca="false">IFERROR(IF(AND($C79&gt;=F$15, $C79&lt;=F$16), IF(F$14&gt;1, N(MOD($C79-F$15, F$14)&lt;1), 1/F$14)*PI()*F$9/4*(F$7^2*MIN(F$10, $D78)+(F$7^2-F$8^2)*MIN(F$12, F$42))/IF($B$4, 25.4^3, 1), 0), 0)</f>
        <v>0</v>
      </c>
      <c r="I79" s="55" t="n">
        <f aca="false">IFERROR(IF(AND($C79&gt;=G$15, $C79&lt;=G$16), IF(G$14&gt;1, N(MOD($C79-G$15, G$14)&lt;1), 1/G$14)*PI()*G$9/4*(G$7^2*MIN(G$10, $D78)+(G$7^2-G$8^2)*MIN(G$12, G$42))/IF($B$4, 25.4^3, 1), 0), 0)</f>
        <v>0</v>
      </c>
      <c r="J79" s="55" t="n">
        <f aca="false">IFERROR(IF(AND($C79&gt;=H$15, $C79&lt;=H$16), IF(H$14&gt;1, N(MOD($C79-H$15, H$14)&lt;1), 1/H$14)*PI()*H$9/4*(H$7^2*MIN(H$10, $D78)+(H$7^2-H$8^2)*MIN(H$12, H$42))/IF($B$4, 25.4^3, 1), 0), 0)</f>
        <v>0</v>
      </c>
      <c r="K79" s="55" t="n">
        <f aca="false">IFERROR(IF(AND($C79&gt;=I$15, $C79&lt;=I$16), IF(I$14&gt;1, N(MOD($C79-I$15, I$14)&lt;1), 1/I$14)*PI()*I$9/4*(I$7^2*MIN(I$10, $D78)+(I$7^2-I$8^2)*MIN(I$12, I$42))/IF($B$4, 25.4^3, 1), 0), 0)</f>
        <v>0</v>
      </c>
      <c r="L79" s="55" t="n">
        <f aca="false">IFERROR(IF(AND($C79&gt;=J$15, $C79&lt;=J$16), IF(J$14&gt;1, N(MOD($C79-J$15, J$14)&lt;1), 1/J$14)*PI()*J$9/4*(J$7^2*MIN(J$10, $D78)+(J$7^2-J$8^2)*MIN(J$12, J$42))/IF($B$4, 25.4^3, 1), 0), 0)</f>
        <v>0</v>
      </c>
      <c r="M79" s="55" t="n">
        <f aca="false">IFERROR(IF(AND($C79&gt;=K$15, $C79&lt;=K$16), IF(K$14&gt;1, N(MOD($C79-K$15, K$14)&lt;1), 1/K$14)*PI()*K$9/4*(K$7^2*MIN(K$10, $D78)+(K$7^2-K$8^2)*MIN(K$12, K$42))/IF($B$4, 25.4^3, 1), 0), 0)</f>
        <v>0</v>
      </c>
    </row>
    <row r="80" customFormat="false" ht="15" hidden="false" customHeight="false" outlineLevel="0" collapsed="false">
      <c r="C80" s="55" t="n">
        <v>38</v>
      </c>
      <c r="D80" s="55" t="n">
        <f aca="false">MAX((D79*($N$10/IF($B$4, 16.387, 1))+E80-SUM(F80:M80))/($N$10/IF($B$4, 16.387, 1)), 0)</f>
        <v>70.0311980032954</v>
      </c>
      <c r="E80" s="55" t="n">
        <f aca="false">IF(D79&lt;$N$15, $D$40*D79^3+$E$40*D79^2+$F$40*D79+$G$40, 0) * 12^3/60*14.7</f>
        <v>142.089683341859</v>
      </c>
      <c r="F80" s="55" t="n">
        <f aca="false">IFERROR(IF(AND($C80&gt;=D$15, $C80&lt;=D$16), IF(D$14&gt;1, N(MOD($C80-D$15, D$14)&lt;1), 1/D$14)*PI()*D$9/4*(D$7^2*MIN(D$10, $D79)+(D$7^2-D$8^2)*MIN(D$12, D$42))/IF($B$4, 25.4^3, 1), 0), 0)</f>
        <v>1146.43588163421</v>
      </c>
      <c r="G80" s="55" t="n">
        <f aca="false">IFERROR(IF(AND($C80&gt;=E$15, $C80&lt;=E$16), IF(E$14&gt;1, N(MOD($C80-E$15, E$14)&lt;1), 1/E$14)*PI()*E$9/4*(E$7^2*MIN(E$10, $D79)+(E$7^2-E$8^2)*MIN(E$12, E$42))/IF($B$4, 25.4^3, 1), 0), 0)</f>
        <v>0</v>
      </c>
      <c r="H80" s="55" t="n">
        <f aca="false">IFERROR(IF(AND($C80&gt;=F$15, $C80&lt;=F$16), IF(F$14&gt;1, N(MOD($C80-F$15, F$14)&lt;1), 1/F$14)*PI()*F$9/4*(F$7^2*MIN(F$10, $D79)+(F$7^2-F$8^2)*MIN(F$12, F$42))/IF($B$4, 25.4^3, 1), 0), 0)</f>
        <v>0</v>
      </c>
      <c r="I80" s="55" t="n">
        <f aca="false">IFERROR(IF(AND($C80&gt;=G$15, $C80&lt;=G$16), IF(G$14&gt;1, N(MOD($C80-G$15, G$14)&lt;1), 1/G$14)*PI()*G$9/4*(G$7^2*MIN(G$10, $D79)+(G$7^2-G$8^2)*MIN(G$12, G$42))/IF($B$4, 25.4^3, 1), 0), 0)</f>
        <v>0</v>
      </c>
      <c r="J80" s="55" t="n">
        <f aca="false">IFERROR(IF(AND($C80&gt;=H$15, $C80&lt;=H$16), IF(H$14&gt;1, N(MOD($C80-H$15, H$14)&lt;1), 1/H$14)*PI()*H$9/4*(H$7^2*MIN(H$10, $D79)+(H$7^2-H$8^2)*MIN(H$12, H$42))/IF($B$4, 25.4^3, 1), 0), 0)</f>
        <v>0</v>
      </c>
      <c r="K80" s="55" t="n">
        <f aca="false">IFERROR(IF(AND($C80&gt;=I$15, $C80&lt;=I$16), IF(I$14&gt;1, N(MOD($C80-I$15, I$14)&lt;1), 1/I$14)*PI()*I$9/4*(I$7^2*MIN(I$10, $D79)+(I$7^2-I$8^2)*MIN(I$12, I$42))/IF($B$4, 25.4^3, 1), 0), 0)</f>
        <v>0</v>
      </c>
      <c r="L80" s="55" t="n">
        <f aca="false">IFERROR(IF(AND($C80&gt;=J$15, $C80&lt;=J$16), IF(J$14&gt;1, N(MOD($C80-J$15, J$14)&lt;1), 1/J$14)*PI()*J$9/4*(J$7^2*MIN(J$10, $D79)+(J$7^2-J$8^2)*MIN(J$12, J$42))/IF($B$4, 25.4^3, 1), 0), 0)</f>
        <v>0</v>
      </c>
      <c r="M80" s="55" t="n">
        <f aca="false">IFERROR(IF(AND($C80&gt;=K$15, $C80&lt;=K$16), IF(K$14&gt;1, N(MOD($C80-K$15, K$14)&lt;1), 1/K$14)*PI()*K$9/4*(K$7^2*MIN(K$10, $D79)+(K$7^2-K$8^2)*MIN(K$12, K$42))/IF($B$4, 25.4^3, 1), 0), 0)</f>
        <v>0</v>
      </c>
    </row>
    <row r="81" customFormat="false" ht="15" hidden="false" customHeight="false" outlineLevel="0" collapsed="false">
      <c r="C81" s="55" t="n">
        <v>39</v>
      </c>
      <c r="D81" s="55" t="n">
        <f aca="false">MAX((D80*($N$10/IF($B$4, 16.387, 1))+E81-SUM(F81:M81))/($N$10/IF($B$4, 16.387, 1)), 0)</f>
        <v>71.5066798598951</v>
      </c>
      <c r="E81" s="55" t="n">
        <f aca="false">IF(D80&lt;$N$15, $D$40*D80^3+$E$40*D80^2+$F$40*D80+$G$40, 0) * 12^3/60*14.7</f>
        <v>154.925594942968</v>
      </c>
      <c r="F81" s="55" t="n">
        <f aca="false">IFERROR(IF(AND($C81&gt;=D$15, $C81&lt;=D$16), IF(D$14&gt;1, N(MOD($C81-D$15, D$14)&lt;1), 1/D$14)*PI()*D$9/4*(D$7^2*MIN(D$10, $D80)+(D$7^2-D$8^2)*MIN(D$12, D$42))/IF($B$4, 25.4^3, 1), 0), 0)</f>
        <v>0</v>
      </c>
      <c r="G81" s="55" t="n">
        <f aca="false">IFERROR(IF(AND($C81&gt;=E$15, $C81&lt;=E$16), IF(E$14&gt;1, N(MOD($C81-E$15, E$14)&lt;1), 1/E$14)*PI()*E$9/4*(E$7^2*MIN(E$10, $D80)+(E$7^2-E$8^2)*MIN(E$12, E$42))/IF($B$4, 25.4^3, 1), 0), 0)</f>
        <v>0</v>
      </c>
      <c r="H81" s="55" t="n">
        <f aca="false">IFERROR(IF(AND($C81&gt;=F$15, $C81&lt;=F$16), IF(F$14&gt;1, N(MOD($C81-F$15, F$14)&lt;1), 1/F$14)*PI()*F$9/4*(F$7^2*MIN(F$10, $D80)+(F$7^2-F$8^2)*MIN(F$12, F$42))/IF($B$4, 25.4^3, 1), 0), 0)</f>
        <v>0</v>
      </c>
      <c r="I81" s="55" t="n">
        <f aca="false">IFERROR(IF(AND($C81&gt;=G$15, $C81&lt;=G$16), IF(G$14&gt;1, N(MOD($C81-G$15, G$14)&lt;1), 1/G$14)*PI()*G$9/4*(G$7^2*MIN(G$10, $D80)+(G$7^2-G$8^2)*MIN(G$12, G$42))/IF($B$4, 25.4^3, 1), 0), 0)</f>
        <v>0</v>
      </c>
      <c r="J81" s="55" t="n">
        <f aca="false">IFERROR(IF(AND($C81&gt;=H$15, $C81&lt;=H$16), IF(H$14&gt;1, N(MOD($C81-H$15, H$14)&lt;1), 1/H$14)*PI()*H$9/4*(H$7^2*MIN(H$10, $D80)+(H$7^2-H$8^2)*MIN(H$12, H$42))/IF($B$4, 25.4^3, 1), 0), 0)</f>
        <v>0</v>
      </c>
      <c r="K81" s="55" t="n">
        <f aca="false">IFERROR(IF(AND($C81&gt;=I$15, $C81&lt;=I$16), IF(I$14&gt;1, N(MOD($C81-I$15, I$14)&lt;1), 1/I$14)*PI()*I$9/4*(I$7^2*MIN(I$10, $D80)+(I$7^2-I$8^2)*MIN(I$12, I$42))/IF($B$4, 25.4^3, 1), 0), 0)</f>
        <v>0</v>
      </c>
      <c r="L81" s="55" t="n">
        <f aca="false">IFERROR(IF(AND($C81&gt;=J$15, $C81&lt;=J$16), IF(J$14&gt;1, N(MOD($C81-J$15, J$14)&lt;1), 1/J$14)*PI()*J$9/4*(J$7^2*MIN(J$10, $D80)+(J$7^2-J$8^2)*MIN(J$12, J$42))/IF($B$4, 25.4^3, 1), 0), 0)</f>
        <v>0</v>
      </c>
      <c r="M81" s="55" t="n">
        <f aca="false">IFERROR(IF(AND($C81&gt;=K$15, $C81&lt;=K$16), IF(K$14&gt;1, N(MOD($C81-K$15, K$14)&lt;1), 1/K$14)*PI()*K$9/4*(K$7^2*MIN(K$10, $D80)+(K$7^2-K$8^2)*MIN(K$12, K$42))/IF($B$4, 25.4^3, 1), 0), 0)</f>
        <v>0</v>
      </c>
    </row>
    <row r="82" customFormat="false" ht="15" hidden="false" customHeight="false" outlineLevel="0" collapsed="false">
      <c r="C82" s="55" t="n">
        <v>40</v>
      </c>
      <c r="D82" s="55" t="n">
        <f aca="false">MAX((D81*($N$10/IF($B$4, 16.387, 1))+E82-SUM(F82:M82))/($N$10/IF($B$4, 16.387, 1)), 0)</f>
        <v>72.9610758392752</v>
      </c>
      <c r="E82" s="55" t="n">
        <f aca="false">IF(D81&lt;$N$15, $D$40*D81^3+$E$40*D81^2+$F$40*D81+$G$40, 0) * 12^3/60*14.7</f>
        <v>152.711577834909</v>
      </c>
      <c r="F82" s="55" t="n">
        <f aca="false">IFERROR(IF(AND($C82&gt;=D$15, $C82&lt;=D$16), IF(D$14&gt;1, N(MOD($C82-D$15, D$14)&lt;1), 1/D$14)*PI()*D$9/4*(D$7^2*MIN(D$10, $D81)+(D$7^2-D$8^2)*MIN(D$12, D$42))/IF($B$4, 25.4^3, 1), 0), 0)</f>
        <v>0</v>
      </c>
      <c r="G82" s="55" t="n">
        <f aca="false">IFERROR(IF(AND($C82&gt;=E$15, $C82&lt;=E$16), IF(E$14&gt;1, N(MOD($C82-E$15, E$14)&lt;1), 1/E$14)*PI()*E$9/4*(E$7^2*MIN(E$10, $D81)+(E$7^2-E$8^2)*MIN(E$12, E$42))/IF($B$4, 25.4^3, 1), 0), 0)</f>
        <v>0</v>
      </c>
      <c r="H82" s="55" t="n">
        <f aca="false">IFERROR(IF(AND($C82&gt;=F$15, $C82&lt;=F$16), IF(F$14&gt;1, N(MOD($C82-F$15, F$14)&lt;1), 1/F$14)*PI()*F$9/4*(F$7^2*MIN(F$10, $D81)+(F$7^2-F$8^2)*MIN(F$12, F$42))/IF($B$4, 25.4^3, 1), 0), 0)</f>
        <v>0</v>
      </c>
      <c r="I82" s="55" t="n">
        <f aca="false">IFERROR(IF(AND($C82&gt;=G$15, $C82&lt;=G$16), IF(G$14&gt;1, N(MOD($C82-G$15, G$14)&lt;1), 1/G$14)*PI()*G$9/4*(G$7^2*MIN(G$10, $D81)+(G$7^2-G$8^2)*MIN(G$12, G$42))/IF($B$4, 25.4^3, 1), 0), 0)</f>
        <v>0</v>
      </c>
      <c r="J82" s="55" t="n">
        <f aca="false">IFERROR(IF(AND($C82&gt;=H$15, $C82&lt;=H$16), IF(H$14&gt;1, N(MOD($C82-H$15, H$14)&lt;1), 1/H$14)*PI()*H$9/4*(H$7^2*MIN(H$10, $D81)+(H$7^2-H$8^2)*MIN(H$12, H$42))/IF($B$4, 25.4^3, 1), 0), 0)</f>
        <v>0</v>
      </c>
      <c r="K82" s="55" t="n">
        <f aca="false">IFERROR(IF(AND($C82&gt;=I$15, $C82&lt;=I$16), IF(I$14&gt;1, N(MOD($C82-I$15, I$14)&lt;1), 1/I$14)*PI()*I$9/4*(I$7^2*MIN(I$10, $D81)+(I$7^2-I$8^2)*MIN(I$12, I$42))/IF($B$4, 25.4^3, 1), 0), 0)</f>
        <v>0</v>
      </c>
      <c r="L82" s="55" t="n">
        <f aca="false">IFERROR(IF(AND($C82&gt;=J$15, $C82&lt;=J$16), IF(J$14&gt;1, N(MOD($C82-J$15, J$14)&lt;1), 1/J$14)*PI()*J$9/4*(J$7^2*MIN(J$10, $D81)+(J$7^2-J$8^2)*MIN(J$12, J$42))/IF($B$4, 25.4^3, 1), 0), 0)</f>
        <v>0</v>
      </c>
      <c r="M82" s="55" t="n">
        <f aca="false">IFERROR(IF(AND($C82&gt;=K$15, $C82&lt;=K$16), IF(K$14&gt;1, N(MOD($C82-K$15, K$14)&lt;1), 1/K$14)*PI()*K$9/4*(K$7^2*MIN(K$10, $D81)+(K$7^2-K$8^2)*MIN(K$12, K$42))/IF($B$4, 25.4^3, 1), 0), 0)</f>
        <v>0</v>
      </c>
    </row>
    <row r="83" customFormat="false" ht="15" hidden="false" customHeight="false" outlineLevel="0" collapsed="false">
      <c r="C83" s="55" t="n">
        <v>41</v>
      </c>
      <c r="D83" s="55" t="n">
        <f aca="false">MAX((D82*($N$10/IF($B$4, 16.387, 1))+E83-SUM(F83:M83))/($N$10/IF($B$4, 16.387, 1)), 0)</f>
        <v>74.3954388467523</v>
      </c>
      <c r="E83" s="55" t="n">
        <f aca="false">IF(D82&lt;$N$15, $D$40*D82^3+$E$40*D82^2+$F$40*D82+$G$40, 0) * 12^3/60*14.7</f>
        <v>150.608115785094</v>
      </c>
      <c r="F83" s="55" t="n">
        <f aca="false">IFERROR(IF(AND($C83&gt;=D$15, $C83&lt;=D$16), IF(D$14&gt;1, N(MOD($C83-D$15, D$14)&lt;1), 1/D$14)*PI()*D$9/4*(D$7^2*MIN(D$10, $D82)+(D$7^2-D$8^2)*MIN(D$12, D$42))/IF($B$4, 25.4^3, 1), 0), 0)</f>
        <v>0</v>
      </c>
      <c r="G83" s="55" t="n">
        <f aca="false">IFERROR(IF(AND($C83&gt;=E$15, $C83&lt;=E$16), IF(E$14&gt;1, N(MOD($C83-E$15, E$14)&lt;1), 1/E$14)*PI()*E$9/4*(E$7^2*MIN(E$10, $D82)+(E$7^2-E$8^2)*MIN(E$12, E$42))/IF($B$4, 25.4^3, 1), 0), 0)</f>
        <v>0</v>
      </c>
      <c r="H83" s="55" t="n">
        <f aca="false">IFERROR(IF(AND($C83&gt;=F$15, $C83&lt;=F$16), IF(F$14&gt;1, N(MOD($C83-F$15, F$14)&lt;1), 1/F$14)*PI()*F$9/4*(F$7^2*MIN(F$10, $D82)+(F$7^2-F$8^2)*MIN(F$12, F$42))/IF($B$4, 25.4^3, 1), 0), 0)</f>
        <v>0</v>
      </c>
      <c r="I83" s="55" t="n">
        <f aca="false">IFERROR(IF(AND($C83&gt;=G$15, $C83&lt;=G$16), IF(G$14&gt;1, N(MOD($C83-G$15, G$14)&lt;1), 1/G$14)*PI()*G$9/4*(G$7^2*MIN(G$10, $D82)+(G$7^2-G$8^2)*MIN(G$12, G$42))/IF($B$4, 25.4^3, 1), 0), 0)</f>
        <v>0</v>
      </c>
      <c r="J83" s="55" t="n">
        <f aca="false">IFERROR(IF(AND($C83&gt;=H$15, $C83&lt;=H$16), IF(H$14&gt;1, N(MOD($C83-H$15, H$14)&lt;1), 1/H$14)*PI()*H$9/4*(H$7^2*MIN(H$10, $D82)+(H$7^2-H$8^2)*MIN(H$12, H$42))/IF($B$4, 25.4^3, 1), 0), 0)</f>
        <v>0</v>
      </c>
      <c r="K83" s="55" t="n">
        <f aca="false">IFERROR(IF(AND($C83&gt;=I$15, $C83&lt;=I$16), IF(I$14&gt;1, N(MOD($C83-I$15, I$14)&lt;1), 1/I$14)*PI()*I$9/4*(I$7^2*MIN(I$10, $D82)+(I$7^2-I$8^2)*MIN(I$12, I$42))/IF($B$4, 25.4^3, 1), 0), 0)</f>
        <v>0</v>
      </c>
      <c r="L83" s="55" t="n">
        <f aca="false">IFERROR(IF(AND($C83&gt;=J$15, $C83&lt;=J$16), IF(J$14&gt;1, N(MOD($C83-J$15, J$14)&lt;1), 1/J$14)*PI()*J$9/4*(J$7^2*MIN(J$10, $D82)+(J$7^2-J$8^2)*MIN(J$12, J$42))/IF($B$4, 25.4^3, 1), 0), 0)</f>
        <v>0</v>
      </c>
      <c r="M83" s="55" t="n">
        <f aca="false">IFERROR(IF(AND($C83&gt;=K$15, $C83&lt;=K$16), IF(K$14&gt;1, N(MOD($C83-K$15, K$14)&lt;1), 1/K$14)*PI()*K$9/4*(K$7^2*MIN(K$10, $D82)+(K$7^2-K$8^2)*MIN(K$12, K$42))/IF($B$4, 25.4^3, 1), 0), 0)</f>
        <v>0</v>
      </c>
    </row>
    <row r="84" customFormat="false" ht="15" hidden="false" customHeight="false" outlineLevel="0" collapsed="false">
      <c r="C84" s="55" t="n">
        <v>42</v>
      </c>
      <c r="D84" s="55" t="n">
        <f aca="false">MAX((D83*($N$10/IF($B$4, 16.387, 1))+E84-SUM(F84:M84))/($N$10/IF($B$4, 16.387, 1)), 0)</f>
        <v>75.8108038143857</v>
      </c>
      <c r="E84" s="55" t="n">
        <f aca="false">IF(D83&lt;$N$15, $D$40*D83^3+$E$40*D83^2+$F$40*D83+$G$40, 0) * 12^3/60*14.7</f>
        <v>148.613321601514</v>
      </c>
      <c r="F84" s="55" t="n">
        <f aca="false">IFERROR(IF(AND($C84&gt;=D$15, $C84&lt;=D$16), IF(D$14&gt;1, N(MOD($C84-D$15, D$14)&lt;1), 1/D$14)*PI()*D$9/4*(D$7^2*MIN(D$10, $D83)+(D$7^2-D$8^2)*MIN(D$12, D$42))/IF($B$4, 25.4^3, 1), 0), 0)</f>
        <v>0</v>
      </c>
      <c r="G84" s="55" t="n">
        <f aca="false">IFERROR(IF(AND($C84&gt;=E$15, $C84&lt;=E$16), IF(E$14&gt;1, N(MOD($C84-E$15, E$14)&lt;1), 1/E$14)*PI()*E$9/4*(E$7^2*MIN(E$10, $D83)+(E$7^2-E$8^2)*MIN(E$12, E$42))/IF($B$4, 25.4^3, 1), 0), 0)</f>
        <v>0</v>
      </c>
      <c r="H84" s="55" t="n">
        <f aca="false">IFERROR(IF(AND($C84&gt;=F$15, $C84&lt;=F$16), IF(F$14&gt;1, N(MOD($C84-F$15, F$14)&lt;1), 1/F$14)*PI()*F$9/4*(F$7^2*MIN(F$10, $D83)+(F$7^2-F$8^2)*MIN(F$12, F$42))/IF($B$4, 25.4^3, 1), 0), 0)</f>
        <v>0</v>
      </c>
      <c r="I84" s="55" t="n">
        <f aca="false">IFERROR(IF(AND($C84&gt;=G$15, $C84&lt;=G$16), IF(G$14&gt;1, N(MOD($C84-G$15, G$14)&lt;1), 1/G$14)*PI()*G$9/4*(G$7^2*MIN(G$10, $D83)+(G$7^2-G$8^2)*MIN(G$12, G$42))/IF($B$4, 25.4^3, 1), 0), 0)</f>
        <v>0</v>
      </c>
      <c r="J84" s="55" t="n">
        <f aca="false">IFERROR(IF(AND($C84&gt;=H$15, $C84&lt;=H$16), IF(H$14&gt;1, N(MOD($C84-H$15, H$14)&lt;1), 1/H$14)*PI()*H$9/4*(H$7^2*MIN(H$10, $D83)+(H$7^2-H$8^2)*MIN(H$12, H$42))/IF($B$4, 25.4^3, 1), 0), 0)</f>
        <v>0</v>
      </c>
      <c r="K84" s="55" t="n">
        <f aca="false">IFERROR(IF(AND($C84&gt;=I$15, $C84&lt;=I$16), IF(I$14&gt;1, N(MOD($C84-I$15, I$14)&lt;1), 1/I$14)*PI()*I$9/4*(I$7^2*MIN(I$10, $D83)+(I$7^2-I$8^2)*MIN(I$12, I$42))/IF($B$4, 25.4^3, 1), 0), 0)</f>
        <v>0</v>
      </c>
      <c r="L84" s="55" t="n">
        <f aca="false">IFERROR(IF(AND($C84&gt;=J$15, $C84&lt;=J$16), IF(J$14&gt;1, N(MOD($C84-J$15, J$14)&lt;1), 1/J$14)*PI()*J$9/4*(J$7^2*MIN(J$10, $D83)+(J$7^2-J$8^2)*MIN(J$12, J$42))/IF($B$4, 25.4^3, 1), 0), 0)</f>
        <v>0</v>
      </c>
      <c r="M84" s="55" t="n">
        <f aca="false">IFERROR(IF(AND($C84&gt;=K$15, $C84&lt;=K$16), IF(K$14&gt;1, N(MOD($C84-K$15, K$14)&lt;1), 1/K$14)*PI()*K$9/4*(K$7^2*MIN(K$10, $D83)+(K$7^2-K$8^2)*MIN(K$12, K$42))/IF($B$4, 25.4^3, 1), 0), 0)</f>
        <v>0</v>
      </c>
    </row>
    <row r="85" customFormat="false" ht="15" hidden="false" customHeight="false" outlineLevel="0" collapsed="false">
      <c r="C85" s="55" t="n">
        <v>43</v>
      </c>
      <c r="D85" s="55" t="n">
        <f aca="false">MAX((D84*($N$10/IF($B$4, 16.387, 1))+E85-SUM(F85:M85))/($N$10/IF($B$4, 16.387, 1)), 0)</f>
        <v>66.2897512798109</v>
      </c>
      <c r="E85" s="55" t="n">
        <f aca="false">IF(D84&lt;$N$15, $D$40*D84^3+$E$40*D84^2+$F$40*D84+$G$40, 0) * 12^3/60*14.7</f>
        <v>146.725365503853</v>
      </c>
      <c r="F85" s="55" t="n">
        <f aca="false">IFERROR(IF(AND($C85&gt;=D$15, $C85&lt;=D$16), IF(D$14&gt;1, N(MOD($C85-D$15, D$14)&lt;1), 1/D$14)*PI()*D$9/4*(D$7^2*MIN(D$10, $D84)+(D$7^2-D$8^2)*MIN(D$12, D$42))/IF($B$4, 25.4^3, 1), 0), 0)</f>
        <v>1146.43588163421</v>
      </c>
      <c r="G85" s="55" t="n">
        <f aca="false">IFERROR(IF(AND($C85&gt;=E$15, $C85&lt;=E$16), IF(E$14&gt;1, N(MOD($C85-E$15, E$14)&lt;1), 1/E$14)*PI()*E$9/4*(E$7^2*MIN(E$10, $D84)+(E$7^2-E$8^2)*MIN(E$12, E$42))/IF($B$4, 25.4^3, 1), 0), 0)</f>
        <v>0</v>
      </c>
      <c r="H85" s="55" t="n">
        <f aca="false">IFERROR(IF(AND($C85&gt;=F$15, $C85&lt;=F$16), IF(F$14&gt;1, N(MOD($C85-F$15, F$14)&lt;1), 1/F$14)*PI()*F$9/4*(F$7^2*MIN(F$10, $D84)+(F$7^2-F$8^2)*MIN(F$12, F$42))/IF($B$4, 25.4^3, 1), 0), 0)</f>
        <v>0</v>
      </c>
      <c r="I85" s="55" t="n">
        <f aca="false">IFERROR(IF(AND($C85&gt;=G$15, $C85&lt;=G$16), IF(G$14&gt;1, N(MOD($C85-G$15, G$14)&lt;1), 1/G$14)*PI()*G$9/4*(G$7^2*MIN(G$10, $D84)+(G$7^2-G$8^2)*MIN(G$12, G$42))/IF($B$4, 25.4^3, 1), 0), 0)</f>
        <v>0</v>
      </c>
      <c r="J85" s="55" t="n">
        <f aca="false">IFERROR(IF(AND($C85&gt;=H$15, $C85&lt;=H$16), IF(H$14&gt;1, N(MOD($C85-H$15, H$14)&lt;1), 1/H$14)*PI()*H$9/4*(H$7^2*MIN(H$10, $D84)+(H$7^2-H$8^2)*MIN(H$12, H$42))/IF($B$4, 25.4^3, 1), 0), 0)</f>
        <v>0</v>
      </c>
      <c r="K85" s="55" t="n">
        <f aca="false">IFERROR(IF(AND($C85&gt;=I$15, $C85&lt;=I$16), IF(I$14&gt;1, N(MOD($C85-I$15, I$14)&lt;1), 1/I$14)*PI()*I$9/4*(I$7^2*MIN(I$10, $D84)+(I$7^2-I$8^2)*MIN(I$12, I$42))/IF($B$4, 25.4^3, 1), 0), 0)</f>
        <v>0</v>
      </c>
      <c r="L85" s="55" t="n">
        <f aca="false">IFERROR(IF(AND($C85&gt;=J$15, $C85&lt;=J$16), IF(J$14&gt;1, N(MOD($C85-J$15, J$14)&lt;1), 1/J$14)*PI()*J$9/4*(J$7^2*MIN(J$10, $D84)+(J$7^2-J$8^2)*MIN(J$12, J$42))/IF($B$4, 25.4^3, 1), 0), 0)</f>
        <v>0</v>
      </c>
      <c r="M85" s="55" t="n">
        <f aca="false">IFERROR(IF(AND($C85&gt;=K$15, $C85&lt;=K$16), IF(K$14&gt;1, N(MOD($C85-K$15, K$14)&lt;1), 1/K$14)*PI()*K$9/4*(K$7^2*MIN(K$10, $D84)+(K$7^2-K$8^2)*MIN(K$12, K$42))/IF($B$4, 25.4^3, 1), 0), 0)</f>
        <v>0</v>
      </c>
    </row>
    <row r="86" customFormat="false" ht="15" hidden="false" customHeight="false" outlineLevel="0" collapsed="false">
      <c r="C86" s="55" t="n">
        <v>44</v>
      </c>
      <c r="D86" s="55" t="n">
        <f aca="false">MAX((D85*($N$10/IF($B$4, 16.387, 1))+E86-SUM(F86:M86))/($N$10/IF($B$4, 16.387, 1)), 0)</f>
        <v>67.8219412753382</v>
      </c>
      <c r="E86" s="55" t="n">
        <f aca="false">IF(D85&lt;$N$15, $D$40*D85^3+$E$40*D85^2+$F$40*D85+$G$40, 0) * 12^3/60*14.7</f>
        <v>160.879949530371</v>
      </c>
      <c r="F86" s="55" t="n">
        <f aca="false">IFERROR(IF(AND($C86&gt;=D$15, $C86&lt;=D$16), IF(D$14&gt;1, N(MOD($C86-D$15, D$14)&lt;1), 1/D$14)*PI()*D$9/4*(D$7^2*MIN(D$10, $D85)+(D$7^2-D$8^2)*MIN(D$12, D$42))/IF($B$4, 25.4^3, 1), 0), 0)</f>
        <v>0</v>
      </c>
      <c r="G86" s="55" t="n">
        <f aca="false">IFERROR(IF(AND($C86&gt;=E$15, $C86&lt;=E$16), IF(E$14&gt;1, N(MOD($C86-E$15, E$14)&lt;1), 1/E$14)*PI()*E$9/4*(E$7^2*MIN(E$10, $D85)+(E$7^2-E$8^2)*MIN(E$12, E$42))/IF($B$4, 25.4^3, 1), 0), 0)</f>
        <v>0</v>
      </c>
      <c r="H86" s="55" t="n">
        <f aca="false">IFERROR(IF(AND($C86&gt;=F$15, $C86&lt;=F$16), IF(F$14&gt;1, N(MOD($C86-F$15, F$14)&lt;1), 1/F$14)*PI()*F$9/4*(F$7^2*MIN(F$10, $D85)+(F$7^2-F$8^2)*MIN(F$12, F$42))/IF($B$4, 25.4^3, 1), 0), 0)</f>
        <v>0</v>
      </c>
      <c r="I86" s="55" t="n">
        <f aca="false">IFERROR(IF(AND($C86&gt;=G$15, $C86&lt;=G$16), IF(G$14&gt;1, N(MOD($C86-G$15, G$14)&lt;1), 1/G$14)*PI()*G$9/4*(G$7^2*MIN(G$10, $D85)+(G$7^2-G$8^2)*MIN(G$12, G$42))/IF($B$4, 25.4^3, 1), 0), 0)</f>
        <v>0</v>
      </c>
      <c r="J86" s="55" t="n">
        <f aca="false">IFERROR(IF(AND($C86&gt;=H$15, $C86&lt;=H$16), IF(H$14&gt;1, N(MOD($C86-H$15, H$14)&lt;1), 1/H$14)*PI()*H$9/4*(H$7^2*MIN(H$10, $D85)+(H$7^2-H$8^2)*MIN(H$12, H$42))/IF($B$4, 25.4^3, 1), 0), 0)</f>
        <v>0</v>
      </c>
      <c r="K86" s="55" t="n">
        <f aca="false">IFERROR(IF(AND($C86&gt;=I$15, $C86&lt;=I$16), IF(I$14&gt;1, N(MOD($C86-I$15, I$14)&lt;1), 1/I$14)*PI()*I$9/4*(I$7^2*MIN(I$10, $D85)+(I$7^2-I$8^2)*MIN(I$12, I$42))/IF($B$4, 25.4^3, 1), 0), 0)</f>
        <v>0</v>
      </c>
      <c r="L86" s="55" t="n">
        <f aca="false">IFERROR(IF(AND($C86&gt;=J$15, $C86&lt;=J$16), IF(J$14&gt;1, N(MOD($C86-J$15, J$14)&lt;1), 1/J$14)*PI()*J$9/4*(J$7^2*MIN(J$10, $D85)+(J$7^2-J$8^2)*MIN(J$12, J$42))/IF($B$4, 25.4^3, 1), 0), 0)</f>
        <v>0</v>
      </c>
      <c r="M86" s="55" t="n">
        <f aca="false">IFERROR(IF(AND($C86&gt;=K$15, $C86&lt;=K$16), IF(K$14&gt;1, N(MOD($C86-K$15, K$14)&lt;1), 1/K$14)*PI()*K$9/4*(K$7^2*MIN(K$10, $D85)+(K$7^2-K$8^2)*MIN(K$12, K$42))/IF($B$4, 25.4^3, 1), 0), 0)</f>
        <v>0</v>
      </c>
    </row>
    <row r="87" customFormat="false" ht="15" hidden="false" customHeight="false" outlineLevel="0" collapsed="false">
      <c r="C87" s="55" t="n">
        <v>45</v>
      </c>
      <c r="D87" s="55" t="n">
        <f aca="false">MAX((D86*($N$10/IF($B$4, 16.387, 1))+E87-SUM(F87:M87))/($N$10/IF($B$4, 16.387, 1)), 0)</f>
        <v>69.3303658627957</v>
      </c>
      <c r="E87" s="55" t="n">
        <f aca="false">IF(D86&lt;$N$15, $D$40*D86^3+$E$40*D86^2+$F$40*D86+$G$40, 0) * 12^3/60*14.7</f>
        <v>158.38458168304</v>
      </c>
      <c r="F87" s="55" t="n">
        <f aca="false">IFERROR(IF(AND($C87&gt;=D$15, $C87&lt;=D$16), IF(D$14&gt;1, N(MOD($C87-D$15, D$14)&lt;1), 1/D$14)*PI()*D$9/4*(D$7^2*MIN(D$10, $D86)+(D$7^2-D$8^2)*MIN(D$12, D$42))/IF($B$4, 25.4^3, 1), 0), 0)</f>
        <v>0</v>
      </c>
      <c r="G87" s="55" t="n">
        <f aca="false">IFERROR(IF(AND($C87&gt;=E$15, $C87&lt;=E$16), IF(E$14&gt;1, N(MOD($C87-E$15, E$14)&lt;1), 1/E$14)*PI()*E$9/4*(E$7^2*MIN(E$10, $D86)+(E$7^2-E$8^2)*MIN(E$12, E$42))/IF($B$4, 25.4^3, 1), 0), 0)</f>
        <v>0</v>
      </c>
      <c r="H87" s="55" t="n">
        <f aca="false">IFERROR(IF(AND($C87&gt;=F$15, $C87&lt;=F$16), IF(F$14&gt;1, N(MOD($C87-F$15, F$14)&lt;1), 1/F$14)*PI()*F$9/4*(F$7^2*MIN(F$10, $D86)+(F$7^2-F$8^2)*MIN(F$12, F$42))/IF($B$4, 25.4^3, 1), 0), 0)</f>
        <v>0</v>
      </c>
      <c r="I87" s="55" t="n">
        <f aca="false">IFERROR(IF(AND($C87&gt;=G$15, $C87&lt;=G$16), IF(G$14&gt;1, N(MOD($C87-G$15, G$14)&lt;1), 1/G$14)*PI()*G$9/4*(G$7^2*MIN(G$10, $D86)+(G$7^2-G$8^2)*MIN(G$12, G$42))/IF($B$4, 25.4^3, 1), 0), 0)</f>
        <v>0</v>
      </c>
      <c r="J87" s="55" t="n">
        <f aca="false">IFERROR(IF(AND($C87&gt;=H$15, $C87&lt;=H$16), IF(H$14&gt;1, N(MOD($C87-H$15, H$14)&lt;1), 1/H$14)*PI()*H$9/4*(H$7^2*MIN(H$10, $D86)+(H$7^2-H$8^2)*MIN(H$12, H$42))/IF($B$4, 25.4^3, 1), 0), 0)</f>
        <v>0</v>
      </c>
      <c r="K87" s="55" t="n">
        <f aca="false">IFERROR(IF(AND($C87&gt;=I$15, $C87&lt;=I$16), IF(I$14&gt;1, N(MOD($C87-I$15, I$14)&lt;1), 1/I$14)*PI()*I$9/4*(I$7^2*MIN(I$10, $D86)+(I$7^2-I$8^2)*MIN(I$12, I$42))/IF($B$4, 25.4^3, 1), 0), 0)</f>
        <v>0</v>
      </c>
      <c r="L87" s="55" t="n">
        <f aca="false">IFERROR(IF(AND($C87&gt;=J$15, $C87&lt;=J$16), IF(J$14&gt;1, N(MOD($C87-J$15, J$14)&lt;1), 1/J$14)*PI()*J$9/4*(J$7^2*MIN(J$10, $D86)+(J$7^2-J$8^2)*MIN(J$12, J$42))/IF($B$4, 25.4^3, 1), 0), 0)</f>
        <v>0</v>
      </c>
      <c r="M87" s="55" t="n">
        <f aca="false">IFERROR(IF(AND($C87&gt;=K$15, $C87&lt;=K$16), IF(K$14&gt;1, N(MOD($C87-K$15, K$14)&lt;1), 1/K$14)*PI()*K$9/4*(K$7^2*MIN(K$10, $D86)+(K$7^2-K$8^2)*MIN(K$12, K$42))/IF($B$4, 25.4^3, 1), 0), 0)</f>
        <v>0</v>
      </c>
    </row>
    <row r="88" customFormat="false" ht="15" hidden="false" customHeight="false" outlineLevel="0" collapsed="false">
      <c r="C88" s="55" t="n">
        <v>46</v>
      </c>
      <c r="D88" s="55" t="n">
        <f aca="false">MAX((D87*($N$10/IF($B$4, 16.387, 1))+E88-SUM(F88:M88))/($N$10/IF($B$4, 16.387, 1)), 0)</f>
        <v>70.816123583508</v>
      </c>
      <c r="E88" s="55" t="n">
        <f aca="false">IF(D87&lt;$N$15, $D$40*D87^3+$E$40*D87^2+$F$40*D87+$G$40, 0) * 12^3/60*14.7</f>
        <v>156.004560674789</v>
      </c>
      <c r="F88" s="55" t="n">
        <f aca="false">IFERROR(IF(AND($C88&gt;=D$15, $C88&lt;=D$16), IF(D$14&gt;1, N(MOD($C88-D$15, D$14)&lt;1), 1/D$14)*PI()*D$9/4*(D$7^2*MIN(D$10, $D87)+(D$7^2-D$8^2)*MIN(D$12, D$42))/IF($B$4, 25.4^3, 1), 0), 0)</f>
        <v>0</v>
      </c>
      <c r="G88" s="55" t="n">
        <f aca="false">IFERROR(IF(AND($C88&gt;=E$15, $C88&lt;=E$16), IF(E$14&gt;1, N(MOD($C88-E$15, E$14)&lt;1), 1/E$14)*PI()*E$9/4*(E$7^2*MIN(E$10, $D87)+(E$7^2-E$8^2)*MIN(E$12, E$42))/IF($B$4, 25.4^3, 1), 0), 0)</f>
        <v>0</v>
      </c>
      <c r="H88" s="55" t="n">
        <f aca="false">IFERROR(IF(AND($C88&gt;=F$15, $C88&lt;=F$16), IF(F$14&gt;1, N(MOD($C88-F$15, F$14)&lt;1), 1/F$14)*PI()*F$9/4*(F$7^2*MIN(F$10, $D87)+(F$7^2-F$8^2)*MIN(F$12, F$42))/IF($B$4, 25.4^3, 1), 0), 0)</f>
        <v>0</v>
      </c>
      <c r="I88" s="55" t="n">
        <f aca="false">IFERROR(IF(AND($C88&gt;=G$15, $C88&lt;=G$16), IF(G$14&gt;1, N(MOD($C88-G$15, G$14)&lt;1), 1/G$14)*PI()*G$9/4*(G$7^2*MIN(G$10, $D87)+(G$7^2-G$8^2)*MIN(G$12, G$42))/IF($B$4, 25.4^3, 1), 0), 0)</f>
        <v>0</v>
      </c>
      <c r="J88" s="55" t="n">
        <f aca="false">IFERROR(IF(AND($C88&gt;=H$15, $C88&lt;=H$16), IF(H$14&gt;1, N(MOD($C88-H$15, H$14)&lt;1), 1/H$14)*PI()*H$9/4*(H$7^2*MIN(H$10, $D87)+(H$7^2-H$8^2)*MIN(H$12, H$42))/IF($B$4, 25.4^3, 1), 0), 0)</f>
        <v>0</v>
      </c>
      <c r="K88" s="55" t="n">
        <f aca="false">IFERROR(IF(AND($C88&gt;=I$15, $C88&lt;=I$16), IF(I$14&gt;1, N(MOD($C88-I$15, I$14)&lt;1), 1/I$14)*PI()*I$9/4*(I$7^2*MIN(I$10, $D87)+(I$7^2-I$8^2)*MIN(I$12, I$42))/IF($B$4, 25.4^3, 1), 0), 0)</f>
        <v>0</v>
      </c>
      <c r="L88" s="55" t="n">
        <f aca="false">IFERROR(IF(AND($C88&gt;=J$15, $C88&lt;=J$16), IF(J$14&gt;1, N(MOD($C88-J$15, J$14)&lt;1), 1/J$14)*PI()*J$9/4*(J$7^2*MIN(J$10, $D87)+(J$7^2-J$8^2)*MIN(J$12, J$42))/IF($B$4, 25.4^3, 1), 0), 0)</f>
        <v>0</v>
      </c>
      <c r="M88" s="55" t="n">
        <f aca="false">IFERROR(IF(AND($C88&gt;=K$15, $C88&lt;=K$16), IF(K$14&gt;1, N(MOD($C88-K$15, K$14)&lt;1), 1/K$14)*PI()*K$9/4*(K$7^2*MIN(K$10, $D87)+(K$7^2-K$8^2)*MIN(K$12, K$42))/IF($B$4, 25.4^3, 1), 0), 0)</f>
        <v>0</v>
      </c>
    </row>
    <row r="89" customFormat="false" ht="15" hidden="false" customHeight="false" outlineLevel="0" collapsed="false">
      <c r="C89" s="55" t="n">
        <v>47</v>
      </c>
      <c r="D89" s="55" t="n">
        <f aca="false">MAX((D88*($N$10/IF($B$4, 16.387, 1))+E89-SUM(F89:M89))/($N$10/IF($B$4, 16.387, 1)), 0)</f>
        <v>72.2802944033669</v>
      </c>
      <c r="E89" s="55" t="n">
        <f aca="false">IF(D88&lt;$N$15, $D$40*D88^3+$E$40*D88^2+$F$40*D88+$G$40, 0) * 12^3/60*14.7</f>
        <v>153.737936085183</v>
      </c>
      <c r="F89" s="55" t="n">
        <f aca="false">IFERROR(IF(AND($C89&gt;=D$15, $C89&lt;=D$16), IF(D$14&gt;1, N(MOD($C89-D$15, D$14)&lt;1), 1/D$14)*PI()*D$9/4*(D$7^2*MIN(D$10, $D88)+(D$7^2-D$8^2)*MIN(D$12, D$42))/IF($B$4, 25.4^3, 1), 0), 0)</f>
        <v>0</v>
      </c>
      <c r="G89" s="55" t="n">
        <f aca="false">IFERROR(IF(AND($C89&gt;=E$15, $C89&lt;=E$16), IF(E$14&gt;1, N(MOD($C89-E$15, E$14)&lt;1), 1/E$14)*PI()*E$9/4*(E$7^2*MIN(E$10, $D88)+(E$7^2-E$8^2)*MIN(E$12, E$42))/IF($B$4, 25.4^3, 1), 0), 0)</f>
        <v>0</v>
      </c>
      <c r="H89" s="55" t="n">
        <f aca="false">IFERROR(IF(AND($C89&gt;=F$15, $C89&lt;=F$16), IF(F$14&gt;1, N(MOD($C89-F$15, F$14)&lt;1), 1/F$14)*PI()*F$9/4*(F$7^2*MIN(F$10, $D88)+(F$7^2-F$8^2)*MIN(F$12, F$42))/IF($B$4, 25.4^3, 1), 0), 0)</f>
        <v>0</v>
      </c>
      <c r="I89" s="55" t="n">
        <f aca="false">IFERROR(IF(AND($C89&gt;=G$15, $C89&lt;=G$16), IF(G$14&gt;1, N(MOD($C89-G$15, G$14)&lt;1), 1/G$14)*PI()*G$9/4*(G$7^2*MIN(G$10, $D88)+(G$7^2-G$8^2)*MIN(G$12, G$42))/IF($B$4, 25.4^3, 1), 0), 0)</f>
        <v>0</v>
      </c>
      <c r="J89" s="55" t="n">
        <f aca="false">IFERROR(IF(AND($C89&gt;=H$15, $C89&lt;=H$16), IF(H$14&gt;1, N(MOD($C89-H$15, H$14)&lt;1), 1/H$14)*PI()*H$9/4*(H$7^2*MIN(H$10, $D88)+(H$7^2-H$8^2)*MIN(H$12, H$42))/IF($B$4, 25.4^3, 1), 0), 0)</f>
        <v>0</v>
      </c>
      <c r="K89" s="55" t="n">
        <f aca="false">IFERROR(IF(AND($C89&gt;=I$15, $C89&lt;=I$16), IF(I$14&gt;1, N(MOD($C89-I$15, I$14)&lt;1), 1/I$14)*PI()*I$9/4*(I$7^2*MIN(I$10, $D88)+(I$7^2-I$8^2)*MIN(I$12, I$42))/IF($B$4, 25.4^3, 1), 0), 0)</f>
        <v>0</v>
      </c>
      <c r="L89" s="55" t="n">
        <f aca="false">IFERROR(IF(AND($C89&gt;=J$15, $C89&lt;=J$16), IF(J$14&gt;1, N(MOD($C89-J$15, J$14)&lt;1), 1/J$14)*PI()*J$9/4*(J$7^2*MIN(J$10, $D88)+(J$7^2-J$8^2)*MIN(J$12, J$42))/IF($B$4, 25.4^3, 1), 0), 0)</f>
        <v>0</v>
      </c>
      <c r="M89" s="55" t="n">
        <f aca="false">IFERROR(IF(AND($C89&gt;=K$15, $C89&lt;=K$16), IF(K$14&gt;1, N(MOD($C89-K$15, K$14)&lt;1), 1/K$14)*PI()*K$9/4*(K$7^2*MIN(K$10, $D88)+(K$7^2-K$8^2)*MIN(K$12, K$42))/IF($B$4, 25.4^3, 1), 0), 0)</f>
        <v>0</v>
      </c>
    </row>
    <row r="90" customFormat="false" ht="15" hidden="false" customHeight="false" outlineLevel="0" collapsed="false">
      <c r="C90" s="55" t="n">
        <v>48</v>
      </c>
      <c r="D90" s="55" t="n">
        <f aca="false">MAX((D89*($N$10/IF($B$4, 16.387, 1))+E90-SUM(F90:M90))/($N$10/IF($B$4, 16.387, 1)), 0)</f>
        <v>62.8055028472638</v>
      </c>
      <c r="E90" s="55" t="n">
        <f aca="false">IF(D89&lt;$N$15, $D$40*D89^3+$E$40*D89^2+$F$40*D89+$G$40, 0) * 12^3/60*14.7</f>
        <v>151.582768243387</v>
      </c>
      <c r="F90" s="55" t="n">
        <f aca="false">IFERROR(IF(AND($C90&gt;=D$15, $C90&lt;=D$16), IF(D$14&gt;1, N(MOD($C90-D$15, D$14)&lt;1), 1/D$14)*PI()*D$9/4*(D$7^2*MIN(D$10, $D89)+(D$7^2-D$8^2)*MIN(D$12, D$42))/IF($B$4, 25.4^3, 1), 0), 0)</f>
        <v>1146.43588163421</v>
      </c>
      <c r="G90" s="55" t="n">
        <f aca="false">IFERROR(IF(AND($C90&gt;=E$15, $C90&lt;=E$16), IF(E$14&gt;1, N(MOD($C90-E$15, E$14)&lt;1), 1/E$14)*PI()*E$9/4*(E$7^2*MIN(E$10, $D89)+(E$7^2-E$8^2)*MIN(E$12, E$42))/IF($B$4, 25.4^3, 1), 0), 0)</f>
        <v>0</v>
      </c>
      <c r="H90" s="55" t="n">
        <f aca="false">IFERROR(IF(AND($C90&gt;=F$15, $C90&lt;=F$16), IF(F$14&gt;1, N(MOD($C90-F$15, F$14)&lt;1), 1/F$14)*PI()*F$9/4*(F$7^2*MIN(F$10, $D89)+(F$7^2-F$8^2)*MIN(F$12, F$42))/IF($B$4, 25.4^3, 1), 0), 0)</f>
        <v>0</v>
      </c>
      <c r="I90" s="55" t="n">
        <f aca="false">IFERROR(IF(AND($C90&gt;=G$15, $C90&lt;=G$16), IF(G$14&gt;1, N(MOD($C90-G$15, G$14)&lt;1), 1/G$14)*PI()*G$9/4*(G$7^2*MIN(G$10, $D89)+(G$7^2-G$8^2)*MIN(G$12, G$42))/IF($B$4, 25.4^3, 1), 0), 0)</f>
        <v>0</v>
      </c>
      <c r="J90" s="55" t="n">
        <f aca="false">IFERROR(IF(AND($C90&gt;=H$15, $C90&lt;=H$16), IF(H$14&gt;1, N(MOD($C90-H$15, H$14)&lt;1), 1/H$14)*PI()*H$9/4*(H$7^2*MIN(H$10, $D89)+(H$7^2-H$8^2)*MIN(H$12, H$42))/IF($B$4, 25.4^3, 1), 0), 0)</f>
        <v>0</v>
      </c>
      <c r="K90" s="55" t="n">
        <f aca="false">IFERROR(IF(AND($C90&gt;=I$15, $C90&lt;=I$16), IF(I$14&gt;1, N(MOD($C90-I$15, I$14)&lt;1), 1/I$14)*PI()*I$9/4*(I$7^2*MIN(I$10, $D89)+(I$7^2-I$8^2)*MIN(I$12, I$42))/IF($B$4, 25.4^3, 1), 0), 0)</f>
        <v>0</v>
      </c>
      <c r="L90" s="55" t="n">
        <f aca="false">IFERROR(IF(AND($C90&gt;=J$15, $C90&lt;=J$16), IF(J$14&gt;1, N(MOD($C90-J$15, J$14)&lt;1), 1/J$14)*PI()*J$9/4*(J$7^2*MIN(J$10, $D89)+(J$7^2-J$8^2)*MIN(J$12, J$42))/IF($B$4, 25.4^3, 1), 0), 0)</f>
        <v>0</v>
      </c>
      <c r="M90" s="55" t="n">
        <f aca="false">IFERROR(IF(AND($C90&gt;=K$15, $C90&lt;=K$16), IF(K$14&gt;1, N(MOD($C90-K$15, K$14)&lt;1), 1/K$14)*PI()*K$9/4*(K$7^2*MIN(K$10, $D89)+(K$7^2-K$8^2)*MIN(K$12, K$42))/IF($B$4, 25.4^3, 1), 0), 0)</f>
        <v>0</v>
      </c>
    </row>
    <row r="91" customFormat="false" ht="15" hidden="false" customHeight="false" outlineLevel="0" collapsed="false">
      <c r="C91" s="55" t="n">
        <v>49</v>
      </c>
      <c r="D91" s="55" t="n">
        <f aca="false">MAX((D90*($N$10/IF($B$4, 16.387, 1))+E91-SUM(F91:M91))/($N$10/IF($B$4, 16.387, 1)), 0)</f>
        <v>64.3943400167234</v>
      </c>
      <c r="E91" s="55" t="n">
        <f aca="false">IF(D90&lt;$N$15, $D$40*D90^3+$E$40*D90^2+$F$40*D90+$G$40, 0) * 12^3/60*14.7</f>
        <v>166.827902793258</v>
      </c>
      <c r="F91" s="55" t="n">
        <f aca="false">IFERROR(IF(AND($C91&gt;=D$15, $C91&lt;=D$16), IF(D$14&gt;1, N(MOD($C91-D$15, D$14)&lt;1), 1/D$14)*PI()*D$9/4*(D$7^2*MIN(D$10, $D90)+(D$7^2-D$8^2)*MIN(D$12, D$42))/IF($B$4, 25.4^3, 1), 0), 0)</f>
        <v>0</v>
      </c>
      <c r="G91" s="55" t="n">
        <f aca="false">IFERROR(IF(AND($C91&gt;=E$15, $C91&lt;=E$16), IF(E$14&gt;1, N(MOD($C91-E$15, E$14)&lt;1), 1/E$14)*PI()*E$9/4*(E$7^2*MIN(E$10, $D90)+(E$7^2-E$8^2)*MIN(E$12, E$42))/IF($B$4, 25.4^3, 1), 0), 0)</f>
        <v>0</v>
      </c>
      <c r="H91" s="55" t="n">
        <f aca="false">IFERROR(IF(AND($C91&gt;=F$15, $C91&lt;=F$16), IF(F$14&gt;1, N(MOD($C91-F$15, F$14)&lt;1), 1/F$14)*PI()*F$9/4*(F$7^2*MIN(F$10, $D90)+(F$7^2-F$8^2)*MIN(F$12, F$42))/IF($B$4, 25.4^3, 1), 0), 0)</f>
        <v>0</v>
      </c>
      <c r="I91" s="55" t="n">
        <f aca="false">IFERROR(IF(AND($C91&gt;=G$15, $C91&lt;=G$16), IF(G$14&gt;1, N(MOD($C91-G$15, G$14)&lt;1), 1/G$14)*PI()*G$9/4*(G$7^2*MIN(G$10, $D90)+(G$7^2-G$8^2)*MIN(G$12, G$42))/IF($B$4, 25.4^3, 1), 0), 0)</f>
        <v>0</v>
      </c>
      <c r="J91" s="55" t="n">
        <f aca="false">IFERROR(IF(AND($C91&gt;=H$15, $C91&lt;=H$16), IF(H$14&gt;1, N(MOD($C91-H$15, H$14)&lt;1), 1/H$14)*PI()*H$9/4*(H$7^2*MIN(H$10, $D90)+(H$7^2-H$8^2)*MIN(H$12, H$42))/IF($B$4, 25.4^3, 1), 0), 0)</f>
        <v>0</v>
      </c>
      <c r="K91" s="55" t="n">
        <f aca="false">IFERROR(IF(AND($C91&gt;=I$15, $C91&lt;=I$16), IF(I$14&gt;1, N(MOD($C91-I$15, I$14)&lt;1), 1/I$14)*PI()*I$9/4*(I$7^2*MIN(I$10, $D90)+(I$7^2-I$8^2)*MIN(I$12, I$42))/IF($B$4, 25.4^3, 1), 0), 0)</f>
        <v>0</v>
      </c>
      <c r="L91" s="55" t="n">
        <f aca="false">IFERROR(IF(AND($C91&gt;=J$15, $C91&lt;=J$16), IF(J$14&gt;1, N(MOD($C91-J$15, J$14)&lt;1), 1/J$14)*PI()*J$9/4*(J$7^2*MIN(J$10, $D90)+(J$7^2-J$8^2)*MIN(J$12, J$42))/IF($B$4, 25.4^3, 1), 0), 0)</f>
        <v>0</v>
      </c>
      <c r="M91" s="55" t="n">
        <f aca="false">IFERROR(IF(AND($C91&gt;=K$15, $C91&lt;=K$16), IF(K$14&gt;1, N(MOD($C91-K$15, K$14)&lt;1), 1/K$14)*PI()*K$9/4*(K$7^2*MIN(K$10, $D90)+(K$7^2-K$8^2)*MIN(K$12, K$42))/IF($B$4, 25.4^3, 1), 0), 0)</f>
        <v>0</v>
      </c>
    </row>
    <row r="92" customFormat="false" ht="15" hidden="false" customHeight="false" outlineLevel="0" collapsed="false">
      <c r="C92" s="55" t="n">
        <v>50</v>
      </c>
      <c r="D92" s="55" t="n">
        <f aca="false">MAX((D91*($N$10/IF($B$4, 16.387, 1))+E92-SUM(F92:M92))/($N$10/IF($B$4, 16.387, 1)), 0)</f>
        <v>65.9569131951934</v>
      </c>
      <c r="E92" s="55" t="n">
        <f aca="false">IF(D91&lt;$N$15, $D$40*D91^3+$E$40*D91^2+$F$40*D91+$G$40, 0) * 12^3/60*14.7</f>
        <v>164.070183739352</v>
      </c>
      <c r="F92" s="55" t="n">
        <f aca="false">IFERROR(IF(AND($C92&gt;=D$15, $C92&lt;=D$16), IF(D$14&gt;1, N(MOD($C92-D$15, D$14)&lt;1), 1/D$14)*PI()*D$9/4*(D$7^2*MIN(D$10, $D91)+(D$7^2-D$8^2)*MIN(D$12, D$42))/IF($B$4, 25.4^3, 1), 0), 0)</f>
        <v>0</v>
      </c>
      <c r="G92" s="55" t="n">
        <f aca="false">IFERROR(IF(AND($C92&gt;=E$15, $C92&lt;=E$16), IF(E$14&gt;1, N(MOD($C92-E$15, E$14)&lt;1), 1/E$14)*PI()*E$9/4*(E$7^2*MIN(E$10, $D91)+(E$7^2-E$8^2)*MIN(E$12, E$42))/IF($B$4, 25.4^3, 1), 0), 0)</f>
        <v>0</v>
      </c>
      <c r="H92" s="55" t="n">
        <f aca="false">IFERROR(IF(AND($C92&gt;=F$15, $C92&lt;=F$16), IF(F$14&gt;1, N(MOD($C92-F$15, F$14)&lt;1), 1/F$14)*PI()*F$9/4*(F$7^2*MIN(F$10, $D91)+(F$7^2-F$8^2)*MIN(F$12, F$42))/IF($B$4, 25.4^3, 1), 0), 0)</f>
        <v>0</v>
      </c>
      <c r="I92" s="55" t="n">
        <f aca="false">IFERROR(IF(AND($C92&gt;=G$15, $C92&lt;=G$16), IF(G$14&gt;1, N(MOD($C92-G$15, G$14)&lt;1), 1/G$14)*PI()*G$9/4*(G$7^2*MIN(G$10, $D91)+(G$7^2-G$8^2)*MIN(G$12, G$42))/IF($B$4, 25.4^3, 1), 0), 0)</f>
        <v>0</v>
      </c>
      <c r="J92" s="55" t="n">
        <f aca="false">IFERROR(IF(AND($C92&gt;=H$15, $C92&lt;=H$16), IF(H$14&gt;1, N(MOD($C92-H$15, H$14)&lt;1), 1/H$14)*PI()*H$9/4*(H$7^2*MIN(H$10, $D91)+(H$7^2-H$8^2)*MIN(H$12, H$42))/IF($B$4, 25.4^3, 1), 0), 0)</f>
        <v>0</v>
      </c>
      <c r="K92" s="55" t="n">
        <f aca="false">IFERROR(IF(AND($C92&gt;=I$15, $C92&lt;=I$16), IF(I$14&gt;1, N(MOD($C92-I$15, I$14)&lt;1), 1/I$14)*PI()*I$9/4*(I$7^2*MIN(I$10, $D91)+(I$7^2-I$8^2)*MIN(I$12, I$42))/IF($B$4, 25.4^3, 1), 0), 0)</f>
        <v>0</v>
      </c>
      <c r="L92" s="55" t="n">
        <f aca="false">IFERROR(IF(AND($C92&gt;=J$15, $C92&lt;=J$16), IF(J$14&gt;1, N(MOD($C92-J$15, J$14)&lt;1), 1/J$14)*PI()*J$9/4*(J$7^2*MIN(J$10, $D91)+(J$7^2-J$8^2)*MIN(J$12, J$42))/IF($B$4, 25.4^3, 1), 0), 0)</f>
        <v>0</v>
      </c>
      <c r="M92" s="55" t="n">
        <f aca="false">IFERROR(IF(AND($C92&gt;=K$15, $C92&lt;=K$16), IF(K$14&gt;1, N(MOD($C92-K$15, K$14)&lt;1), 1/K$14)*PI()*K$9/4*(K$7^2*MIN(K$10, $D91)+(K$7^2-K$8^2)*MIN(K$12, K$42))/IF($B$4, 25.4^3, 1), 0), 0)</f>
        <v>0</v>
      </c>
    </row>
    <row r="93" customFormat="false" ht="15" hidden="false" customHeight="false" outlineLevel="0" collapsed="false">
      <c r="C93" s="55" t="n">
        <v>51</v>
      </c>
      <c r="D93" s="55" t="n">
        <f aca="false">MAX((D92*($N$10/IF($B$4, 16.387, 1))+E93-SUM(F93:M93))/($N$10/IF($B$4, 16.387, 1)), 0)</f>
        <v>67.4943612832894</v>
      </c>
      <c r="E93" s="55" t="n">
        <f aca="false">IF(D92&lt;$N$15, $D$40*D92^3+$E$40*D92^2+$F$40*D92+$G$40, 0) * 12^3/60*14.7</f>
        <v>161.432049250081</v>
      </c>
      <c r="F93" s="55" t="n">
        <f aca="false">IFERROR(IF(AND($C93&gt;=D$15, $C93&lt;=D$16), IF(D$14&gt;1, N(MOD($C93-D$15, D$14)&lt;1), 1/D$14)*PI()*D$9/4*(D$7^2*MIN(D$10, $D92)+(D$7^2-D$8^2)*MIN(D$12, D$42))/IF($B$4, 25.4^3, 1), 0), 0)</f>
        <v>0</v>
      </c>
      <c r="G93" s="55" t="n">
        <f aca="false">IFERROR(IF(AND($C93&gt;=E$15, $C93&lt;=E$16), IF(E$14&gt;1, N(MOD($C93-E$15, E$14)&lt;1), 1/E$14)*PI()*E$9/4*(E$7^2*MIN(E$10, $D92)+(E$7^2-E$8^2)*MIN(E$12, E$42))/IF($B$4, 25.4^3, 1), 0), 0)</f>
        <v>0</v>
      </c>
      <c r="H93" s="55" t="n">
        <f aca="false">IFERROR(IF(AND($C93&gt;=F$15, $C93&lt;=F$16), IF(F$14&gt;1, N(MOD($C93-F$15, F$14)&lt;1), 1/F$14)*PI()*F$9/4*(F$7^2*MIN(F$10, $D92)+(F$7^2-F$8^2)*MIN(F$12, F$42))/IF($B$4, 25.4^3, 1), 0), 0)</f>
        <v>0</v>
      </c>
      <c r="I93" s="55" t="n">
        <f aca="false">IFERROR(IF(AND($C93&gt;=G$15, $C93&lt;=G$16), IF(G$14&gt;1, N(MOD($C93-G$15, G$14)&lt;1), 1/G$14)*PI()*G$9/4*(G$7^2*MIN(G$10, $D92)+(G$7^2-G$8^2)*MIN(G$12, G$42))/IF($B$4, 25.4^3, 1), 0), 0)</f>
        <v>0</v>
      </c>
      <c r="J93" s="55" t="n">
        <f aca="false">IFERROR(IF(AND($C93&gt;=H$15, $C93&lt;=H$16), IF(H$14&gt;1, N(MOD($C93-H$15, H$14)&lt;1), 1/H$14)*PI()*H$9/4*(H$7^2*MIN(H$10, $D92)+(H$7^2-H$8^2)*MIN(H$12, H$42))/IF($B$4, 25.4^3, 1), 0), 0)</f>
        <v>0</v>
      </c>
      <c r="K93" s="55" t="n">
        <f aca="false">IFERROR(IF(AND($C93&gt;=I$15, $C93&lt;=I$16), IF(I$14&gt;1, N(MOD($C93-I$15, I$14)&lt;1), 1/I$14)*PI()*I$9/4*(I$7^2*MIN(I$10, $D92)+(I$7^2-I$8^2)*MIN(I$12, I$42))/IF($B$4, 25.4^3, 1), 0), 0)</f>
        <v>0</v>
      </c>
      <c r="L93" s="55" t="n">
        <f aca="false">IFERROR(IF(AND($C93&gt;=J$15, $C93&lt;=J$16), IF(J$14&gt;1, N(MOD($C93-J$15, J$14)&lt;1), 1/J$14)*PI()*J$9/4*(J$7^2*MIN(J$10, $D92)+(J$7^2-J$8^2)*MIN(J$12, J$42))/IF($B$4, 25.4^3, 1), 0), 0)</f>
        <v>0</v>
      </c>
      <c r="M93" s="55" t="n">
        <f aca="false">IFERROR(IF(AND($C93&gt;=K$15, $C93&lt;=K$16), IF(K$14&gt;1, N(MOD($C93-K$15, K$14)&lt;1), 1/K$14)*PI()*K$9/4*(K$7^2*MIN(K$10, $D92)+(K$7^2-K$8^2)*MIN(K$12, K$42))/IF($B$4, 25.4^3, 1), 0), 0)</f>
        <v>0</v>
      </c>
    </row>
    <row r="94" customFormat="false" ht="15" hidden="false" customHeight="false" outlineLevel="0" collapsed="false">
      <c r="C94" s="55" t="n">
        <v>52</v>
      </c>
      <c r="D94" s="55" t="n">
        <f aca="false">MAX((D93*($N$10/IF($B$4, 16.387, 1))+E94-SUM(F94:M94))/($N$10/IF($B$4, 16.387, 1)), 0)</f>
        <v>69.0078052100687</v>
      </c>
      <c r="E94" s="55" t="n">
        <f aca="false">IF(D93&lt;$N$15, $D$40*D93^3+$E$40*D93^2+$F$40*D93+$G$40, 0) * 12^3/60*14.7</f>
        <v>158.911612311826</v>
      </c>
      <c r="F94" s="55" t="n">
        <f aca="false">IFERROR(IF(AND($C94&gt;=D$15, $C94&lt;=D$16), IF(D$14&gt;1, N(MOD($C94-D$15, D$14)&lt;1), 1/D$14)*PI()*D$9/4*(D$7^2*MIN(D$10, $D93)+(D$7^2-D$8^2)*MIN(D$12, D$42))/IF($B$4, 25.4^3, 1), 0), 0)</f>
        <v>0</v>
      </c>
      <c r="G94" s="55" t="n">
        <f aca="false">IFERROR(IF(AND($C94&gt;=E$15, $C94&lt;=E$16), IF(E$14&gt;1, N(MOD($C94-E$15, E$14)&lt;1), 1/E$14)*PI()*E$9/4*(E$7^2*MIN(E$10, $D93)+(E$7^2-E$8^2)*MIN(E$12, E$42))/IF($B$4, 25.4^3, 1), 0), 0)</f>
        <v>0</v>
      </c>
      <c r="H94" s="55" t="n">
        <f aca="false">IFERROR(IF(AND($C94&gt;=F$15, $C94&lt;=F$16), IF(F$14&gt;1, N(MOD($C94-F$15, F$14)&lt;1), 1/F$14)*PI()*F$9/4*(F$7^2*MIN(F$10, $D93)+(F$7^2-F$8^2)*MIN(F$12, F$42))/IF($B$4, 25.4^3, 1), 0), 0)</f>
        <v>0</v>
      </c>
      <c r="I94" s="55" t="n">
        <f aca="false">IFERROR(IF(AND($C94&gt;=G$15, $C94&lt;=G$16), IF(G$14&gt;1, N(MOD($C94-G$15, G$14)&lt;1), 1/G$14)*PI()*G$9/4*(G$7^2*MIN(G$10, $D93)+(G$7^2-G$8^2)*MIN(G$12, G$42))/IF($B$4, 25.4^3, 1), 0), 0)</f>
        <v>0</v>
      </c>
      <c r="J94" s="55" t="n">
        <f aca="false">IFERROR(IF(AND($C94&gt;=H$15, $C94&lt;=H$16), IF(H$14&gt;1, N(MOD($C94-H$15, H$14)&lt;1), 1/H$14)*PI()*H$9/4*(H$7^2*MIN(H$10, $D93)+(H$7^2-H$8^2)*MIN(H$12, H$42))/IF($B$4, 25.4^3, 1), 0), 0)</f>
        <v>0</v>
      </c>
      <c r="K94" s="55" t="n">
        <f aca="false">IFERROR(IF(AND($C94&gt;=I$15, $C94&lt;=I$16), IF(I$14&gt;1, N(MOD($C94-I$15, I$14)&lt;1), 1/I$14)*PI()*I$9/4*(I$7^2*MIN(I$10, $D93)+(I$7^2-I$8^2)*MIN(I$12, I$42))/IF($B$4, 25.4^3, 1), 0), 0)</f>
        <v>0</v>
      </c>
      <c r="L94" s="55" t="n">
        <f aca="false">IFERROR(IF(AND($C94&gt;=J$15, $C94&lt;=J$16), IF(J$14&gt;1, N(MOD($C94-J$15, J$14)&lt;1), 1/J$14)*PI()*J$9/4*(J$7^2*MIN(J$10, $D93)+(J$7^2-J$8^2)*MIN(J$12, J$42))/IF($B$4, 25.4^3, 1), 0), 0)</f>
        <v>0</v>
      </c>
      <c r="M94" s="55" t="n">
        <f aca="false">IFERROR(IF(AND($C94&gt;=K$15, $C94&lt;=K$16), IF(K$14&gt;1, N(MOD($C94-K$15, K$14)&lt;1), 1/K$14)*PI()*K$9/4*(K$7^2*MIN(K$10, $D93)+(K$7^2-K$8^2)*MIN(K$12, K$42))/IF($B$4, 25.4^3, 1), 0), 0)</f>
        <v>0</v>
      </c>
    </row>
    <row r="95" customFormat="false" ht="15" hidden="false" customHeight="false" outlineLevel="0" collapsed="false">
      <c r="C95" s="55" t="n">
        <v>53</v>
      </c>
      <c r="D95" s="55" t="n">
        <f aca="false">MAX((D94*($N$10/IF($B$4, 16.387, 1))+E95-SUM(F95:M95))/($N$10/IF($B$4, 16.387, 1)), 0)</f>
        <v>59.5799105376235</v>
      </c>
      <c r="E95" s="55" t="n">
        <f aca="false">IF(D94&lt;$N$15, $D$40*D94^3+$E$40*D94^2+$F$40*D94+$G$40, 0) * 12^3/60*14.7</f>
        <v>156.50694102746</v>
      </c>
      <c r="F95" s="55" t="n">
        <f aca="false">IFERROR(IF(AND($C95&gt;=D$15, $C95&lt;=D$16), IF(D$14&gt;1, N(MOD($C95-D$15, D$14)&lt;1), 1/D$14)*PI()*D$9/4*(D$7^2*MIN(D$10, $D94)+(D$7^2-D$8^2)*MIN(D$12, D$42))/IF($B$4, 25.4^3, 1), 0), 0)</f>
        <v>1146.43588163421</v>
      </c>
      <c r="G95" s="55" t="n">
        <f aca="false">IFERROR(IF(AND($C95&gt;=E$15, $C95&lt;=E$16), IF(E$14&gt;1, N(MOD($C95-E$15, E$14)&lt;1), 1/E$14)*PI()*E$9/4*(E$7^2*MIN(E$10, $D94)+(E$7^2-E$8^2)*MIN(E$12, E$42))/IF($B$4, 25.4^3, 1), 0), 0)</f>
        <v>0</v>
      </c>
      <c r="H95" s="55" t="n">
        <f aca="false">IFERROR(IF(AND($C95&gt;=F$15, $C95&lt;=F$16), IF(F$14&gt;1, N(MOD($C95-F$15, F$14)&lt;1), 1/F$14)*PI()*F$9/4*(F$7^2*MIN(F$10, $D94)+(F$7^2-F$8^2)*MIN(F$12, F$42))/IF($B$4, 25.4^3, 1), 0), 0)</f>
        <v>0</v>
      </c>
      <c r="I95" s="55" t="n">
        <f aca="false">IFERROR(IF(AND($C95&gt;=G$15, $C95&lt;=G$16), IF(G$14&gt;1, N(MOD($C95-G$15, G$14)&lt;1), 1/G$14)*PI()*G$9/4*(G$7^2*MIN(G$10, $D94)+(G$7^2-G$8^2)*MIN(G$12, G$42))/IF($B$4, 25.4^3, 1), 0), 0)</f>
        <v>0</v>
      </c>
      <c r="J95" s="55" t="n">
        <f aca="false">IFERROR(IF(AND($C95&gt;=H$15, $C95&lt;=H$16), IF(H$14&gt;1, N(MOD($C95-H$15, H$14)&lt;1), 1/H$14)*PI()*H$9/4*(H$7^2*MIN(H$10, $D94)+(H$7^2-H$8^2)*MIN(H$12, H$42))/IF($B$4, 25.4^3, 1), 0), 0)</f>
        <v>0</v>
      </c>
      <c r="K95" s="55" t="n">
        <f aca="false">IFERROR(IF(AND($C95&gt;=I$15, $C95&lt;=I$16), IF(I$14&gt;1, N(MOD($C95-I$15, I$14)&lt;1), 1/I$14)*PI()*I$9/4*(I$7^2*MIN(I$10, $D94)+(I$7^2-I$8^2)*MIN(I$12, I$42))/IF($B$4, 25.4^3, 1), 0), 0)</f>
        <v>0</v>
      </c>
      <c r="L95" s="55" t="n">
        <f aca="false">IFERROR(IF(AND($C95&gt;=J$15, $C95&lt;=J$16), IF(J$14&gt;1, N(MOD($C95-J$15, J$14)&lt;1), 1/J$14)*PI()*J$9/4*(J$7^2*MIN(J$10, $D94)+(J$7^2-J$8^2)*MIN(J$12, J$42))/IF($B$4, 25.4^3, 1), 0), 0)</f>
        <v>0</v>
      </c>
      <c r="M95" s="55" t="n">
        <f aca="false">IFERROR(IF(AND($C95&gt;=K$15, $C95&lt;=K$16), IF(K$14&gt;1, N(MOD($C95-K$15, K$14)&lt;1), 1/K$14)*PI()*K$9/4*(K$7^2*MIN(K$10, $D94)+(K$7^2-K$8^2)*MIN(K$12, K$42))/IF($B$4, 25.4^3, 1), 0), 0)</f>
        <v>0</v>
      </c>
    </row>
    <row r="96" customFormat="false" ht="15" hidden="false" customHeight="false" outlineLevel="0" collapsed="false">
      <c r="C96" s="55" t="n">
        <v>54</v>
      </c>
      <c r="D96" s="55" t="n">
        <f aca="false">MAX((D95*($N$10/IF($B$4, 16.387, 1))+E96-SUM(F96:M96))/($N$10/IF($B$4, 16.387, 1)), 0)</f>
        <v>61.22413596855</v>
      </c>
      <c r="E96" s="55" t="n">
        <f aca="false">IF(D95&lt;$N$15, $D$40*D95^3+$E$40*D95^2+$F$40*D95+$G$40, 0) * 12^3/60*14.7</f>
        <v>172.643670247281</v>
      </c>
      <c r="F96" s="55" t="n">
        <f aca="false">IFERROR(IF(AND($C96&gt;=D$15, $C96&lt;=D$16), IF(D$14&gt;1, N(MOD($C96-D$15, D$14)&lt;1), 1/D$14)*PI()*D$9/4*(D$7^2*MIN(D$10, $D95)+(D$7^2-D$8^2)*MIN(D$12, D$42))/IF($B$4, 25.4^3, 1), 0), 0)</f>
        <v>0</v>
      </c>
      <c r="G96" s="55" t="n">
        <f aca="false">IFERROR(IF(AND($C96&gt;=E$15, $C96&lt;=E$16), IF(E$14&gt;1, N(MOD($C96-E$15, E$14)&lt;1), 1/E$14)*PI()*E$9/4*(E$7^2*MIN(E$10, $D95)+(E$7^2-E$8^2)*MIN(E$12, E$42))/IF($B$4, 25.4^3, 1), 0), 0)</f>
        <v>0</v>
      </c>
      <c r="H96" s="55" t="n">
        <f aca="false">IFERROR(IF(AND($C96&gt;=F$15, $C96&lt;=F$16), IF(F$14&gt;1, N(MOD($C96-F$15, F$14)&lt;1), 1/F$14)*PI()*F$9/4*(F$7^2*MIN(F$10, $D95)+(F$7^2-F$8^2)*MIN(F$12, F$42))/IF($B$4, 25.4^3, 1), 0), 0)</f>
        <v>0</v>
      </c>
      <c r="I96" s="55" t="n">
        <f aca="false">IFERROR(IF(AND($C96&gt;=G$15, $C96&lt;=G$16), IF(G$14&gt;1, N(MOD($C96-G$15, G$14)&lt;1), 1/G$14)*PI()*G$9/4*(G$7^2*MIN(G$10, $D95)+(G$7^2-G$8^2)*MIN(G$12, G$42))/IF($B$4, 25.4^3, 1), 0), 0)</f>
        <v>0</v>
      </c>
      <c r="J96" s="55" t="n">
        <f aca="false">IFERROR(IF(AND($C96&gt;=H$15, $C96&lt;=H$16), IF(H$14&gt;1, N(MOD($C96-H$15, H$14)&lt;1), 1/H$14)*PI()*H$9/4*(H$7^2*MIN(H$10, $D95)+(H$7^2-H$8^2)*MIN(H$12, H$42))/IF($B$4, 25.4^3, 1), 0), 0)</f>
        <v>0</v>
      </c>
      <c r="K96" s="55" t="n">
        <f aca="false">IFERROR(IF(AND($C96&gt;=I$15, $C96&lt;=I$16), IF(I$14&gt;1, N(MOD($C96-I$15, I$14)&lt;1), 1/I$14)*PI()*I$9/4*(I$7^2*MIN(I$10, $D95)+(I$7^2-I$8^2)*MIN(I$12, I$42))/IF($B$4, 25.4^3, 1), 0), 0)</f>
        <v>0</v>
      </c>
      <c r="L96" s="55" t="n">
        <f aca="false">IFERROR(IF(AND($C96&gt;=J$15, $C96&lt;=J$16), IF(J$14&gt;1, N(MOD($C96-J$15, J$14)&lt;1), 1/J$14)*PI()*J$9/4*(J$7^2*MIN(J$10, $D95)+(J$7^2-J$8^2)*MIN(J$12, J$42))/IF($B$4, 25.4^3, 1), 0), 0)</f>
        <v>0</v>
      </c>
      <c r="M96" s="55" t="n">
        <f aca="false">IFERROR(IF(AND($C96&gt;=K$15, $C96&lt;=K$16), IF(K$14&gt;1, N(MOD($C96-K$15, K$14)&lt;1), 1/K$14)*PI()*K$9/4*(K$7^2*MIN(K$10, $D95)+(K$7^2-K$8^2)*MIN(K$12, K$42))/IF($B$4, 25.4^3, 1), 0), 0)</f>
        <v>0</v>
      </c>
    </row>
    <row r="97" customFormat="false" ht="15" hidden="false" customHeight="false" outlineLevel="0" collapsed="false">
      <c r="C97" s="55" t="n">
        <v>55</v>
      </c>
      <c r="D97" s="55" t="n">
        <f aca="false">MAX((D96*($N$10/IF($B$4, 16.387, 1))+E97-SUM(F97:M97))/($N$10/IF($B$4, 16.387, 1)), 0)</f>
        <v>62.8397941459147</v>
      </c>
      <c r="E97" s="55" t="n">
        <f aca="false">IF(D96&lt;$N$15, $D$40*D96^3+$E$40*D96^2+$F$40*D96+$G$40, 0) * 12^3/60*14.7</f>
        <v>169.644108623301</v>
      </c>
      <c r="F97" s="55" t="n">
        <f aca="false">IFERROR(IF(AND($C97&gt;=D$15, $C97&lt;=D$16), IF(D$14&gt;1, N(MOD($C97-D$15, D$14)&lt;1), 1/D$14)*PI()*D$9/4*(D$7^2*MIN(D$10, $D96)+(D$7^2-D$8^2)*MIN(D$12, D$42))/IF($B$4, 25.4^3, 1), 0), 0)</f>
        <v>0</v>
      </c>
      <c r="G97" s="55" t="n">
        <f aca="false">IFERROR(IF(AND($C97&gt;=E$15, $C97&lt;=E$16), IF(E$14&gt;1, N(MOD($C97-E$15, E$14)&lt;1), 1/E$14)*PI()*E$9/4*(E$7^2*MIN(E$10, $D96)+(E$7^2-E$8^2)*MIN(E$12, E$42))/IF($B$4, 25.4^3, 1), 0), 0)</f>
        <v>0</v>
      </c>
      <c r="H97" s="55" t="n">
        <f aca="false">IFERROR(IF(AND($C97&gt;=F$15, $C97&lt;=F$16), IF(F$14&gt;1, N(MOD($C97-F$15, F$14)&lt;1), 1/F$14)*PI()*F$9/4*(F$7^2*MIN(F$10, $D96)+(F$7^2-F$8^2)*MIN(F$12, F$42))/IF($B$4, 25.4^3, 1), 0), 0)</f>
        <v>0</v>
      </c>
      <c r="I97" s="55" t="n">
        <f aca="false">IFERROR(IF(AND($C97&gt;=G$15, $C97&lt;=G$16), IF(G$14&gt;1, N(MOD($C97-G$15, G$14)&lt;1), 1/G$14)*PI()*G$9/4*(G$7^2*MIN(G$10, $D96)+(G$7^2-G$8^2)*MIN(G$12, G$42))/IF($B$4, 25.4^3, 1), 0), 0)</f>
        <v>0</v>
      </c>
      <c r="J97" s="55" t="n">
        <f aca="false">IFERROR(IF(AND($C97&gt;=H$15, $C97&lt;=H$16), IF(H$14&gt;1, N(MOD($C97-H$15, H$14)&lt;1), 1/H$14)*PI()*H$9/4*(H$7^2*MIN(H$10, $D96)+(H$7^2-H$8^2)*MIN(H$12, H$42))/IF($B$4, 25.4^3, 1), 0), 0)</f>
        <v>0</v>
      </c>
      <c r="K97" s="55" t="n">
        <f aca="false">IFERROR(IF(AND($C97&gt;=I$15, $C97&lt;=I$16), IF(I$14&gt;1, N(MOD($C97-I$15, I$14)&lt;1), 1/I$14)*PI()*I$9/4*(I$7^2*MIN(I$10, $D96)+(I$7^2-I$8^2)*MIN(I$12, I$42))/IF($B$4, 25.4^3, 1), 0), 0)</f>
        <v>0</v>
      </c>
      <c r="L97" s="55" t="n">
        <f aca="false">IFERROR(IF(AND($C97&gt;=J$15, $C97&lt;=J$16), IF(J$14&gt;1, N(MOD($C97-J$15, J$14)&lt;1), 1/J$14)*PI()*J$9/4*(J$7^2*MIN(J$10, $D96)+(J$7^2-J$8^2)*MIN(J$12, J$42))/IF($B$4, 25.4^3, 1), 0), 0)</f>
        <v>0</v>
      </c>
      <c r="M97" s="55" t="n">
        <f aca="false">IFERROR(IF(AND($C97&gt;=K$15, $C97&lt;=K$16), IF(K$14&gt;1, N(MOD($C97-K$15, K$14)&lt;1), 1/K$14)*PI()*K$9/4*(K$7^2*MIN(K$10, $D96)+(K$7^2-K$8^2)*MIN(K$12, K$42))/IF($B$4, 25.4^3, 1), 0), 0)</f>
        <v>0</v>
      </c>
    </row>
    <row r="98" customFormat="false" ht="15" hidden="false" customHeight="false" outlineLevel="0" collapsed="false">
      <c r="C98" s="55" t="n">
        <v>56</v>
      </c>
      <c r="D98" s="55" t="n">
        <f aca="false">MAX((D97*($N$10/IF($B$4, 16.387, 1))+E98-SUM(F98:M98))/($N$10/IF($B$4, 16.387, 1)), 0)</f>
        <v>64.4280570989404</v>
      </c>
      <c r="E98" s="55" t="n">
        <f aca="false">IF(D97&lt;$N$15, $D$40*D97^3+$E$40*D97^2+$F$40*D97+$G$40, 0) * 12^3/60*14.7</f>
        <v>166.7676100677</v>
      </c>
      <c r="F98" s="55" t="n">
        <f aca="false">IFERROR(IF(AND($C98&gt;=D$15, $C98&lt;=D$16), IF(D$14&gt;1, N(MOD($C98-D$15, D$14)&lt;1), 1/D$14)*PI()*D$9/4*(D$7^2*MIN(D$10, $D97)+(D$7^2-D$8^2)*MIN(D$12, D$42))/IF($B$4, 25.4^3, 1), 0), 0)</f>
        <v>0</v>
      </c>
      <c r="G98" s="55" t="n">
        <f aca="false">IFERROR(IF(AND($C98&gt;=E$15, $C98&lt;=E$16), IF(E$14&gt;1, N(MOD($C98-E$15, E$14)&lt;1), 1/E$14)*PI()*E$9/4*(E$7^2*MIN(E$10, $D97)+(E$7^2-E$8^2)*MIN(E$12, E$42))/IF($B$4, 25.4^3, 1), 0), 0)</f>
        <v>0</v>
      </c>
      <c r="H98" s="55" t="n">
        <f aca="false">IFERROR(IF(AND($C98&gt;=F$15, $C98&lt;=F$16), IF(F$14&gt;1, N(MOD($C98-F$15, F$14)&lt;1), 1/F$14)*PI()*F$9/4*(F$7^2*MIN(F$10, $D97)+(F$7^2-F$8^2)*MIN(F$12, F$42))/IF($B$4, 25.4^3, 1), 0), 0)</f>
        <v>0</v>
      </c>
      <c r="I98" s="55" t="n">
        <f aca="false">IFERROR(IF(AND($C98&gt;=G$15, $C98&lt;=G$16), IF(G$14&gt;1, N(MOD($C98-G$15, G$14)&lt;1), 1/G$14)*PI()*G$9/4*(G$7^2*MIN(G$10, $D97)+(G$7^2-G$8^2)*MIN(G$12, G$42))/IF($B$4, 25.4^3, 1), 0), 0)</f>
        <v>0</v>
      </c>
      <c r="J98" s="55" t="n">
        <f aca="false">IFERROR(IF(AND($C98&gt;=H$15, $C98&lt;=H$16), IF(H$14&gt;1, N(MOD($C98-H$15, H$14)&lt;1), 1/H$14)*PI()*H$9/4*(H$7^2*MIN(H$10, $D97)+(H$7^2-H$8^2)*MIN(H$12, H$42))/IF($B$4, 25.4^3, 1), 0), 0)</f>
        <v>0</v>
      </c>
      <c r="K98" s="55" t="n">
        <f aca="false">IFERROR(IF(AND($C98&gt;=I$15, $C98&lt;=I$16), IF(I$14&gt;1, N(MOD($C98-I$15, I$14)&lt;1), 1/I$14)*PI()*I$9/4*(I$7^2*MIN(I$10, $D97)+(I$7^2-I$8^2)*MIN(I$12, I$42))/IF($B$4, 25.4^3, 1), 0), 0)</f>
        <v>0</v>
      </c>
      <c r="L98" s="55" t="n">
        <f aca="false">IFERROR(IF(AND($C98&gt;=J$15, $C98&lt;=J$16), IF(J$14&gt;1, N(MOD($C98-J$15, J$14)&lt;1), 1/J$14)*PI()*J$9/4*(J$7^2*MIN(J$10, $D97)+(J$7^2-J$8^2)*MIN(J$12, J$42))/IF($B$4, 25.4^3, 1), 0), 0)</f>
        <v>0</v>
      </c>
      <c r="M98" s="55" t="n">
        <f aca="false">IFERROR(IF(AND($C98&gt;=K$15, $C98&lt;=K$16), IF(K$14&gt;1, N(MOD($C98-K$15, K$14)&lt;1), 1/K$14)*PI()*K$9/4*(K$7^2*MIN(K$10, $D97)+(K$7^2-K$8^2)*MIN(K$12, K$42))/IF($B$4, 25.4^3, 1), 0), 0)</f>
        <v>0</v>
      </c>
    </row>
    <row r="99" customFormat="false" ht="15" hidden="false" customHeight="false" outlineLevel="0" collapsed="false">
      <c r="C99" s="55" t="n">
        <v>57</v>
      </c>
      <c r="D99" s="55" t="n">
        <f aca="false">MAX((D98*($N$10/IF($B$4, 16.387, 1))+E99-SUM(F99:M99))/($N$10/IF($B$4, 16.387, 1)), 0)</f>
        <v>65.9900806223925</v>
      </c>
      <c r="E99" s="55" t="n">
        <f aca="false">IF(D98&lt;$N$15, $D$40*D98^3+$E$40*D98^2+$F$40*D98+$G$40, 0) * 12^3/60*14.7</f>
        <v>164.012469962466</v>
      </c>
      <c r="F99" s="55" t="n">
        <f aca="false">IFERROR(IF(AND($C99&gt;=D$15, $C99&lt;=D$16), IF(D$14&gt;1, N(MOD($C99-D$15, D$14)&lt;1), 1/D$14)*PI()*D$9/4*(D$7^2*MIN(D$10, $D98)+(D$7^2-D$8^2)*MIN(D$12, D$42))/IF($B$4, 25.4^3, 1), 0), 0)</f>
        <v>0</v>
      </c>
      <c r="G99" s="55" t="n">
        <f aca="false">IFERROR(IF(AND($C99&gt;=E$15, $C99&lt;=E$16), IF(E$14&gt;1, N(MOD($C99-E$15, E$14)&lt;1), 1/E$14)*PI()*E$9/4*(E$7^2*MIN(E$10, $D98)+(E$7^2-E$8^2)*MIN(E$12, E$42))/IF($B$4, 25.4^3, 1), 0), 0)</f>
        <v>0</v>
      </c>
      <c r="H99" s="55" t="n">
        <f aca="false">IFERROR(IF(AND($C99&gt;=F$15, $C99&lt;=F$16), IF(F$14&gt;1, N(MOD($C99-F$15, F$14)&lt;1), 1/F$14)*PI()*F$9/4*(F$7^2*MIN(F$10, $D98)+(F$7^2-F$8^2)*MIN(F$12, F$42))/IF($B$4, 25.4^3, 1), 0), 0)</f>
        <v>0</v>
      </c>
      <c r="I99" s="55" t="n">
        <f aca="false">IFERROR(IF(AND($C99&gt;=G$15, $C99&lt;=G$16), IF(G$14&gt;1, N(MOD($C99-G$15, G$14)&lt;1), 1/G$14)*PI()*G$9/4*(G$7^2*MIN(G$10, $D98)+(G$7^2-G$8^2)*MIN(G$12, G$42))/IF($B$4, 25.4^3, 1), 0), 0)</f>
        <v>0</v>
      </c>
      <c r="J99" s="55" t="n">
        <f aca="false">IFERROR(IF(AND($C99&gt;=H$15, $C99&lt;=H$16), IF(H$14&gt;1, N(MOD($C99-H$15, H$14)&lt;1), 1/H$14)*PI()*H$9/4*(H$7^2*MIN(H$10, $D98)+(H$7^2-H$8^2)*MIN(H$12, H$42))/IF($B$4, 25.4^3, 1), 0), 0)</f>
        <v>0</v>
      </c>
      <c r="K99" s="55" t="n">
        <f aca="false">IFERROR(IF(AND($C99&gt;=I$15, $C99&lt;=I$16), IF(I$14&gt;1, N(MOD($C99-I$15, I$14)&lt;1), 1/I$14)*PI()*I$9/4*(I$7^2*MIN(I$10, $D98)+(I$7^2-I$8^2)*MIN(I$12, I$42))/IF($B$4, 25.4^3, 1), 0), 0)</f>
        <v>0</v>
      </c>
      <c r="L99" s="55" t="n">
        <f aca="false">IFERROR(IF(AND($C99&gt;=J$15, $C99&lt;=J$16), IF(J$14&gt;1, N(MOD($C99-J$15, J$14)&lt;1), 1/J$14)*PI()*J$9/4*(J$7^2*MIN(J$10, $D98)+(J$7^2-J$8^2)*MIN(J$12, J$42))/IF($B$4, 25.4^3, 1), 0), 0)</f>
        <v>0</v>
      </c>
      <c r="M99" s="55" t="n">
        <f aca="false">IFERROR(IF(AND($C99&gt;=K$15, $C99&lt;=K$16), IF(K$14&gt;1, N(MOD($C99-K$15, K$14)&lt;1), 1/K$14)*PI()*K$9/4*(K$7^2*MIN(K$10, $D98)+(K$7^2-K$8^2)*MIN(K$12, K$42))/IF($B$4, 25.4^3, 1), 0), 0)</f>
        <v>0</v>
      </c>
    </row>
    <row r="100" customFormat="false" ht="15" hidden="false" customHeight="false" outlineLevel="0" collapsed="false">
      <c r="C100" s="55" t="n">
        <v>58</v>
      </c>
      <c r="D100" s="55" t="n">
        <f aca="false">MAX((D99*($N$10/IF($B$4, 16.387, 1))+E100-SUM(F100:M100))/($N$10/IF($B$4, 16.387, 1)), 0)</f>
        <v>56.6085662706889</v>
      </c>
      <c r="E100" s="55" t="n">
        <f aca="false">IF(D99&lt;$N$15, $D$40*D99^3+$E$40*D99^2+$F$40*D99+$G$40, 0) * 12^3/60*14.7</f>
        <v>161.376874705337</v>
      </c>
      <c r="F100" s="55" t="n">
        <f aca="false">IFERROR(IF(AND($C100&gt;=D$15, $C100&lt;=D$16), IF(D$14&gt;1, N(MOD($C100-D$15, D$14)&lt;1), 1/D$14)*PI()*D$9/4*(D$7^2*MIN(D$10, $D99)+(D$7^2-D$8^2)*MIN(D$12, D$42))/IF($B$4, 25.4^3, 1), 0), 0)</f>
        <v>1146.43588163421</v>
      </c>
      <c r="G100" s="55" t="n">
        <f aca="false">IFERROR(IF(AND($C100&gt;=E$15, $C100&lt;=E$16), IF(E$14&gt;1, N(MOD($C100-E$15, E$14)&lt;1), 1/E$14)*PI()*E$9/4*(E$7^2*MIN(E$10, $D99)+(E$7^2-E$8^2)*MIN(E$12, E$42))/IF($B$4, 25.4^3, 1), 0), 0)</f>
        <v>0</v>
      </c>
      <c r="H100" s="55" t="n">
        <f aca="false">IFERROR(IF(AND($C100&gt;=F$15, $C100&lt;=F$16), IF(F$14&gt;1, N(MOD($C100-F$15, F$14)&lt;1), 1/F$14)*PI()*F$9/4*(F$7^2*MIN(F$10, $D99)+(F$7^2-F$8^2)*MIN(F$12, F$42))/IF($B$4, 25.4^3, 1), 0), 0)</f>
        <v>0</v>
      </c>
      <c r="I100" s="55" t="n">
        <f aca="false">IFERROR(IF(AND($C100&gt;=G$15, $C100&lt;=G$16), IF(G$14&gt;1, N(MOD($C100-G$15, G$14)&lt;1), 1/G$14)*PI()*G$9/4*(G$7^2*MIN(G$10, $D99)+(G$7^2-G$8^2)*MIN(G$12, G$42))/IF($B$4, 25.4^3, 1), 0), 0)</f>
        <v>0</v>
      </c>
      <c r="J100" s="55" t="n">
        <f aca="false">IFERROR(IF(AND($C100&gt;=H$15, $C100&lt;=H$16), IF(H$14&gt;1, N(MOD($C100-H$15, H$14)&lt;1), 1/H$14)*PI()*H$9/4*(H$7^2*MIN(H$10, $D99)+(H$7^2-H$8^2)*MIN(H$12, H$42))/IF($B$4, 25.4^3, 1), 0), 0)</f>
        <v>0</v>
      </c>
      <c r="K100" s="55" t="n">
        <f aca="false">IFERROR(IF(AND($C100&gt;=I$15, $C100&lt;=I$16), IF(I$14&gt;1, N(MOD($C100-I$15, I$14)&lt;1), 1/I$14)*PI()*I$9/4*(I$7^2*MIN(I$10, $D99)+(I$7^2-I$8^2)*MIN(I$12, I$42))/IF($B$4, 25.4^3, 1), 0), 0)</f>
        <v>0</v>
      </c>
      <c r="L100" s="55" t="n">
        <f aca="false">IFERROR(IF(AND($C100&gt;=J$15, $C100&lt;=J$16), IF(J$14&gt;1, N(MOD($C100-J$15, J$14)&lt;1), 1/J$14)*PI()*J$9/4*(J$7^2*MIN(J$10, $D99)+(J$7^2-J$8^2)*MIN(J$12, J$42))/IF($B$4, 25.4^3, 1), 0), 0)</f>
        <v>0</v>
      </c>
      <c r="M100" s="55" t="n">
        <f aca="false">IFERROR(IF(AND($C100&gt;=K$15, $C100&lt;=K$16), IF(K$14&gt;1, N(MOD($C100-K$15, K$14)&lt;1), 1/K$14)*PI()*K$9/4*(K$7^2*MIN(K$10, $D99)+(K$7^2-K$8^2)*MIN(K$12, K$42))/IF($B$4, 25.4^3, 1), 0), 0)</f>
        <v>0</v>
      </c>
    </row>
    <row r="101" customFormat="false" ht="15" hidden="false" customHeight="false" outlineLevel="0" collapsed="false">
      <c r="C101" s="55" t="n">
        <v>59</v>
      </c>
      <c r="D101" s="55" t="n">
        <f aca="false">MAX((D100*($N$10/IF($B$4, 16.387, 1))+E101-SUM(F101:M101))/($N$10/IF($B$4, 16.387, 1)), 0)</f>
        <v>58.3060429790491</v>
      </c>
      <c r="E101" s="55" t="n">
        <f aca="false">IF(D100&lt;$N$15, $D$40*D100^3+$E$40*D100^2+$F$40*D100+$G$40, 0) * 12^3/60*14.7</f>
        <v>178.235054377823</v>
      </c>
      <c r="F101" s="55" t="n">
        <f aca="false">IFERROR(IF(AND($C101&gt;=D$15, $C101&lt;=D$16), IF(D$14&gt;1, N(MOD($C101-D$15, D$14)&lt;1), 1/D$14)*PI()*D$9/4*(D$7^2*MIN(D$10, $D100)+(D$7^2-D$8^2)*MIN(D$12, D$42))/IF($B$4, 25.4^3, 1), 0), 0)</f>
        <v>0</v>
      </c>
      <c r="G101" s="55" t="n">
        <f aca="false">IFERROR(IF(AND($C101&gt;=E$15, $C101&lt;=E$16), IF(E$14&gt;1, N(MOD($C101-E$15, E$14)&lt;1), 1/E$14)*PI()*E$9/4*(E$7^2*MIN(E$10, $D100)+(E$7^2-E$8^2)*MIN(E$12, E$42))/IF($B$4, 25.4^3, 1), 0), 0)</f>
        <v>0</v>
      </c>
      <c r="H101" s="55" t="n">
        <f aca="false">IFERROR(IF(AND($C101&gt;=F$15, $C101&lt;=F$16), IF(F$14&gt;1, N(MOD($C101-F$15, F$14)&lt;1), 1/F$14)*PI()*F$9/4*(F$7^2*MIN(F$10, $D100)+(F$7^2-F$8^2)*MIN(F$12, F$42))/IF($B$4, 25.4^3, 1), 0), 0)</f>
        <v>0</v>
      </c>
      <c r="I101" s="55" t="n">
        <f aca="false">IFERROR(IF(AND($C101&gt;=G$15, $C101&lt;=G$16), IF(G$14&gt;1, N(MOD($C101-G$15, G$14)&lt;1), 1/G$14)*PI()*G$9/4*(G$7^2*MIN(G$10, $D100)+(G$7^2-G$8^2)*MIN(G$12, G$42))/IF($B$4, 25.4^3, 1), 0), 0)</f>
        <v>0</v>
      </c>
      <c r="J101" s="55" t="n">
        <f aca="false">IFERROR(IF(AND($C101&gt;=H$15, $C101&lt;=H$16), IF(H$14&gt;1, N(MOD($C101-H$15, H$14)&lt;1), 1/H$14)*PI()*H$9/4*(H$7^2*MIN(H$10, $D100)+(H$7^2-H$8^2)*MIN(H$12, H$42))/IF($B$4, 25.4^3, 1), 0), 0)</f>
        <v>0</v>
      </c>
      <c r="K101" s="55" t="n">
        <f aca="false">IFERROR(IF(AND($C101&gt;=I$15, $C101&lt;=I$16), IF(I$14&gt;1, N(MOD($C101-I$15, I$14)&lt;1), 1/I$14)*PI()*I$9/4*(I$7^2*MIN(I$10, $D100)+(I$7^2-I$8^2)*MIN(I$12, I$42))/IF($B$4, 25.4^3, 1), 0), 0)</f>
        <v>0</v>
      </c>
      <c r="L101" s="55" t="n">
        <f aca="false">IFERROR(IF(AND($C101&gt;=J$15, $C101&lt;=J$16), IF(J$14&gt;1, N(MOD($C101-J$15, J$14)&lt;1), 1/J$14)*PI()*J$9/4*(J$7^2*MIN(J$10, $D100)+(J$7^2-J$8^2)*MIN(J$12, J$42))/IF($B$4, 25.4^3, 1), 0), 0)</f>
        <v>0</v>
      </c>
      <c r="M101" s="55" t="n">
        <f aca="false">IFERROR(IF(AND($C101&gt;=K$15, $C101&lt;=K$16), IF(K$14&gt;1, N(MOD($C101-K$15, K$14)&lt;1), 1/K$14)*PI()*K$9/4*(K$7^2*MIN(K$10, $D100)+(K$7^2-K$8^2)*MIN(K$12, K$42))/IF($B$4, 25.4^3, 1), 0), 0)</f>
        <v>0</v>
      </c>
    </row>
    <row r="102" customFormat="false" ht="15" hidden="false" customHeight="false" outlineLevel="0" collapsed="false">
      <c r="C102" s="55" t="n">
        <v>60</v>
      </c>
      <c r="D102" s="55" t="n">
        <f aca="false">MAX((D101*($N$10/IF($B$4, 16.387, 1))+E102-SUM(F102:M102))/($N$10/IF($B$4, 16.387, 1)), 0)</f>
        <v>59.9728515877402</v>
      </c>
      <c r="E102" s="55" t="n">
        <f aca="false">IF(D101&lt;$N$15, $D$40*D101^3+$E$40*D101^2+$F$40*D101+$G$40, 0) * 12^3/60*14.7</f>
        <v>175.014903912559</v>
      </c>
      <c r="F102" s="55" t="n">
        <f aca="false">IFERROR(IF(AND($C102&gt;=D$15, $C102&lt;=D$16), IF(D$14&gt;1, N(MOD($C102-D$15, D$14)&lt;1), 1/D$14)*PI()*D$9/4*(D$7^2*MIN(D$10, $D101)+(D$7^2-D$8^2)*MIN(D$12, D$42))/IF($B$4, 25.4^3, 1), 0), 0)</f>
        <v>0</v>
      </c>
      <c r="G102" s="55" t="n">
        <f aca="false">IFERROR(IF(AND($C102&gt;=E$15, $C102&lt;=E$16), IF(E$14&gt;1, N(MOD($C102-E$15, E$14)&lt;1), 1/E$14)*PI()*E$9/4*(E$7^2*MIN(E$10, $D101)+(E$7^2-E$8^2)*MIN(E$12, E$42))/IF($B$4, 25.4^3, 1), 0), 0)</f>
        <v>0</v>
      </c>
      <c r="H102" s="55" t="n">
        <f aca="false">IFERROR(IF(AND($C102&gt;=F$15, $C102&lt;=F$16), IF(F$14&gt;1, N(MOD($C102-F$15, F$14)&lt;1), 1/F$14)*PI()*F$9/4*(F$7^2*MIN(F$10, $D101)+(F$7^2-F$8^2)*MIN(F$12, F$42))/IF($B$4, 25.4^3, 1), 0), 0)</f>
        <v>0</v>
      </c>
      <c r="I102" s="55" t="n">
        <f aca="false">IFERROR(IF(AND($C102&gt;=G$15, $C102&lt;=G$16), IF(G$14&gt;1, N(MOD($C102-G$15, G$14)&lt;1), 1/G$14)*PI()*G$9/4*(G$7^2*MIN(G$10, $D101)+(G$7^2-G$8^2)*MIN(G$12, G$42))/IF($B$4, 25.4^3, 1), 0), 0)</f>
        <v>0</v>
      </c>
      <c r="J102" s="55" t="n">
        <f aca="false">IFERROR(IF(AND($C102&gt;=H$15, $C102&lt;=H$16), IF(H$14&gt;1, N(MOD($C102-H$15, H$14)&lt;1), 1/H$14)*PI()*H$9/4*(H$7^2*MIN(H$10, $D101)+(H$7^2-H$8^2)*MIN(H$12, H$42))/IF($B$4, 25.4^3, 1), 0), 0)</f>
        <v>0</v>
      </c>
      <c r="K102" s="55" t="n">
        <f aca="false">IFERROR(IF(AND($C102&gt;=I$15, $C102&lt;=I$16), IF(I$14&gt;1, N(MOD($C102-I$15, I$14)&lt;1), 1/I$14)*PI()*I$9/4*(I$7^2*MIN(I$10, $D101)+(I$7^2-I$8^2)*MIN(I$12, I$42))/IF($B$4, 25.4^3, 1), 0), 0)</f>
        <v>0</v>
      </c>
      <c r="L102" s="55" t="n">
        <f aca="false">IFERROR(IF(AND($C102&gt;=J$15, $C102&lt;=J$16), IF(J$14&gt;1, N(MOD($C102-J$15, J$14)&lt;1), 1/J$14)*PI()*J$9/4*(J$7^2*MIN(J$10, $D101)+(J$7^2-J$8^2)*MIN(J$12, J$42))/IF($B$4, 25.4^3, 1), 0), 0)</f>
        <v>0</v>
      </c>
      <c r="M102" s="55" t="n">
        <f aca="false">IFERROR(IF(AND($C102&gt;=K$15, $C102&lt;=K$16), IF(K$14&gt;1, N(MOD($C102-K$15, K$14)&lt;1), 1/K$14)*PI()*K$9/4*(K$7^2*MIN(K$10, $D101)+(K$7^2-K$8^2)*MIN(K$12, K$42))/IF($B$4, 25.4^3, 1), 0), 0)</f>
        <v>0</v>
      </c>
    </row>
    <row r="103" customFormat="false" ht="15" hidden="false" customHeight="false" outlineLevel="0" collapsed="false">
      <c r="C103" s="55" t="n">
        <v>61</v>
      </c>
      <c r="D103" s="55" t="n">
        <f aca="false">MAX((D102*($N$10/IF($B$4, 16.387, 1))+E103-SUM(F103:M103))/($N$10/IF($B$4, 16.387, 1)), 0)</f>
        <v>61.6101890641132</v>
      </c>
      <c r="E103" s="55" t="n">
        <f aca="false">IF(D102&lt;$N$15, $D$40*D102^3+$E$40*D102^2+$F$40*D102+$G$40, 0) * 12^3/60*14.7</f>
        <v>171.920435019173</v>
      </c>
      <c r="F103" s="55" t="n">
        <f aca="false">IFERROR(IF(AND($C103&gt;=D$15, $C103&lt;=D$16), IF(D$14&gt;1, N(MOD($C103-D$15, D$14)&lt;1), 1/D$14)*PI()*D$9/4*(D$7^2*MIN(D$10, $D102)+(D$7^2-D$8^2)*MIN(D$12, D$42))/IF($B$4, 25.4^3, 1), 0), 0)</f>
        <v>0</v>
      </c>
      <c r="G103" s="55" t="n">
        <f aca="false">IFERROR(IF(AND($C103&gt;=E$15, $C103&lt;=E$16), IF(E$14&gt;1, N(MOD($C103-E$15, E$14)&lt;1), 1/E$14)*PI()*E$9/4*(E$7^2*MIN(E$10, $D102)+(E$7^2-E$8^2)*MIN(E$12, E$42))/IF($B$4, 25.4^3, 1), 0), 0)</f>
        <v>0</v>
      </c>
      <c r="H103" s="55" t="n">
        <f aca="false">IFERROR(IF(AND($C103&gt;=F$15, $C103&lt;=F$16), IF(F$14&gt;1, N(MOD($C103-F$15, F$14)&lt;1), 1/F$14)*PI()*F$9/4*(F$7^2*MIN(F$10, $D102)+(F$7^2-F$8^2)*MIN(F$12, F$42))/IF($B$4, 25.4^3, 1), 0), 0)</f>
        <v>0</v>
      </c>
      <c r="I103" s="55" t="n">
        <f aca="false">IFERROR(IF(AND($C103&gt;=G$15, $C103&lt;=G$16), IF(G$14&gt;1, N(MOD($C103-G$15, G$14)&lt;1), 1/G$14)*PI()*G$9/4*(G$7^2*MIN(G$10, $D102)+(G$7^2-G$8^2)*MIN(G$12, G$42))/IF($B$4, 25.4^3, 1), 0), 0)</f>
        <v>0</v>
      </c>
      <c r="J103" s="55" t="n">
        <f aca="false">IFERROR(IF(AND($C103&gt;=H$15, $C103&lt;=H$16), IF(H$14&gt;1, N(MOD($C103-H$15, H$14)&lt;1), 1/H$14)*PI()*H$9/4*(H$7^2*MIN(H$10, $D102)+(H$7^2-H$8^2)*MIN(H$12, H$42))/IF($B$4, 25.4^3, 1), 0), 0)</f>
        <v>0</v>
      </c>
      <c r="K103" s="55" t="n">
        <f aca="false">IFERROR(IF(AND($C103&gt;=I$15, $C103&lt;=I$16), IF(I$14&gt;1, N(MOD($C103-I$15, I$14)&lt;1), 1/I$14)*PI()*I$9/4*(I$7^2*MIN(I$10, $D102)+(I$7^2-I$8^2)*MIN(I$12, I$42))/IF($B$4, 25.4^3, 1), 0), 0)</f>
        <v>0</v>
      </c>
      <c r="L103" s="55" t="n">
        <f aca="false">IFERROR(IF(AND($C103&gt;=J$15, $C103&lt;=J$16), IF(J$14&gt;1, N(MOD($C103-J$15, J$14)&lt;1), 1/J$14)*PI()*J$9/4*(J$7^2*MIN(J$10, $D102)+(J$7^2-J$8^2)*MIN(J$12, J$42))/IF($B$4, 25.4^3, 1), 0), 0)</f>
        <v>0</v>
      </c>
      <c r="M103" s="55" t="n">
        <f aca="false">IFERROR(IF(AND($C103&gt;=K$15, $C103&lt;=K$16), IF(K$14&gt;1, N(MOD($C103-K$15, K$14)&lt;1), 1/K$14)*PI()*K$9/4*(K$7^2*MIN(K$10, $D102)+(K$7^2-K$8^2)*MIN(K$12, K$42))/IF($B$4, 25.4^3, 1), 0), 0)</f>
        <v>0</v>
      </c>
    </row>
    <row r="104" customFormat="false" ht="15" hidden="false" customHeight="false" outlineLevel="0" collapsed="false">
      <c r="C104" s="55" t="n">
        <v>62</v>
      </c>
      <c r="D104" s="55" t="n">
        <f aca="false">MAX((D103*($N$10/IF($B$4, 16.387, 1))+E104-SUM(F104:M104))/($N$10/IF($B$4, 16.387, 1)), 0)</f>
        <v>63.2192388945138</v>
      </c>
      <c r="E104" s="55" t="n">
        <f aca="false">IF(D103&lt;$N$15, $D$40*D103^3+$E$40*D103^2+$F$40*D103+$G$40, 0) * 12^3/60*14.7</f>
        <v>168.950232192055</v>
      </c>
      <c r="F104" s="55" t="n">
        <f aca="false">IFERROR(IF(AND($C104&gt;=D$15, $C104&lt;=D$16), IF(D$14&gt;1, N(MOD($C104-D$15, D$14)&lt;1), 1/D$14)*PI()*D$9/4*(D$7^2*MIN(D$10, $D103)+(D$7^2-D$8^2)*MIN(D$12, D$42))/IF($B$4, 25.4^3, 1), 0), 0)</f>
        <v>0</v>
      </c>
      <c r="G104" s="55" t="n">
        <f aca="false">IFERROR(IF(AND($C104&gt;=E$15, $C104&lt;=E$16), IF(E$14&gt;1, N(MOD($C104-E$15, E$14)&lt;1), 1/E$14)*PI()*E$9/4*(E$7^2*MIN(E$10, $D103)+(E$7^2-E$8^2)*MIN(E$12, E$42))/IF($B$4, 25.4^3, 1), 0), 0)</f>
        <v>0</v>
      </c>
      <c r="H104" s="55" t="n">
        <f aca="false">IFERROR(IF(AND($C104&gt;=F$15, $C104&lt;=F$16), IF(F$14&gt;1, N(MOD($C104-F$15, F$14)&lt;1), 1/F$14)*PI()*F$9/4*(F$7^2*MIN(F$10, $D103)+(F$7^2-F$8^2)*MIN(F$12, F$42))/IF($B$4, 25.4^3, 1), 0), 0)</f>
        <v>0</v>
      </c>
      <c r="I104" s="55" t="n">
        <f aca="false">IFERROR(IF(AND($C104&gt;=G$15, $C104&lt;=G$16), IF(G$14&gt;1, N(MOD($C104-G$15, G$14)&lt;1), 1/G$14)*PI()*G$9/4*(G$7^2*MIN(G$10, $D103)+(G$7^2-G$8^2)*MIN(G$12, G$42))/IF($B$4, 25.4^3, 1), 0), 0)</f>
        <v>0</v>
      </c>
      <c r="J104" s="55" t="n">
        <f aca="false">IFERROR(IF(AND($C104&gt;=H$15, $C104&lt;=H$16), IF(H$14&gt;1, N(MOD($C104-H$15, H$14)&lt;1), 1/H$14)*PI()*H$9/4*(H$7^2*MIN(H$10, $D103)+(H$7^2-H$8^2)*MIN(H$12, H$42))/IF($B$4, 25.4^3, 1), 0), 0)</f>
        <v>0</v>
      </c>
      <c r="K104" s="55" t="n">
        <f aca="false">IFERROR(IF(AND($C104&gt;=I$15, $C104&lt;=I$16), IF(I$14&gt;1, N(MOD($C104-I$15, I$14)&lt;1), 1/I$14)*PI()*I$9/4*(I$7^2*MIN(I$10, $D103)+(I$7^2-I$8^2)*MIN(I$12, I$42))/IF($B$4, 25.4^3, 1), 0), 0)</f>
        <v>0</v>
      </c>
      <c r="L104" s="55" t="n">
        <f aca="false">IFERROR(IF(AND($C104&gt;=J$15, $C104&lt;=J$16), IF(J$14&gt;1, N(MOD($C104-J$15, J$14)&lt;1), 1/J$14)*PI()*J$9/4*(J$7^2*MIN(J$10, $D103)+(J$7^2-J$8^2)*MIN(J$12, J$42))/IF($B$4, 25.4^3, 1), 0), 0)</f>
        <v>0</v>
      </c>
      <c r="M104" s="55" t="n">
        <f aca="false">IFERROR(IF(AND($C104&gt;=K$15, $C104&lt;=K$16), IF(K$14&gt;1, N(MOD($C104-K$15, K$14)&lt;1), 1/K$14)*PI()*K$9/4*(K$7^2*MIN(K$10, $D103)+(K$7^2-K$8^2)*MIN(K$12, K$42))/IF($B$4, 25.4^3, 1), 0), 0)</f>
        <v>0</v>
      </c>
    </row>
    <row r="105" customFormat="false" ht="15" hidden="false" customHeight="false" outlineLevel="0" collapsed="false">
      <c r="C105" s="55" t="n">
        <v>63</v>
      </c>
      <c r="D105" s="55" t="n">
        <f aca="false">MAX((D104*($N$10/IF($B$4, 16.387, 1))+E105-SUM(F105:M105))/($N$10/IF($B$4, 16.387, 1)), 0)</f>
        <v>53.8827323994196</v>
      </c>
      <c r="E105" s="55" t="n">
        <f aca="false">IF(D104&lt;$N$15, $D$40*D104^3+$E$40*D104^2+$F$40*D104+$G$40, 0) * 12^3/60*14.7</f>
        <v>166.102699649321</v>
      </c>
      <c r="F105" s="55" t="n">
        <f aca="false">IFERROR(IF(AND($C105&gt;=D$15, $C105&lt;=D$16), IF(D$14&gt;1, N(MOD($C105-D$15, D$14)&lt;1), 1/D$14)*PI()*D$9/4*(D$7^2*MIN(D$10, $D104)+(D$7^2-D$8^2)*MIN(D$12, D$42))/IF($B$4, 25.4^3, 1), 0), 0)</f>
        <v>1146.43588163421</v>
      </c>
      <c r="G105" s="55" t="n">
        <f aca="false">IFERROR(IF(AND($C105&gt;=E$15, $C105&lt;=E$16), IF(E$14&gt;1, N(MOD($C105-E$15, E$14)&lt;1), 1/E$14)*PI()*E$9/4*(E$7^2*MIN(E$10, $D104)+(E$7^2-E$8^2)*MIN(E$12, E$42))/IF($B$4, 25.4^3, 1), 0), 0)</f>
        <v>0</v>
      </c>
      <c r="H105" s="55" t="n">
        <f aca="false">IFERROR(IF(AND($C105&gt;=F$15, $C105&lt;=F$16), IF(F$14&gt;1, N(MOD($C105-F$15, F$14)&lt;1), 1/F$14)*PI()*F$9/4*(F$7^2*MIN(F$10, $D104)+(F$7^2-F$8^2)*MIN(F$12, F$42))/IF($B$4, 25.4^3, 1), 0), 0)</f>
        <v>0</v>
      </c>
      <c r="I105" s="55" t="n">
        <f aca="false">IFERROR(IF(AND($C105&gt;=G$15, $C105&lt;=G$16), IF(G$14&gt;1, N(MOD($C105-G$15, G$14)&lt;1), 1/G$14)*PI()*G$9/4*(G$7^2*MIN(G$10, $D104)+(G$7^2-G$8^2)*MIN(G$12, G$42))/IF($B$4, 25.4^3, 1), 0), 0)</f>
        <v>0</v>
      </c>
      <c r="J105" s="55" t="n">
        <f aca="false">IFERROR(IF(AND($C105&gt;=H$15, $C105&lt;=H$16), IF(H$14&gt;1, N(MOD($C105-H$15, H$14)&lt;1), 1/H$14)*PI()*H$9/4*(H$7^2*MIN(H$10, $D104)+(H$7^2-H$8^2)*MIN(H$12, H$42))/IF($B$4, 25.4^3, 1), 0), 0)</f>
        <v>0</v>
      </c>
      <c r="K105" s="55" t="n">
        <f aca="false">IFERROR(IF(AND($C105&gt;=I$15, $C105&lt;=I$16), IF(I$14&gt;1, N(MOD($C105-I$15, I$14)&lt;1), 1/I$14)*PI()*I$9/4*(I$7^2*MIN(I$10, $D104)+(I$7^2-I$8^2)*MIN(I$12, I$42))/IF($B$4, 25.4^3, 1), 0), 0)</f>
        <v>0</v>
      </c>
      <c r="L105" s="55" t="n">
        <f aca="false">IFERROR(IF(AND($C105&gt;=J$15, $C105&lt;=J$16), IF(J$14&gt;1, N(MOD($C105-J$15, J$14)&lt;1), 1/J$14)*PI()*J$9/4*(J$7^2*MIN(J$10, $D104)+(J$7^2-J$8^2)*MIN(J$12, J$42))/IF($B$4, 25.4^3, 1), 0), 0)</f>
        <v>0</v>
      </c>
      <c r="M105" s="55" t="n">
        <f aca="false">IFERROR(IF(AND($C105&gt;=K$15, $C105&lt;=K$16), IF(K$14&gt;1, N(MOD($C105-K$15, K$14)&lt;1), 1/K$14)*PI()*K$9/4*(K$7^2*MIN(K$10, $D104)+(K$7^2-K$8^2)*MIN(K$12, K$42))/IF($B$4, 25.4^3, 1), 0), 0)</f>
        <v>0</v>
      </c>
    </row>
    <row r="106" customFormat="false" ht="15" hidden="false" customHeight="false" outlineLevel="0" collapsed="false">
      <c r="C106" s="55" t="n">
        <v>64</v>
      </c>
      <c r="D106" s="55" t="n">
        <f aca="false">MAX((D105*($N$10/IF($B$4, 16.387, 1))+E106-SUM(F106:M106))/($N$10/IF($B$4, 16.387, 1)), 0)</f>
        <v>55.6307242868457</v>
      </c>
      <c r="E106" s="55" t="n">
        <f aca="false">IF(D105&lt;$N$15, $D$40*D105^3+$E$40*D105^2+$F$40*D105+$G$40, 0) * 12^3/60*14.7</f>
        <v>183.539148179739</v>
      </c>
      <c r="F106" s="55" t="n">
        <f aca="false">IFERROR(IF(AND($C106&gt;=D$15, $C106&lt;=D$16), IF(D$14&gt;1, N(MOD($C106-D$15, D$14)&lt;1), 1/D$14)*PI()*D$9/4*(D$7^2*MIN(D$10, $D105)+(D$7^2-D$8^2)*MIN(D$12, D$42))/IF($B$4, 25.4^3, 1), 0), 0)</f>
        <v>0</v>
      </c>
      <c r="G106" s="55" t="n">
        <f aca="false">IFERROR(IF(AND($C106&gt;=E$15, $C106&lt;=E$16), IF(E$14&gt;1, N(MOD($C106-E$15, E$14)&lt;1), 1/E$14)*PI()*E$9/4*(E$7^2*MIN(E$10, $D105)+(E$7^2-E$8^2)*MIN(E$12, E$42))/IF($B$4, 25.4^3, 1), 0), 0)</f>
        <v>0</v>
      </c>
      <c r="H106" s="55" t="n">
        <f aca="false">IFERROR(IF(AND($C106&gt;=F$15, $C106&lt;=F$16), IF(F$14&gt;1, N(MOD($C106-F$15, F$14)&lt;1), 1/F$14)*PI()*F$9/4*(F$7^2*MIN(F$10, $D105)+(F$7^2-F$8^2)*MIN(F$12, F$42))/IF($B$4, 25.4^3, 1), 0), 0)</f>
        <v>0</v>
      </c>
      <c r="I106" s="55" t="n">
        <f aca="false">IFERROR(IF(AND($C106&gt;=G$15, $C106&lt;=G$16), IF(G$14&gt;1, N(MOD($C106-G$15, G$14)&lt;1), 1/G$14)*PI()*G$9/4*(G$7^2*MIN(G$10, $D105)+(G$7^2-G$8^2)*MIN(G$12, G$42))/IF($B$4, 25.4^3, 1), 0), 0)</f>
        <v>0</v>
      </c>
      <c r="J106" s="55" t="n">
        <f aca="false">IFERROR(IF(AND($C106&gt;=H$15, $C106&lt;=H$16), IF(H$14&gt;1, N(MOD($C106-H$15, H$14)&lt;1), 1/H$14)*PI()*H$9/4*(H$7^2*MIN(H$10, $D105)+(H$7^2-H$8^2)*MIN(H$12, H$42))/IF($B$4, 25.4^3, 1), 0), 0)</f>
        <v>0</v>
      </c>
      <c r="K106" s="55" t="n">
        <f aca="false">IFERROR(IF(AND($C106&gt;=I$15, $C106&lt;=I$16), IF(I$14&gt;1, N(MOD($C106-I$15, I$14)&lt;1), 1/I$14)*PI()*I$9/4*(I$7^2*MIN(I$10, $D105)+(I$7^2-I$8^2)*MIN(I$12, I$42))/IF($B$4, 25.4^3, 1), 0), 0)</f>
        <v>0</v>
      </c>
      <c r="L106" s="55" t="n">
        <f aca="false">IFERROR(IF(AND($C106&gt;=J$15, $C106&lt;=J$16), IF(J$14&gt;1, N(MOD($C106-J$15, J$14)&lt;1), 1/J$14)*PI()*J$9/4*(J$7^2*MIN(J$10, $D105)+(J$7^2-J$8^2)*MIN(J$12, J$42))/IF($B$4, 25.4^3, 1), 0), 0)</f>
        <v>0</v>
      </c>
      <c r="M106" s="55" t="n">
        <f aca="false">IFERROR(IF(AND($C106&gt;=K$15, $C106&lt;=K$16), IF(K$14&gt;1, N(MOD($C106-K$15, K$14)&lt;1), 1/K$14)*PI()*K$9/4*(K$7^2*MIN(K$10, $D105)+(K$7^2-K$8^2)*MIN(K$12, K$42))/IF($B$4, 25.4^3, 1), 0), 0)</f>
        <v>0</v>
      </c>
    </row>
    <row r="107" customFormat="false" ht="15" hidden="false" customHeight="false" outlineLevel="0" collapsed="false">
      <c r="C107" s="55" t="n">
        <v>65</v>
      </c>
      <c r="D107" s="55" t="n">
        <f aca="false">MAX((D106*($N$10/IF($B$4, 16.387, 1))+E107-SUM(F107:M107))/($N$10/IF($B$4, 16.387, 1)), 0)</f>
        <v>57.3461497605638</v>
      </c>
      <c r="E107" s="55" t="n">
        <f aca="false">IF(D106&lt;$N$15, $D$40*D106^3+$E$40*D106^2+$F$40*D106+$G$40, 0) * 12^3/60*14.7</f>
        <v>180.119674740408</v>
      </c>
      <c r="F107" s="55" t="n">
        <f aca="false">IFERROR(IF(AND($C107&gt;=D$15, $C107&lt;=D$16), IF(D$14&gt;1, N(MOD($C107-D$15, D$14)&lt;1), 1/D$14)*PI()*D$9/4*(D$7^2*MIN(D$10, $D106)+(D$7^2-D$8^2)*MIN(D$12, D$42))/IF($B$4, 25.4^3, 1), 0), 0)</f>
        <v>0</v>
      </c>
      <c r="G107" s="55" t="n">
        <f aca="false">IFERROR(IF(AND($C107&gt;=E$15, $C107&lt;=E$16), IF(E$14&gt;1, N(MOD($C107-E$15, E$14)&lt;1), 1/E$14)*PI()*E$9/4*(E$7^2*MIN(E$10, $D106)+(E$7^2-E$8^2)*MIN(E$12, E$42))/IF($B$4, 25.4^3, 1), 0), 0)</f>
        <v>0</v>
      </c>
      <c r="H107" s="55" t="n">
        <f aca="false">IFERROR(IF(AND($C107&gt;=F$15, $C107&lt;=F$16), IF(F$14&gt;1, N(MOD($C107-F$15, F$14)&lt;1), 1/F$14)*PI()*F$9/4*(F$7^2*MIN(F$10, $D106)+(F$7^2-F$8^2)*MIN(F$12, F$42))/IF($B$4, 25.4^3, 1), 0), 0)</f>
        <v>0</v>
      </c>
      <c r="I107" s="55" t="n">
        <f aca="false">IFERROR(IF(AND($C107&gt;=G$15, $C107&lt;=G$16), IF(G$14&gt;1, N(MOD($C107-G$15, G$14)&lt;1), 1/G$14)*PI()*G$9/4*(G$7^2*MIN(G$10, $D106)+(G$7^2-G$8^2)*MIN(G$12, G$42))/IF($B$4, 25.4^3, 1), 0), 0)</f>
        <v>0</v>
      </c>
      <c r="J107" s="55" t="n">
        <f aca="false">IFERROR(IF(AND($C107&gt;=H$15, $C107&lt;=H$16), IF(H$14&gt;1, N(MOD($C107-H$15, H$14)&lt;1), 1/H$14)*PI()*H$9/4*(H$7^2*MIN(H$10, $D106)+(H$7^2-H$8^2)*MIN(H$12, H$42))/IF($B$4, 25.4^3, 1), 0), 0)</f>
        <v>0</v>
      </c>
      <c r="K107" s="55" t="n">
        <f aca="false">IFERROR(IF(AND($C107&gt;=I$15, $C107&lt;=I$16), IF(I$14&gt;1, N(MOD($C107-I$15, I$14)&lt;1), 1/I$14)*PI()*I$9/4*(I$7^2*MIN(I$10, $D106)+(I$7^2-I$8^2)*MIN(I$12, I$42))/IF($B$4, 25.4^3, 1), 0), 0)</f>
        <v>0</v>
      </c>
      <c r="L107" s="55" t="n">
        <f aca="false">IFERROR(IF(AND($C107&gt;=J$15, $C107&lt;=J$16), IF(J$14&gt;1, N(MOD($C107-J$15, J$14)&lt;1), 1/J$14)*PI()*J$9/4*(J$7^2*MIN(J$10, $D106)+(J$7^2-J$8^2)*MIN(J$12, J$42))/IF($B$4, 25.4^3, 1), 0), 0)</f>
        <v>0</v>
      </c>
      <c r="M107" s="55" t="n">
        <f aca="false">IFERROR(IF(AND($C107&gt;=K$15, $C107&lt;=K$16), IF(K$14&gt;1, N(MOD($C107-K$15, K$14)&lt;1), 1/K$14)*PI()*K$9/4*(K$7^2*MIN(K$10, $D106)+(K$7^2-K$8^2)*MIN(K$12, K$42))/IF($B$4, 25.4^3, 1), 0), 0)</f>
        <v>0</v>
      </c>
    </row>
    <row r="108" customFormat="false" ht="15" hidden="false" customHeight="false" outlineLevel="0" collapsed="false">
      <c r="C108" s="55" t="n">
        <v>66</v>
      </c>
      <c r="D108" s="55" t="n">
        <f aca="false">MAX((D107*($N$10/IF($B$4, 16.387, 1))+E108-SUM(F108:M108))/($N$10/IF($B$4, 16.387, 1)), 0)</f>
        <v>59.0302223687911</v>
      </c>
      <c r="E108" s="55" t="n">
        <f aca="false">IF(D107&lt;$N$15, $D$40*D107^3+$E$40*D107^2+$F$40*D107+$G$40, 0) * 12^3/60*14.7</f>
        <v>176.827623863867</v>
      </c>
      <c r="F108" s="55" t="n">
        <f aca="false">IFERROR(IF(AND($C108&gt;=D$15, $C108&lt;=D$16), IF(D$14&gt;1, N(MOD($C108-D$15, D$14)&lt;1), 1/D$14)*PI()*D$9/4*(D$7^2*MIN(D$10, $D107)+(D$7^2-D$8^2)*MIN(D$12, D$42))/IF($B$4, 25.4^3, 1), 0), 0)</f>
        <v>0</v>
      </c>
      <c r="G108" s="55" t="n">
        <f aca="false">IFERROR(IF(AND($C108&gt;=E$15, $C108&lt;=E$16), IF(E$14&gt;1, N(MOD($C108-E$15, E$14)&lt;1), 1/E$14)*PI()*E$9/4*(E$7^2*MIN(E$10, $D107)+(E$7^2-E$8^2)*MIN(E$12, E$42))/IF($B$4, 25.4^3, 1), 0), 0)</f>
        <v>0</v>
      </c>
      <c r="H108" s="55" t="n">
        <f aca="false">IFERROR(IF(AND($C108&gt;=F$15, $C108&lt;=F$16), IF(F$14&gt;1, N(MOD($C108-F$15, F$14)&lt;1), 1/F$14)*PI()*F$9/4*(F$7^2*MIN(F$10, $D107)+(F$7^2-F$8^2)*MIN(F$12, F$42))/IF($B$4, 25.4^3, 1), 0), 0)</f>
        <v>0</v>
      </c>
      <c r="I108" s="55" t="n">
        <f aca="false">IFERROR(IF(AND($C108&gt;=G$15, $C108&lt;=G$16), IF(G$14&gt;1, N(MOD($C108-G$15, G$14)&lt;1), 1/G$14)*PI()*G$9/4*(G$7^2*MIN(G$10, $D107)+(G$7^2-G$8^2)*MIN(G$12, G$42))/IF($B$4, 25.4^3, 1), 0), 0)</f>
        <v>0</v>
      </c>
      <c r="J108" s="55" t="n">
        <f aca="false">IFERROR(IF(AND($C108&gt;=H$15, $C108&lt;=H$16), IF(H$14&gt;1, N(MOD($C108-H$15, H$14)&lt;1), 1/H$14)*PI()*H$9/4*(H$7^2*MIN(H$10, $D107)+(H$7^2-H$8^2)*MIN(H$12, H$42))/IF($B$4, 25.4^3, 1), 0), 0)</f>
        <v>0</v>
      </c>
      <c r="K108" s="55" t="n">
        <f aca="false">IFERROR(IF(AND($C108&gt;=I$15, $C108&lt;=I$16), IF(I$14&gt;1, N(MOD($C108-I$15, I$14)&lt;1), 1/I$14)*PI()*I$9/4*(I$7^2*MIN(I$10, $D107)+(I$7^2-I$8^2)*MIN(I$12, I$42))/IF($B$4, 25.4^3, 1), 0), 0)</f>
        <v>0</v>
      </c>
      <c r="L108" s="55" t="n">
        <f aca="false">IFERROR(IF(AND($C108&gt;=J$15, $C108&lt;=J$16), IF(J$14&gt;1, N(MOD($C108-J$15, J$14)&lt;1), 1/J$14)*PI()*J$9/4*(J$7^2*MIN(J$10, $D107)+(J$7^2-J$8^2)*MIN(J$12, J$42))/IF($B$4, 25.4^3, 1), 0), 0)</f>
        <v>0</v>
      </c>
      <c r="M108" s="55" t="n">
        <f aca="false">IFERROR(IF(AND($C108&gt;=K$15, $C108&lt;=K$16), IF(K$14&gt;1, N(MOD($C108-K$15, K$14)&lt;1), 1/K$14)*PI()*K$9/4*(K$7^2*MIN(K$10, $D107)+(K$7^2-K$8^2)*MIN(K$12, K$42))/IF($B$4, 25.4^3, 1), 0), 0)</f>
        <v>0</v>
      </c>
    </row>
    <row r="109" customFormat="false" ht="15" hidden="false" customHeight="false" outlineLevel="0" collapsed="false">
      <c r="C109" s="55" t="n">
        <v>67</v>
      </c>
      <c r="D109" s="55" t="n">
        <f aca="false">MAX((D108*($N$10/IF($B$4, 16.387, 1))+E109-SUM(F109:M109))/($N$10/IF($B$4, 16.387, 1)), 0)</f>
        <v>60.6841457988194</v>
      </c>
      <c r="E109" s="55" t="n">
        <f aca="false">IF(D108&lt;$N$15, $D$40*D108^3+$E$40*D108^2+$F$40*D108+$G$40, 0) * 12^3/60*14.7</f>
        <v>173.661960152963</v>
      </c>
      <c r="F109" s="55" t="n">
        <f aca="false">IFERROR(IF(AND($C109&gt;=D$15, $C109&lt;=D$16), IF(D$14&gt;1, N(MOD($C109-D$15, D$14)&lt;1), 1/D$14)*PI()*D$9/4*(D$7^2*MIN(D$10, $D108)+(D$7^2-D$8^2)*MIN(D$12, D$42))/IF($B$4, 25.4^3, 1), 0), 0)</f>
        <v>0</v>
      </c>
      <c r="G109" s="55" t="n">
        <f aca="false">IFERROR(IF(AND($C109&gt;=E$15, $C109&lt;=E$16), IF(E$14&gt;1, N(MOD($C109-E$15, E$14)&lt;1), 1/E$14)*PI()*E$9/4*(E$7^2*MIN(E$10, $D108)+(E$7^2-E$8^2)*MIN(E$12, E$42))/IF($B$4, 25.4^3, 1), 0), 0)</f>
        <v>0</v>
      </c>
      <c r="H109" s="55" t="n">
        <f aca="false">IFERROR(IF(AND($C109&gt;=F$15, $C109&lt;=F$16), IF(F$14&gt;1, N(MOD($C109-F$15, F$14)&lt;1), 1/F$14)*PI()*F$9/4*(F$7^2*MIN(F$10, $D108)+(F$7^2-F$8^2)*MIN(F$12, F$42))/IF($B$4, 25.4^3, 1), 0), 0)</f>
        <v>0</v>
      </c>
      <c r="I109" s="55" t="n">
        <f aca="false">IFERROR(IF(AND($C109&gt;=G$15, $C109&lt;=G$16), IF(G$14&gt;1, N(MOD($C109-G$15, G$14)&lt;1), 1/G$14)*PI()*G$9/4*(G$7^2*MIN(G$10, $D108)+(G$7^2-G$8^2)*MIN(G$12, G$42))/IF($B$4, 25.4^3, 1), 0), 0)</f>
        <v>0</v>
      </c>
      <c r="J109" s="55" t="n">
        <f aca="false">IFERROR(IF(AND($C109&gt;=H$15, $C109&lt;=H$16), IF(H$14&gt;1, N(MOD($C109-H$15, H$14)&lt;1), 1/H$14)*PI()*H$9/4*(H$7^2*MIN(H$10, $D108)+(H$7^2-H$8^2)*MIN(H$12, H$42))/IF($B$4, 25.4^3, 1), 0), 0)</f>
        <v>0</v>
      </c>
      <c r="K109" s="55" t="n">
        <f aca="false">IFERROR(IF(AND($C109&gt;=I$15, $C109&lt;=I$16), IF(I$14&gt;1, N(MOD($C109-I$15, I$14)&lt;1), 1/I$14)*PI()*I$9/4*(I$7^2*MIN(I$10, $D108)+(I$7^2-I$8^2)*MIN(I$12, I$42))/IF($B$4, 25.4^3, 1), 0), 0)</f>
        <v>0</v>
      </c>
      <c r="L109" s="55" t="n">
        <f aca="false">IFERROR(IF(AND($C109&gt;=J$15, $C109&lt;=J$16), IF(J$14&gt;1, N(MOD($C109-J$15, J$14)&lt;1), 1/J$14)*PI()*J$9/4*(J$7^2*MIN(J$10, $D108)+(J$7^2-J$8^2)*MIN(J$12, J$42))/IF($B$4, 25.4^3, 1), 0), 0)</f>
        <v>0</v>
      </c>
      <c r="M109" s="55" t="n">
        <f aca="false">IFERROR(IF(AND($C109&gt;=K$15, $C109&lt;=K$16), IF(K$14&gt;1, N(MOD($C109-K$15, K$14)&lt;1), 1/K$14)*PI()*K$9/4*(K$7^2*MIN(K$10, $D108)+(K$7^2-K$8^2)*MIN(K$12, K$42))/IF($B$4, 25.4^3, 1), 0), 0)</f>
        <v>0</v>
      </c>
    </row>
    <row r="110" customFormat="false" ht="15" hidden="false" customHeight="false" outlineLevel="0" collapsed="false">
      <c r="C110" s="55" t="n">
        <v>68</v>
      </c>
      <c r="D110" s="55" t="n">
        <f aca="false">MAX((D109*($N$10/IF($B$4, 16.387, 1))+E110-SUM(F110:M110))/($N$10/IF($B$4, 16.387, 1)), 0)</f>
        <v>51.3906744612534</v>
      </c>
      <c r="E110" s="55" t="n">
        <f aca="false">IF(D109&lt;$N$15, $D$40*D109^3+$E$40*D109^2+$F$40*D109+$G$40, 0) * 12^3/60*14.7</f>
        <v>170.621391189785</v>
      </c>
      <c r="F110" s="55" t="n">
        <f aca="false">IFERROR(IF(AND($C110&gt;=D$15, $C110&lt;=D$16), IF(D$14&gt;1, N(MOD($C110-D$15, D$14)&lt;1), 1/D$14)*PI()*D$9/4*(D$7^2*MIN(D$10, $D109)+(D$7^2-D$8^2)*MIN(D$12, D$42))/IF($B$4, 25.4^3, 1), 0), 0)</f>
        <v>1146.43588163421</v>
      </c>
      <c r="G110" s="55" t="n">
        <f aca="false">IFERROR(IF(AND($C110&gt;=E$15, $C110&lt;=E$16), IF(E$14&gt;1, N(MOD($C110-E$15, E$14)&lt;1), 1/E$14)*PI()*E$9/4*(E$7^2*MIN(E$10, $D109)+(E$7^2-E$8^2)*MIN(E$12, E$42))/IF($B$4, 25.4^3, 1), 0), 0)</f>
        <v>0</v>
      </c>
      <c r="H110" s="55" t="n">
        <f aca="false">IFERROR(IF(AND($C110&gt;=F$15, $C110&lt;=F$16), IF(F$14&gt;1, N(MOD($C110-F$15, F$14)&lt;1), 1/F$14)*PI()*F$9/4*(F$7^2*MIN(F$10, $D109)+(F$7^2-F$8^2)*MIN(F$12, F$42))/IF($B$4, 25.4^3, 1), 0), 0)</f>
        <v>0</v>
      </c>
      <c r="I110" s="55" t="n">
        <f aca="false">IFERROR(IF(AND($C110&gt;=G$15, $C110&lt;=G$16), IF(G$14&gt;1, N(MOD($C110-G$15, G$14)&lt;1), 1/G$14)*PI()*G$9/4*(G$7^2*MIN(G$10, $D109)+(G$7^2-G$8^2)*MIN(G$12, G$42))/IF($B$4, 25.4^3, 1), 0), 0)</f>
        <v>0</v>
      </c>
      <c r="J110" s="55" t="n">
        <f aca="false">IFERROR(IF(AND($C110&gt;=H$15, $C110&lt;=H$16), IF(H$14&gt;1, N(MOD($C110-H$15, H$14)&lt;1), 1/H$14)*PI()*H$9/4*(H$7^2*MIN(H$10, $D109)+(H$7^2-H$8^2)*MIN(H$12, H$42))/IF($B$4, 25.4^3, 1), 0), 0)</f>
        <v>0</v>
      </c>
      <c r="K110" s="55" t="n">
        <f aca="false">IFERROR(IF(AND($C110&gt;=I$15, $C110&lt;=I$16), IF(I$14&gt;1, N(MOD($C110-I$15, I$14)&lt;1), 1/I$14)*PI()*I$9/4*(I$7^2*MIN(I$10, $D109)+(I$7^2-I$8^2)*MIN(I$12, I$42))/IF($B$4, 25.4^3, 1), 0), 0)</f>
        <v>0</v>
      </c>
      <c r="L110" s="55" t="n">
        <f aca="false">IFERROR(IF(AND($C110&gt;=J$15, $C110&lt;=J$16), IF(J$14&gt;1, N(MOD($C110-J$15, J$14)&lt;1), 1/J$14)*PI()*J$9/4*(J$7^2*MIN(J$10, $D109)+(J$7^2-J$8^2)*MIN(J$12, J$42))/IF($B$4, 25.4^3, 1), 0), 0)</f>
        <v>0</v>
      </c>
      <c r="M110" s="55" t="n">
        <f aca="false">IFERROR(IF(AND($C110&gt;=K$15, $C110&lt;=K$16), IF(K$14&gt;1, N(MOD($C110-K$15, K$14)&lt;1), 1/K$14)*PI()*K$9/4*(K$7^2*MIN(K$10, $D109)+(K$7^2-K$8^2)*MIN(K$12, K$42))/IF($B$4, 25.4^3, 1), 0), 0)</f>
        <v>0</v>
      </c>
    </row>
    <row r="111" customFormat="false" ht="15" hidden="false" customHeight="false" outlineLevel="0" collapsed="false">
      <c r="C111" s="55" t="n">
        <v>69</v>
      </c>
      <c r="D111" s="55" t="n">
        <f aca="false">MAX((D110*($N$10/IF($B$4, 16.387, 1))+E111-SUM(F111:M111))/($N$10/IF($B$4, 16.387, 1)), 0)</f>
        <v>53.1860764216939</v>
      </c>
      <c r="E111" s="55" t="n">
        <f aca="false">IF(D110&lt;$N$15, $D$40*D110^3+$E$40*D110^2+$F$40*D110+$G$40, 0) * 12^3/60*14.7</f>
        <v>188.51720584625</v>
      </c>
      <c r="F111" s="55" t="n">
        <f aca="false">IFERROR(IF(AND($C111&gt;=D$15, $C111&lt;=D$16), IF(D$14&gt;1, N(MOD($C111-D$15, D$14)&lt;1), 1/D$14)*PI()*D$9/4*(D$7^2*MIN(D$10, $D110)+(D$7^2-D$8^2)*MIN(D$12, D$42))/IF($B$4, 25.4^3, 1), 0), 0)</f>
        <v>0</v>
      </c>
      <c r="G111" s="55" t="n">
        <f aca="false">IFERROR(IF(AND($C111&gt;=E$15, $C111&lt;=E$16), IF(E$14&gt;1, N(MOD($C111-E$15, E$14)&lt;1), 1/E$14)*PI()*E$9/4*(E$7^2*MIN(E$10, $D110)+(E$7^2-E$8^2)*MIN(E$12, E$42))/IF($B$4, 25.4^3, 1), 0), 0)</f>
        <v>0</v>
      </c>
      <c r="H111" s="55" t="n">
        <f aca="false">IFERROR(IF(AND($C111&gt;=F$15, $C111&lt;=F$16), IF(F$14&gt;1, N(MOD($C111-F$15, F$14)&lt;1), 1/F$14)*PI()*F$9/4*(F$7^2*MIN(F$10, $D110)+(F$7^2-F$8^2)*MIN(F$12, F$42))/IF($B$4, 25.4^3, 1), 0), 0)</f>
        <v>0</v>
      </c>
      <c r="I111" s="55" t="n">
        <f aca="false">IFERROR(IF(AND($C111&gt;=G$15, $C111&lt;=G$16), IF(G$14&gt;1, N(MOD($C111-G$15, G$14)&lt;1), 1/G$14)*PI()*G$9/4*(G$7^2*MIN(G$10, $D110)+(G$7^2-G$8^2)*MIN(G$12, G$42))/IF($B$4, 25.4^3, 1), 0), 0)</f>
        <v>0</v>
      </c>
      <c r="J111" s="55" t="n">
        <f aca="false">IFERROR(IF(AND($C111&gt;=H$15, $C111&lt;=H$16), IF(H$14&gt;1, N(MOD($C111-H$15, H$14)&lt;1), 1/H$14)*PI()*H$9/4*(H$7^2*MIN(H$10, $D110)+(H$7^2-H$8^2)*MIN(H$12, H$42))/IF($B$4, 25.4^3, 1), 0), 0)</f>
        <v>0</v>
      </c>
      <c r="K111" s="55" t="n">
        <f aca="false">IFERROR(IF(AND($C111&gt;=I$15, $C111&lt;=I$16), IF(I$14&gt;1, N(MOD($C111-I$15, I$14)&lt;1), 1/I$14)*PI()*I$9/4*(I$7^2*MIN(I$10, $D110)+(I$7^2-I$8^2)*MIN(I$12, I$42))/IF($B$4, 25.4^3, 1), 0), 0)</f>
        <v>0</v>
      </c>
      <c r="L111" s="55" t="n">
        <f aca="false">IFERROR(IF(AND($C111&gt;=J$15, $C111&lt;=J$16), IF(J$14&gt;1, N(MOD($C111-J$15, J$14)&lt;1), 1/J$14)*PI()*J$9/4*(J$7^2*MIN(J$10, $D110)+(J$7^2-J$8^2)*MIN(J$12, J$42))/IF($B$4, 25.4^3, 1), 0), 0)</f>
        <v>0</v>
      </c>
      <c r="M111" s="55" t="n">
        <f aca="false">IFERROR(IF(AND($C111&gt;=K$15, $C111&lt;=K$16), IF(K$14&gt;1, N(MOD($C111-K$15, K$14)&lt;1), 1/K$14)*PI()*K$9/4*(K$7^2*MIN(K$10, $D110)+(K$7^2-K$8^2)*MIN(K$12, K$42))/IF($B$4, 25.4^3, 1), 0), 0)</f>
        <v>0</v>
      </c>
    </row>
    <row r="112" customFormat="false" ht="15" hidden="false" customHeight="false" outlineLevel="0" collapsed="false">
      <c r="C112" s="55" t="n">
        <v>70</v>
      </c>
      <c r="D112" s="55" t="n">
        <f aca="false">MAX((D111*($N$10/IF($B$4, 16.387, 1))+E112-SUM(F112:M112))/($N$10/IF($B$4, 16.387, 1)), 0)</f>
        <v>54.9472104419328</v>
      </c>
      <c r="E112" s="55" t="n">
        <f aca="false">IF(D111&lt;$N$15, $D$40*D111^3+$E$40*D111^2+$F$40*D111+$G$40, 0) * 12^3/60*14.7</f>
        <v>184.91907212509</v>
      </c>
      <c r="F112" s="55" t="n">
        <f aca="false">IFERROR(IF(AND($C112&gt;=D$15, $C112&lt;=D$16), IF(D$14&gt;1, N(MOD($C112-D$15, D$14)&lt;1), 1/D$14)*PI()*D$9/4*(D$7^2*MIN(D$10, $D111)+(D$7^2-D$8^2)*MIN(D$12, D$42))/IF($B$4, 25.4^3, 1), 0), 0)</f>
        <v>0</v>
      </c>
      <c r="G112" s="55" t="n">
        <f aca="false">IFERROR(IF(AND($C112&gt;=E$15, $C112&lt;=E$16), IF(E$14&gt;1, N(MOD($C112-E$15, E$14)&lt;1), 1/E$14)*PI()*E$9/4*(E$7^2*MIN(E$10, $D111)+(E$7^2-E$8^2)*MIN(E$12, E$42))/IF($B$4, 25.4^3, 1), 0), 0)</f>
        <v>0</v>
      </c>
      <c r="H112" s="55" t="n">
        <f aca="false">IFERROR(IF(AND($C112&gt;=F$15, $C112&lt;=F$16), IF(F$14&gt;1, N(MOD($C112-F$15, F$14)&lt;1), 1/F$14)*PI()*F$9/4*(F$7^2*MIN(F$10, $D111)+(F$7^2-F$8^2)*MIN(F$12, F$42))/IF($B$4, 25.4^3, 1), 0), 0)</f>
        <v>0</v>
      </c>
      <c r="I112" s="55" t="n">
        <f aca="false">IFERROR(IF(AND($C112&gt;=G$15, $C112&lt;=G$16), IF(G$14&gt;1, N(MOD($C112-G$15, G$14)&lt;1), 1/G$14)*PI()*G$9/4*(G$7^2*MIN(G$10, $D111)+(G$7^2-G$8^2)*MIN(G$12, G$42))/IF($B$4, 25.4^3, 1), 0), 0)</f>
        <v>0</v>
      </c>
      <c r="J112" s="55" t="n">
        <f aca="false">IFERROR(IF(AND($C112&gt;=H$15, $C112&lt;=H$16), IF(H$14&gt;1, N(MOD($C112-H$15, H$14)&lt;1), 1/H$14)*PI()*H$9/4*(H$7^2*MIN(H$10, $D111)+(H$7^2-H$8^2)*MIN(H$12, H$42))/IF($B$4, 25.4^3, 1), 0), 0)</f>
        <v>0</v>
      </c>
      <c r="K112" s="55" t="n">
        <f aca="false">IFERROR(IF(AND($C112&gt;=I$15, $C112&lt;=I$16), IF(I$14&gt;1, N(MOD($C112-I$15, I$14)&lt;1), 1/I$14)*PI()*I$9/4*(I$7^2*MIN(I$10, $D111)+(I$7^2-I$8^2)*MIN(I$12, I$42))/IF($B$4, 25.4^3, 1), 0), 0)</f>
        <v>0</v>
      </c>
      <c r="L112" s="55" t="n">
        <f aca="false">IFERROR(IF(AND($C112&gt;=J$15, $C112&lt;=J$16), IF(J$14&gt;1, N(MOD($C112-J$15, J$14)&lt;1), 1/J$14)*PI()*J$9/4*(J$7^2*MIN(J$10, $D111)+(J$7^2-J$8^2)*MIN(J$12, J$42))/IF($B$4, 25.4^3, 1), 0), 0)</f>
        <v>0</v>
      </c>
      <c r="M112" s="55" t="n">
        <f aca="false">IFERROR(IF(AND($C112&gt;=K$15, $C112&lt;=K$16), IF(K$14&gt;1, N(MOD($C112-K$15, K$14)&lt;1), 1/K$14)*PI()*K$9/4*(K$7^2*MIN(K$10, $D111)+(K$7^2-K$8^2)*MIN(K$12, K$42))/IF($B$4, 25.4^3, 1), 0), 0)</f>
        <v>0</v>
      </c>
    </row>
    <row r="113" customFormat="false" ht="15" hidden="false" customHeight="false" outlineLevel="0" collapsed="false">
      <c r="C113" s="55" t="n">
        <v>71</v>
      </c>
      <c r="D113" s="55" t="n">
        <f aca="false">MAX((D112*($N$10/IF($B$4, 16.387, 1))+E113-SUM(F113:M113))/($N$10/IF($B$4, 16.387, 1)), 0)</f>
        <v>56.6752987043169</v>
      </c>
      <c r="E113" s="55" t="n">
        <f aca="false">IF(D112&lt;$N$15, $D$40*D112^3+$E$40*D112^2+$F$40*D112+$G$40, 0) * 12^3/60*14.7</f>
        <v>181.44926755033</v>
      </c>
      <c r="F113" s="55" t="n">
        <f aca="false">IFERROR(IF(AND($C113&gt;=D$15, $C113&lt;=D$16), IF(D$14&gt;1, N(MOD($C113-D$15, D$14)&lt;1), 1/D$14)*PI()*D$9/4*(D$7^2*MIN(D$10, $D112)+(D$7^2-D$8^2)*MIN(D$12, D$42))/IF($B$4, 25.4^3, 1), 0), 0)</f>
        <v>0</v>
      </c>
      <c r="G113" s="55" t="n">
        <f aca="false">IFERROR(IF(AND($C113&gt;=E$15, $C113&lt;=E$16), IF(E$14&gt;1, N(MOD($C113-E$15, E$14)&lt;1), 1/E$14)*PI()*E$9/4*(E$7^2*MIN(E$10, $D112)+(E$7^2-E$8^2)*MIN(E$12, E$42))/IF($B$4, 25.4^3, 1), 0), 0)</f>
        <v>0</v>
      </c>
      <c r="H113" s="55" t="n">
        <f aca="false">IFERROR(IF(AND($C113&gt;=F$15, $C113&lt;=F$16), IF(F$14&gt;1, N(MOD($C113-F$15, F$14)&lt;1), 1/F$14)*PI()*F$9/4*(F$7^2*MIN(F$10, $D112)+(F$7^2-F$8^2)*MIN(F$12, F$42))/IF($B$4, 25.4^3, 1), 0), 0)</f>
        <v>0</v>
      </c>
      <c r="I113" s="55" t="n">
        <f aca="false">IFERROR(IF(AND($C113&gt;=G$15, $C113&lt;=G$16), IF(G$14&gt;1, N(MOD($C113-G$15, G$14)&lt;1), 1/G$14)*PI()*G$9/4*(G$7^2*MIN(G$10, $D112)+(G$7^2-G$8^2)*MIN(G$12, G$42))/IF($B$4, 25.4^3, 1), 0), 0)</f>
        <v>0</v>
      </c>
      <c r="J113" s="55" t="n">
        <f aca="false">IFERROR(IF(AND($C113&gt;=H$15, $C113&lt;=H$16), IF(H$14&gt;1, N(MOD($C113-H$15, H$14)&lt;1), 1/H$14)*PI()*H$9/4*(H$7^2*MIN(H$10, $D112)+(H$7^2-H$8^2)*MIN(H$12, H$42))/IF($B$4, 25.4^3, 1), 0), 0)</f>
        <v>0</v>
      </c>
      <c r="K113" s="55" t="n">
        <f aca="false">IFERROR(IF(AND($C113&gt;=I$15, $C113&lt;=I$16), IF(I$14&gt;1, N(MOD($C113-I$15, I$14)&lt;1), 1/I$14)*PI()*I$9/4*(I$7^2*MIN(I$10, $D112)+(I$7^2-I$8^2)*MIN(I$12, I$42))/IF($B$4, 25.4^3, 1), 0), 0)</f>
        <v>0</v>
      </c>
      <c r="L113" s="55" t="n">
        <f aca="false">IFERROR(IF(AND($C113&gt;=J$15, $C113&lt;=J$16), IF(J$14&gt;1, N(MOD($C113-J$15, J$14)&lt;1), 1/J$14)*PI()*J$9/4*(J$7^2*MIN(J$10, $D112)+(J$7^2-J$8^2)*MIN(J$12, J$42))/IF($B$4, 25.4^3, 1), 0), 0)</f>
        <v>0</v>
      </c>
      <c r="M113" s="55" t="n">
        <f aca="false">IFERROR(IF(AND($C113&gt;=K$15, $C113&lt;=K$16), IF(K$14&gt;1, N(MOD($C113-K$15, K$14)&lt;1), 1/K$14)*PI()*K$9/4*(K$7^2*MIN(K$10, $D112)+(K$7^2-K$8^2)*MIN(K$12, K$42))/IF($B$4, 25.4^3, 1), 0), 0)</f>
        <v>0</v>
      </c>
    </row>
    <row r="114" customFormat="false" ht="15" hidden="false" customHeight="false" outlineLevel="0" collapsed="false">
      <c r="C114" s="55" t="n">
        <v>72</v>
      </c>
      <c r="D114" s="55" t="n">
        <f aca="false">MAX((D113*($N$10/IF($B$4, 16.387, 1))+E114-SUM(F114:M114))/($N$10/IF($B$4, 16.387, 1)), 0)</f>
        <v>58.3715578491841</v>
      </c>
      <c r="E114" s="55" t="n">
        <f aca="false">IF(D113&lt;$N$15, $D$40*D113^3+$E$40*D113^2+$F$40*D113+$G$40, 0) * 12^3/60*14.7</f>
        <v>178.107210211052</v>
      </c>
      <c r="F114" s="55" t="n">
        <f aca="false">IFERROR(IF(AND($C114&gt;=D$15, $C114&lt;=D$16), IF(D$14&gt;1, N(MOD($C114-D$15, D$14)&lt;1), 1/D$14)*PI()*D$9/4*(D$7^2*MIN(D$10, $D113)+(D$7^2-D$8^2)*MIN(D$12, D$42))/IF($B$4, 25.4^3, 1), 0), 0)</f>
        <v>0</v>
      </c>
      <c r="G114" s="55" t="n">
        <f aca="false">IFERROR(IF(AND($C114&gt;=E$15, $C114&lt;=E$16), IF(E$14&gt;1, N(MOD($C114-E$15, E$14)&lt;1), 1/E$14)*PI()*E$9/4*(E$7^2*MIN(E$10, $D113)+(E$7^2-E$8^2)*MIN(E$12, E$42))/IF($B$4, 25.4^3, 1), 0), 0)</f>
        <v>0</v>
      </c>
      <c r="H114" s="55" t="n">
        <f aca="false">IFERROR(IF(AND($C114&gt;=F$15, $C114&lt;=F$16), IF(F$14&gt;1, N(MOD($C114-F$15, F$14)&lt;1), 1/F$14)*PI()*F$9/4*(F$7^2*MIN(F$10, $D113)+(F$7^2-F$8^2)*MIN(F$12, F$42))/IF($B$4, 25.4^3, 1), 0), 0)</f>
        <v>0</v>
      </c>
      <c r="I114" s="55" t="n">
        <f aca="false">IFERROR(IF(AND($C114&gt;=G$15, $C114&lt;=G$16), IF(G$14&gt;1, N(MOD($C114-G$15, G$14)&lt;1), 1/G$14)*PI()*G$9/4*(G$7^2*MIN(G$10, $D113)+(G$7^2-G$8^2)*MIN(G$12, G$42))/IF($B$4, 25.4^3, 1), 0), 0)</f>
        <v>0</v>
      </c>
      <c r="J114" s="55" t="n">
        <f aca="false">IFERROR(IF(AND($C114&gt;=H$15, $C114&lt;=H$16), IF(H$14&gt;1, N(MOD($C114-H$15, H$14)&lt;1), 1/H$14)*PI()*H$9/4*(H$7^2*MIN(H$10, $D113)+(H$7^2-H$8^2)*MIN(H$12, H$42))/IF($B$4, 25.4^3, 1), 0), 0)</f>
        <v>0</v>
      </c>
      <c r="K114" s="55" t="n">
        <f aca="false">IFERROR(IF(AND($C114&gt;=I$15, $C114&lt;=I$16), IF(I$14&gt;1, N(MOD($C114-I$15, I$14)&lt;1), 1/I$14)*PI()*I$9/4*(I$7^2*MIN(I$10, $D113)+(I$7^2-I$8^2)*MIN(I$12, I$42))/IF($B$4, 25.4^3, 1), 0), 0)</f>
        <v>0</v>
      </c>
      <c r="L114" s="55" t="n">
        <f aca="false">IFERROR(IF(AND($C114&gt;=J$15, $C114&lt;=J$16), IF(J$14&gt;1, N(MOD($C114-J$15, J$14)&lt;1), 1/J$14)*PI()*J$9/4*(J$7^2*MIN(J$10, $D113)+(J$7^2-J$8^2)*MIN(J$12, J$42))/IF($B$4, 25.4^3, 1), 0), 0)</f>
        <v>0</v>
      </c>
      <c r="M114" s="55" t="n">
        <f aca="false">IFERROR(IF(AND($C114&gt;=K$15, $C114&lt;=K$16), IF(K$14&gt;1, N(MOD($C114-K$15, K$14)&lt;1), 1/K$14)*PI()*K$9/4*(K$7^2*MIN(K$10, $D113)+(K$7^2-K$8^2)*MIN(K$12, K$42))/IF($B$4, 25.4^3, 1), 0), 0)</f>
        <v>0</v>
      </c>
    </row>
    <row r="115" customFormat="false" ht="15" hidden="false" customHeight="false" outlineLevel="0" collapsed="false">
      <c r="C115" s="55" t="n">
        <v>73</v>
      </c>
      <c r="D115" s="55" t="n">
        <f aca="false">MAX((D114*($N$10/IF($B$4, 16.387, 1))+E115-SUM(F115:M115))/($N$10/IF($B$4, 16.387, 1)), 0)</f>
        <v>49.1187587945797</v>
      </c>
      <c r="E115" s="55" t="n">
        <f aca="false">IF(D114&lt;$N$15, $D$40*D114^3+$E$40*D114^2+$F$40*D114+$G$40, 0) * 12^3/60*14.7</f>
        <v>174.891980900758</v>
      </c>
      <c r="F115" s="55" t="n">
        <f aca="false">IFERROR(IF(AND($C115&gt;=D$15, $C115&lt;=D$16), IF(D$14&gt;1, N(MOD($C115-D$15, D$14)&lt;1), 1/D$14)*PI()*D$9/4*(D$7^2*MIN(D$10, $D114)+(D$7^2-D$8^2)*MIN(D$12, D$42))/IF($B$4, 25.4^3, 1), 0), 0)</f>
        <v>1146.43588163421</v>
      </c>
      <c r="G115" s="55" t="n">
        <f aca="false">IFERROR(IF(AND($C115&gt;=E$15, $C115&lt;=E$16), IF(E$14&gt;1, N(MOD($C115-E$15, E$14)&lt;1), 1/E$14)*PI()*E$9/4*(E$7^2*MIN(E$10, $D114)+(E$7^2-E$8^2)*MIN(E$12, E$42))/IF($B$4, 25.4^3, 1), 0), 0)</f>
        <v>0</v>
      </c>
      <c r="H115" s="55" t="n">
        <f aca="false">IFERROR(IF(AND($C115&gt;=F$15, $C115&lt;=F$16), IF(F$14&gt;1, N(MOD($C115-F$15, F$14)&lt;1), 1/F$14)*PI()*F$9/4*(F$7^2*MIN(F$10, $D114)+(F$7^2-F$8^2)*MIN(F$12, F$42))/IF($B$4, 25.4^3, 1), 0), 0)</f>
        <v>0</v>
      </c>
      <c r="I115" s="55" t="n">
        <f aca="false">IFERROR(IF(AND($C115&gt;=G$15, $C115&lt;=G$16), IF(G$14&gt;1, N(MOD($C115-G$15, G$14)&lt;1), 1/G$14)*PI()*G$9/4*(G$7^2*MIN(G$10, $D114)+(G$7^2-G$8^2)*MIN(G$12, G$42))/IF($B$4, 25.4^3, 1), 0), 0)</f>
        <v>0</v>
      </c>
      <c r="J115" s="55" t="n">
        <f aca="false">IFERROR(IF(AND($C115&gt;=H$15, $C115&lt;=H$16), IF(H$14&gt;1, N(MOD($C115-H$15, H$14)&lt;1), 1/H$14)*PI()*H$9/4*(H$7^2*MIN(H$10, $D114)+(H$7^2-H$8^2)*MIN(H$12, H$42))/IF($B$4, 25.4^3, 1), 0), 0)</f>
        <v>0</v>
      </c>
      <c r="K115" s="55" t="n">
        <f aca="false">IFERROR(IF(AND($C115&gt;=I$15, $C115&lt;=I$16), IF(I$14&gt;1, N(MOD($C115-I$15, I$14)&lt;1), 1/I$14)*PI()*I$9/4*(I$7^2*MIN(I$10, $D114)+(I$7^2-I$8^2)*MIN(I$12, I$42))/IF($B$4, 25.4^3, 1), 0), 0)</f>
        <v>0</v>
      </c>
      <c r="L115" s="55" t="n">
        <f aca="false">IFERROR(IF(AND($C115&gt;=J$15, $C115&lt;=J$16), IF(J$14&gt;1, N(MOD($C115-J$15, J$14)&lt;1), 1/J$14)*PI()*J$9/4*(J$7^2*MIN(J$10, $D114)+(J$7^2-J$8^2)*MIN(J$12, J$42))/IF($B$4, 25.4^3, 1), 0), 0)</f>
        <v>0</v>
      </c>
      <c r="M115" s="55" t="n">
        <f aca="false">IFERROR(IF(AND($C115&gt;=K$15, $C115&lt;=K$16), IF(K$14&gt;1, N(MOD($C115-K$15, K$14)&lt;1), 1/K$14)*PI()*K$9/4*(K$7^2*MIN(K$10, $D114)+(K$7^2-K$8^2)*MIN(K$12, K$42))/IF($B$4, 25.4^3, 1), 0), 0)</f>
        <v>0</v>
      </c>
    </row>
    <row r="116" customFormat="false" ht="15" hidden="false" customHeight="false" outlineLevel="0" collapsed="false">
      <c r="C116" s="55" t="n">
        <v>74</v>
      </c>
      <c r="D116" s="55" t="n">
        <f aca="false">MAX((D115*($N$10/IF($B$4, 16.387, 1))+E116-SUM(F116:M116))/($N$10/IF($B$4, 16.387, 1)), 0)</f>
        <v>50.958277901892</v>
      </c>
      <c r="E116" s="55" t="n">
        <f aca="false">IF(D115&lt;$N$15, $D$40*D115^3+$E$40*D115^2+$F$40*D115+$G$40, 0) * 12^3/60*14.7</f>
        <v>193.149506267783</v>
      </c>
      <c r="F116" s="55" t="n">
        <f aca="false">IFERROR(IF(AND($C116&gt;=D$15, $C116&lt;=D$16), IF(D$14&gt;1, N(MOD($C116-D$15, D$14)&lt;1), 1/D$14)*PI()*D$9/4*(D$7^2*MIN(D$10, $D115)+(D$7^2-D$8^2)*MIN(D$12, D$42))/IF($B$4, 25.4^3, 1), 0), 0)</f>
        <v>0</v>
      </c>
      <c r="G116" s="55" t="n">
        <f aca="false">IFERROR(IF(AND($C116&gt;=E$15, $C116&lt;=E$16), IF(E$14&gt;1, N(MOD($C116-E$15, E$14)&lt;1), 1/E$14)*PI()*E$9/4*(E$7^2*MIN(E$10, $D115)+(E$7^2-E$8^2)*MIN(E$12, E$42))/IF($B$4, 25.4^3, 1), 0), 0)</f>
        <v>0</v>
      </c>
      <c r="H116" s="55" t="n">
        <f aca="false">IFERROR(IF(AND($C116&gt;=F$15, $C116&lt;=F$16), IF(F$14&gt;1, N(MOD($C116-F$15, F$14)&lt;1), 1/F$14)*PI()*F$9/4*(F$7^2*MIN(F$10, $D115)+(F$7^2-F$8^2)*MIN(F$12, F$42))/IF($B$4, 25.4^3, 1), 0), 0)</f>
        <v>0</v>
      </c>
      <c r="I116" s="55" t="n">
        <f aca="false">IFERROR(IF(AND($C116&gt;=G$15, $C116&lt;=G$16), IF(G$14&gt;1, N(MOD($C116-G$15, G$14)&lt;1), 1/G$14)*PI()*G$9/4*(G$7^2*MIN(G$10, $D115)+(G$7^2-G$8^2)*MIN(G$12, G$42))/IF($B$4, 25.4^3, 1), 0), 0)</f>
        <v>0</v>
      </c>
      <c r="J116" s="55" t="n">
        <f aca="false">IFERROR(IF(AND($C116&gt;=H$15, $C116&lt;=H$16), IF(H$14&gt;1, N(MOD($C116-H$15, H$14)&lt;1), 1/H$14)*PI()*H$9/4*(H$7^2*MIN(H$10, $D115)+(H$7^2-H$8^2)*MIN(H$12, H$42))/IF($B$4, 25.4^3, 1), 0), 0)</f>
        <v>0</v>
      </c>
      <c r="K116" s="55" t="n">
        <f aca="false">IFERROR(IF(AND($C116&gt;=I$15, $C116&lt;=I$16), IF(I$14&gt;1, N(MOD($C116-I$15, I$14)&lt;1), 1/I$14)*PI()*I$9/4*(I$7^2*MIN(I$10, $D115)+(I$7^2-I$8^2)*MIN(I$12, I$42))/IF($B$4, 25.4^3, 1), 0), 0)</f>
        <v>0</v>
      </c>
      <c r="L116" s="55" t="n">
        <f aca="false">IFERROR(IF(AND($C116&gt;=J$15, $C116&lt;=J$16), IF(J$14&gt;1, N(MOD($C116-J$15, J$14)&lt;1), 1/J$14)*PI()*J$9/4*(J$7^2*MIN(J$10, $D115)+(J$7^2-J$8^2)*MIN(J$12, J$42))/IF($B$4, 25.4^3, 1), 0), 0)</f>
        <v>0</v>
      </c>
      <c r="M116" s="55" t="n">
        <f aca="false">IFERROR(IF(AND($C116&gt;=K$15, $C116&lt;=K$16), IF(K$14&gt;1, N(MOD($C116-K$15, K$14)&lt;1), 1/K$14)*PI()*K$9/4*(K$7^2*MIN(K$10, $D115)+(K$7^2-K$8^2)*MIN(K$12, K$42))/IF($B$4, 25.4^3, 1), 0), 0)</f>
        <v>0</v>
      </c>
    </row>
    <row r="117" customFormat="false" ht="15" hidden="false" customHeight="false" outlineLevel="0" collapsed="false">
      <c r="C117" s="55" t="n">
        <v>75</v>
      </c>
      <c r="D117" s="55" t="n">
        <f aca="false">MAX((D116*($N$10/IF($B$4, 16.387, 1))+E117-SUM(F117:M117))/($N$10/IF($B$4, 16.387, 1)), 0)</f>
        <v>52.7620141857799</v>
      </c>
      <c r="E117" s="55" t="n">
        <f aca="false">IF(D116&lt;$N$15, $D$40*D116^3+$E$40*D116^2+$F$40*D116+$G$40, 0) * 12^3/60*14.7</f>
        <v>189.392309808236</v>
      </c>
      <c r="F117" s="55" t="n">
        <f aca="false">IFERROR(IF(AND($C117&gt;=D$15, $C117&lt;=D$16), IF(D$14&gt;1, N(MOD($C117-D$15, D$14)&lt;1), 1/D$14)*PI()*D$9/4*(D$7^2*MIN(D$10, $D116)+(D$7^2-D$8^2)*MIN(D$12, D$42))/IF($B$4, 25.4^3, 1), 0), 0)</f>
        <v>0</v>
      </c>
      <c r="G117" s="55" t="n">
        <f aca="false">IFERROR(IF(AND($C117&gt;=E$15, $C117&lt;=E$16), IF(E$14&gt;1, N(MOD($C117-E$15, E$14)&lt;1), 1/E$14)*PI()*E$9/4*(E$7^2*MIN(E$10, $D116)+(E$7^2-E$8^2)*MIN(E$12, E$42))/IF($B$4, 25.4^3, 1), 0), 0)</f>
        <v>0</v>
      </c>
      <c r="H117" s="55" t="n">
        <f aca="false">IFERROR(IF(AND($C117&gt;=F$15, $C117&lt;=F$16), IF(F$14&gt;1, N(MOD($C117-F$15, F$14)&lt;1), 1/F$14)*PI()*F$9/4*(F$7^2*MIN(F$10, $D116)+(F$7^2-F$8^2)*MIN(F$12, F$42))/IF($B$4, 25.4^3, 1), 0), 0)</f>
        <v>0</v>
      </c>
      <c r="I117" s="55" t="n">
        <f aca="false">IFERROR(IF(AND($C117&gt;=G$15, $C117&lt;=G$16), IF(G$14&gt;1, N(MOD($C117-G$15, G$14)&lt;1), 1/G$14)*PI()*G$9/4*(G$7^2*MIN(G$10, $D116)+(G$7^2-G$8^2)*MIN(G$12, G$42))/IF($B$4, 25.4^3, 1), 0), 0)</f>
        <v>0</v>
      </c>
      <c r="J117" s="55" t="n">
        <f aca="false">IFERROR(IF(AND($C117&gt;=H$15, $C117&lt;=H$16), IF(H$14&gt;1, N(MOD($C117-H$15, H$14)&lt;1), 1/H$14)*PI()*H$9/4*(H$7^2*MIN(H$10, $D116)+(H$7^2-H$8^2)*MIN(H$12, H$42))/IF($B$4, 25.4^3, 1), 0), 0)</f>
        <v>0</v>
      </c>
      <c r="K117" s="55" t="n">
        <f aca="false">IFERROR(IF(AND($C117&gt;=I$15, $C117&lt;=I$16), IF(I$14&gt;1, N(MOD($C117-I$15, I$14)&lt;1), 1/I$14)*PI()*I$9/4*(I$7^2*MIN(I$10, $D116)+(I$7^2-I$8^2)*MIN(I$12, I$42))/IF($B$4, 25.4^3, 1), 0), 0)</f>
        <v>0</v>
      </c>
      <c r="L117" s="55" t="n">
        <f aca="false">IFERROR(IF(AND($C117&gt;=J$15, $C117&lt;=J$16), IF(J$14&gt;1, N(MOD($C117-J$15, J$14)&lt;1), 1/J$14)*PI()*J$9/4*(J$7^2*MIN(J$10, $D116)+(J$7^2-J$8^2)*MIN(J$12, J$42))/IF($B$4, 25.4^3, 1), 0), 0)</f>
        <v>0</v>
      </c>
      <c r="M117" s="55" t="n">
        <f aca="false">IFERROR(IF(AND($C117&gt;=K$15, $C117&lt;=K$16), IF(K$14&gt;1, N(MOD($C117-K$15, K$14)&lt;1), 1/K$14)*PI()*K$9/4*(K$7^2*MIN(K$10, $D116)+(K$7^2-K$8^2)*MIN(K$12, K$42))/IF($B$4, 25.4^3, 1), 0), 0)</f>
        <v>0</v>
      </c>
    </row>
    <row r="118" customFormat="false" ht="15" hidden="false" customHeight="false" outlineLevel="0" collapsed="false">
      <c r="C118" s="55" t="n">
        <v>76</v>
      </c>
      <c r="D118" s="55" t="n">
        <f aca="false">MAX((D117*($N$10/IF($B$4, 16.387, 1))+E118-SUM(F118:M118))/($N$10/IF($B$4, 16.387, 1)), 0)</f>
        <v>54.5311913030089</v>
      </c>
      <c r="E118" s="55" t="n">
        <f aca="false">IF(D117&lt;$N$15, $D$40*D117^3+$E$40*D117^2+$F$40*D117+$G$40, 0) * 12^3/60*14.7</f>
        <v>185.763597309043</v>
      </c>
      <c r="F118" s="55" t="n">
        <f aca="false">IFERROR(IF(AND($C118&gt;=D$15, $C118&lt;=D$16), IF(D$14&gt;1, N(MOD($C118-D$15, D$14)&lt;1), 1/D$14)*PI()*D$9/4*(D$7^2*MIN(D$10, $D117)+(D$7^2-D$8^2)*MIN(D$12, D$42))/IF($B$4, 25.4^3, 1), 0), 0)</f>
        <v>0</v>
      </c>
      <c r="G118" s="55" t="n">
        <f aca="false">IFERROR(IF(AND($C118&gt;=E$15, $C118&lt;=E$16), IF(E$14&gt;1, N(MOD($C118-E$15, E$14)&lt;1), 1/E$14)*PI()*E$9/4*(E$7^2*MIN(E$10, $D117)+(E$7^2-E$8^2)*MIN(E$12, E$42))/IF($B$4, 25.4^3, 1), 0), 0)</f>
        <v>0</v>
      </c>
      <c r="H118" s="55" t="n">
        <f aca="false">IFERROR(IF(AND($C118&gt;=F$15, $C118&lt;=F$16), IF(F$14&gt;1, N(MOD($C118-F$15, F$14)&lt;1), 1/F$14)*PI()*F$9/4*(F$7^2*MIN(F$10, $D117)+(F$7^2-F$8^2)*MIN(F$12, F$42))/IF($B$4, 25.4^3, 1), 0), 0)</f>
        <v>0</v>
      </c>
      <c r="I118" s="55" t="n">
        <f aca="false">IFERROR(IF(AND($C118&gt;=G$15, $C118&lt;=G$16), IF(G$14&gt;1, N(MOD($C118-G$15, G$14)&lt;1), 1/G$14)*PI()*G$9/4*(G$7^2*MIN(G$10, $D117)+(G$7^2-G$8^2)*MIN(G$12, G$42))/IF($B$4, 25.4^3, 1), 0), 0)</f>
        <v>0</v>
      </c>
      <c r="J118" s="55" t="n">
        <f aca="false">IFERROR(IF(AND($C118&gt;=H$15, $C118&lt;=H$16), IF(H$14&gt;1, N(MOD($C118-H$15, H$14)&lt;1), 1/H$14)*PI()*H$9/4*(H$7^2*MIN(H$10, $D117)+(H$7^2-H$8^2)*MIN(H$12, H$42))/IF($B$4, 25.4^3, 1), 0), 0)</f>
        <v>0</v>
      </c>
      <c r="K118" s="55" t="n">
        <f aca="false">IFERROR(IF(AND($C118&gt;=I$15, $C118&lt;=I$16), IF(I$14&gt;1, N(MOD($C118-I$15, I$14)&lt;1), 1/I$14)*PI()*I$9/4*(I$7^2*MIN(I$10, $D117)+(I$7^2-I$8^2)*MIN(I$12, I$42))/IF($B$4, 25.4^3, 1), 0), 0)</f>
        <v>0</v>
      </c>
      <c r="L118" s="55" t="n">
        <f aca="false">IFERROR(IF(AND($C118&gt;=J$15, $C118&lt;=J$16), IF(J$14&gt;1, N(MOD($C118-J$15, J$14)&lt;1), 1/J$14)*PI()*J$9/4*(J$7^2*MIN(J$10, $D117)+(J$7^2-J$8^2)*MIN(J$12, J$42))/IF($B$4, 25.4^3, 1), 0), 0)</f>
        <v>0</v>
      </c>
      <c r="M118" s="55" t="n">
        <f aca="false">IFERROR(IF(AND($C118&gt;=K$15, $C118&lt;=K$16), IF(K$14&gt;1, N(MOD($C118-K$15, K$14)&lt;1), 1/K$14)*PI()*K$9/4*(K$7^2*MIN(K$10, $D117)+(K$7^2-K$8^2)*MIN(K$12, K$42))/IF($B$4, 25.4^3, 1), 0), 0)</f>
        <v>0</v>
      </c>
    </row>
    <row r="119" customFormat="false" ht="15" hidden="false" customHeight="false" outlineLevel="0" collapsed="false">
      <c r="C119" s="55" t="n">
        <v>77</v>
      </c>
      <c r="D119" s="55" t="n">
        <f aca="false">MAX((D118*($N$10/IF($B$4, 16.387, 1))+E119-SUM(F119:M119))/($N$10/IF($B$4, 16.387, 1)), 0)</f>
        <v>56.267032214486</v>
      </c>
      <c r="E119" s="55" t="n">
        <f aca="false">IF(D118&lt;$N$15, $D$40*D118^3+$E$40*D118^2+$F$40*D118+$G$40, 0) * 12^3/60*14.7</f>
        <v>182.2632957051</v>
      </c>
      <c r="F119" s="55" t="n">
        <f aca="false">IFERROR(IF(AND($C119&gt;=D$15, $C119&lt;=D$16), IF(D$14&gt;1, N(MOD($C119-D$15, D$14)&lt;1), 1/D$14)*PI()*D$9/4*(D$7^2*MIN(D$10, $D118)+(D$7^2-D$8^2)*MIN(D$12, D$42))/IF($B$4, 25.4^3, 1), 0), 0)</f>
        <v>0</v>
      </c>
      <c r="G119" s="55" t="n">
        <f aca="false">IFERROR(IF(AND($C119&gt;=E$15, $C119&lt;=E$16), IF(E$14&gt;1, N(MOD($C119-E$15, E$14)&lt;1), 1/E$14)*PI()*E$9/4*(E$7^2*MIN(E$10, $D118)+(E$7^2-E$8^2)*MIN(E$12, E$42))/IF($B$4, 25.4^3, 1), 0), 0)</f>
        <v>0</v>
      </c>
      <c r="H119" s="55" t="n">
        <f aca="false">IFERROR(IF(AND($C119&gt;=F$15, $C119&lt;=F$16), IF(F$14&gt;1, N(MOD($C119-F$15, F$14)&lt;1), 1/F$14)*PI()*F$9/4*(F$7^2*MIN(F$10, $D118)+(F$7^2-F$8^2)*MIN(F$12, F$42))/IF($B$4, 25.4^3, 1), 0), 0)</f>
        <v>0</v>
      </c>
      <c r="I119" s="55" t="n">
        <f aca="false">IFERROR(IF(AND($C119&gt;=G$15, $C119&lt;=G$16), IF(G$14&gt;1, N(MOD($C119-G$15, G$14)&lt;1), 1/G$14)*PI()*G$9/4*(G$7^2*MIN(G$10, $D118)+(G$7^2-G$8^2)*MIN(G$12, G$42))/IF($B$4, 25.4^3, 1), 0), 0)</f>
        <v>0</v>
      </c>
      <c r="J119" s="55" t="n">
        <f aca="false">IFERROR(IF(AND($C119&gt;=H$15, $C119&lt;=H$16), IF(H$14&gt;1, N(MOD($C119-H$15, H$14)&lt;1), 1/H$14)*PI()*H$9/4*(H$7^2*MIN(H$10, $D118)+(H$7^2-H$8^2)*MIN(H$12, H$42))/IF($B$4, 25.4^3, 1), 0), 0)</f>
        <v>0</v>
      </c>
      <c r="K119" s="55" t="n">
        <f aca="false">IFERROR(IF(AND($C119&gt;=I$15, $C119&lt;=I$16), IF(I$14&gt;1, N(MOD($C119-I$15, I$14)&lt;1), 1/I$14)*PI()*I$9/4*(I$7^2*MIN(I$10, $D118)+(I$7^2-I$8^2)*MIN(I$12, I$42))/IF($B$4, 25.4^3, 1), 0), 0)</f>
        <v>0</v>
      </c>
      <c r="L119" s="55" t="n">
        <f aca="false">IFERROR(IF(AND($C119&gt;=J$15, $C119&lt;=J$16), IF(J$14&gt;1, N(MOD($C119-J$15, J$14)&lt;1), 1/J$14)*PI()*J$9/4*(J$7^2*MIN(J$10, $D118)+(J$7^2-J$8^2)*MIN(J$12, J$42))/IF($B$4, 25.4^3, 1), 0), 0)</f>
        <v>0</v>
      </c>
      <c r="M119" s="55" t="n">
        <f aca="false">IFERROR(IF(AND($C119&gt;=K$15, $C119&lt;=K$16), IF(K$14&gt;1, N(MOD($C119-K$15, K$14)&lt;1), 1/K$14)*PI()*K$9/4*(K$7^2*MIN(K$10, $D118)+(K$7^2-K$8^2)*MIN(K$12, K$42))/IF($B$4, 25.4^3, 1), 0), 0)</f>
        <v>0</v>
      </c>
    </row>
    <row r="120" customFormat="false" ht="15" hidden="false" customHeight="false" outlineLevel="0" collapsed="false">
      <c r="C120" s="55" t="n">
        <v>78</v>
      </c>
      <c r="D120" s="55" t="n">
        <f aca="false">MAX((D119*($N$10/IF($B$4, 16.387, 1))+E120-SUM(F120:M120))/($N$10/IF($B$4, 16.387, 1)), 0)</f>
        <v>47.0523182247988</v>
      </c>
      <c r="E120" s="55" t="n">
        <f aca="false">IF(D119&lt;$N$15, $D$40*D119^3+$E$40*D119^2+$F$40*D119+$G$40, 0) * 12^3/60*14.7</f>
        <v>178.89091271705</v>
      </c>
      <c r="F120" s="55" t="n">
        <f aca="false">IFERROR(IF(AND($C120&gt;=D$15, $C120&lt;=D$16), IF(D$14&gt;1, N(MOD($C120-D$15, D$14)&lt;1), 1/D$14)*PI()*D$9/4*(D$7^2*MIN(D$10, $D119)+(D$7^2-D$8^2)*MIN(D$12, D$42))/IF($B$4, 25.4^3, 1), 0), 0)</f>
        <v>1146.43588163421</v>
      </c>
      <c r="G120" s="55" t="n">
        <f aca="false">IFERROR(IF(AND($C120&gt;=E$15, $C120&lt;=E$16), IF(E$14&gt;1, N(MOD($C120-E$15, E$14)&lt;1), 1/E$14)*PI()*E$9/4*(E$7^2*MIN(E$10, $D119)+(E$7^2-E$8^2)*MIN(E$12, E$42))/IF($B$4, 25.4^3, 1), 0), 0)</f>
        <v>0</v>
      </c>
      <c r="H120" s="55" t="n">
        <f aca="false">IFERROR(IF(AND($C120&gt;=F$15, $C120&lt;=F$16), IF(F$14&gt;1, N(MOD($C120-F$15, F$14)&lt;1), 1/F$14)*PI()*F$9/4*(F$7^2*MIN(F$10, $D119)+(F$7^2-F$8^2)*MIN(F$12, F$42))/IF($B$4, 25.4^3, 1), 0), 0)</f>
        <v>0</v>
      </c>
      <c r="I120" s="55" t="n">
        <f aca="false">IFERROR(IF(AND($C120&gt;=G$15, $C120&lt;=G$16), IF(G$14&gt;1, N(MOD($C120-G$15, G$14)&lt;1), 1/G$14)*PI()*G$9/4*(G$7^2*MIN(G$10, $D119)+(G$7^2-G$8^2)*MIN(G$12, G$42))/IF($B$4, 25.4^3, 1), 0), 0)</f>
        <v>0</v>
      </c>
      <c r="J120" s="55" t="n">
        <f aca="false">IFERROR(IF(AND($C120&gt;=H$15, $C120&lt;=H$16), IF(H$14&gt;1, N(MOD($C120-H$15, H$14)&lt;1), 1/H$14)*PI()*H$9/4*(H$7^2*MIN(H$10, $D119)+(H$7^2-H$8^2)*MIN(H$12, H$42))/IF($B$4, 25.4^3, 1), 0), 0)</f>
        <v>0</v>
      </c>
      <c r="K120" s="55" t="n">
        <f aca="false">IFERROR(IF(AND($C120&gt;=I$15, $C120&lt;=I$16), IF(I$14&gt;1, N(MOD($C120-I$15, I$14)&lt;1), 1/I$14)*PI()*I$9/4*(I$7^2*MIN(I$10, $D119)+(I$7^2-I$8^2)*MIN(I$12, I$42))/IF($B$4, 25.4^3, 1), 0), 0)</f>
        <v>0</v>
      </c>
      <c r="L120" s="55" t="n">
        <f aca="false">IFERROR(IF(AND($C120&gt;=J$15, $C120&lt;=J$16), IF(J$14&gt;1, N(MOD($C120-J$15, J$14)&lt;1), 1/J$14)*PI()*J$9/4*(J$7^2*MIN(J$10, $D119)+(J$7^2-J$8^2)*MIN(J$12, J$42))/IF($B$4, 25.4^3, 1), 0), 0)</f>
        <v>0</v>
      </c>
      <c r="M120" s="55" t="n">
        <f aca="false">IFERROR(IF(AND($C120&gt;=K$15, $C120&lt;=K$16), IF(K$14&gt;1, N(MOD($C120-K$15, K$14)&lt;1), 1/K$14)*PI()*K$9/4*(K$7^2*MIN(K$10, $D119)+(K$7^2-K$8^2)*MIN(K$12, K$42))/IF($B$4, 25.4^3, 1), 0), 0)</f>
        <v>0</v>
      </c>
    </row>
    <row r="121" customFormat="false" ht="15" hidden="false" customHeight="false" outlineLevel="0" collapsed="false">
      <c r="C121" s="55" t="n">
        <v>79</v>
      </c>
      <c r="D121" s="55" t="n">
        <f aca="false">MAX((D120*($N$10/IF($B$4, 16.387, 1))+E121-SUM(F121:M121))/($N$10/IF($B$4, 16.387, 1)), 0)</f>
        <v>48.9326105012311</v>
      </c>
      <c r="E121" s="55" t="n">
        <f aca="false">IF(D120&lt;$N$15, $D$40*D120^3+$E$40*D120^2+$F$40*D120+$G$40, 0) * 12^3/60*14.7</f>
        <v>197.430689025395</v>
      </c>
      <c r="F121" s="55" t="n">
        <f aca="false">IFERROR(IF(AND($C121&gt;=D$15, $C121&lt;=D$16), IF(D$14&gt;1, N(MOD($C121-D$15, D$14)&lt;1), 1/D$14)*PI()*D$9/4*(D$7^2*MIN(D$10, $D120)+(D$7^2-D$8^2)*MIN(D$12, D$42))/IF($B$4, 25.4^3, 1), 0), 0)</f>
        <v>0</v>
      </c>
      <c r="G121" s="55" t="n">
        <f aca="false">IFERROR(IF(AND($C121&gt;=E$15, $C121&lt;=E$16), IF(E$14&gt;1, N(MOD($C121-E$15, E$14)&lt;1), 1/E$14)*PI()*E$9/4*(E$7^2*MIN(E$10, $D120)+(E$7^2-E$8^2)*MIN(E$12, E$42))/IF($B$4, 25.4^3, 1), 0), 0)</f>
        <v>0</v>
      </c>
      <c r="H121" s="55" t="n">
        <f aca="false">IFERROR(IF(AND($C121&gt;=F$15, $C121&lt;=F$16), IF(F$14&gt;1, N(MOD($C121-F$15, F$14)&lt;1), 1/F$14)*PI()*F$9/4*(F$7^2*MIN(F$10, $D120)+(F$7^2-F$8^2)*MIN(F$12, F$42))/IF($B$4, 25.4^3, 1), 0), 0)</f>
        <v>0</v>
      </c>
      <c r="I121" s="55" t="n">
        <f aca="false">IFERROR(IF(AND($C121&gt;=G$15, $C121&lt;=G$16), IF(G$14&gt;1, N(MOD($C121-G$15, G$14)&lt;1), 1/G$14)*PI()*G$9/4*(G$7^2*MIN(G$10, $D120)+(G$7^2-G$8^2)*MIN(G$12, G$42))/IF($B$4, 25.4^3, 1), 0), 0)</f>
        <v>0</v>
      </c>
      <c r="J121" s="55" t="n">
        <f aca="false">IFERROR(IF(AND($C121&gt;=H$15, $C121&lt;=H$16), IF(H$14&gt;1, N(MOD($C121-H$15, H$14)&lt;1), 1/H$14)*PI()*H$9/4*(H$7^2*MIN(H$10, $D120)+(H$7^2-H$8^2)*MIN(H$12, H$42))/IF($B$4, 25.4^3, 1), 0), 0)</f>
        <v>0</v>
      </c>
      <c r="K121" s="55" t="n">
        <f aca="false">IFERROR(IF(AND($C121&gt;=I$15, $C121&lt;=I$16), IF(I$14&gt;1, N(MOD($C121-I$15, I$14)&lt;1), 1/I$14)*PI()*I$9/4*(I$7^2*MIN(I$10, $D120)+(I$7^2-I$8^2)*MIN(I$12, I$42))/IF($B$4, 25.4^3, 1), 0), 0)</f>
        <v>0</v>
      </c>
      <c r="L121" s="55" t="n">
        <f aca="false">IFERROR(IF(AND($C121&gt;=J$15, $C121&lt;=J$16), IF(J$14&gt;1, N(MOD($C121-J$15, J$14)&lt;1), 1/J$14)*PI()*J$9/4*(J$7^2*MIN(J$10, $D120)+(J$7^2-J$8^2)*MIN(J$12, J$42))/IF($B$4, 25.4^3, 1), 0), 0)</f>
        <v>0</v>
      </c>
      <c r="M121" s="55" t="n">
        <f aca="false">IFERROR(IF(AND($C121&gt;=K$15, $C121&lt;=K$16), IF(K$14&gt;1, N(MOD($C121-K$15, K$14)&lt;1), 1/K$14)*PI()*K$9/4*(K$7^2*MIN(K$10, $D120)+(K$7^2-K$8^2)*MIN(K$12, K$42))/IF($B$4, 25.4^3, 1), 0), 0)</f>
        <v>0</v>
      </c>
    </row>
    <row r="122" customFormat="false" ht="15" hidden="false" customHeight="false" outlineLevel="0" collapsed="false">
      <c r="C122" s="55" t="n">
        <v>80</v>
      </c>
      <c r="D122" s="55" t="n">
        <f aca="false">MAX((D121*($N$10/IF($B$4, 16.387, 1))+E122-SUM(F122:M122))/($N$10/IF($B$4, 16.387, 1)), 0)</f>
        <v>50.7757786392209</v>
      </c>
      <c r="E122" s="55" t="n">
        <f aca="false">IF(D121&lt;$N$15, $D$40*D121^3+$E$40*D121^2+$F$40*D121+$G$40, 0) * 12^3/60*14.7</f>
        <v>193.532654488925</v>
      </c>
      <c r="F122" s="55" t="n">
        <f aca="false">IFERROR(IF(AND($C122&gt;=D$15, $C122&lt;=D$16), IF(D$14&gt;1, N(MOD($C122-D$15, D$14)&lt;1), 1/D$14)*PI()*D$9/4*(D$7^2*MIN(D$10, $D121)+(D$7^2-D$8^2)*MIN(D$12, D$42))/IF($B$4, 25.4^3, 1), 0), 0)</f>
        <v>0</v>
      </c>
      <c r="G122" s="55" t="n">
        <f aca="false">IFERROR(IF(AND($C122&gt;=E$15, $C122&lt;=E$16), IF(E$14&gt;1, N(MOD($C122-E$15, E$14)&lt;1), 1/E$14)*PI()*E$9/4*(E$7^2*MIN(E$10, $D121)+(E$7^2-E$8^2)*MIN(E$12, E$42))/IF($B$4, 25.4^3, 1), 0), 0)</f>
        <v>0</v>
      </c>
      <c r="H122" s="55" t="n">
        <f aca="false">IFERROR(IF(AND($C122&gt;=F$15, $C122&lt;=F$16), IF(F$14&gt;1, N(MOD($C122-F$15, F$14)&lt;1), 1/F$14)*PI()*F$9/4*(F$7^2*MIN(F$10, $D121)+(F$7^2-F$8^2)*MIN(F$12, F$42))/IF($B$4, 25.4^3, 1), 0), 0)</f>
        <v>0</v>
      </c>
      <c r="I122" s="55" t="n">
        <f aca="false">IFERROR(IF(AND($C122&gt;=G$15, $C122&lt;=G$16), IF(G$14&gt;1, N(MOD($C122-G$15, G$14)&lt;1), 1/G$14)*PI()*G$9/4*(G$7^2*MIN(G$10, $D121)+(G$7^2-G$8^2)*MIN(G$12, G$42))/IF($B$4, 25.4^3, 1), 0), 0)</f>
        <v>0</v>
      </c>
      <c r="J122" s="55" t="n">
        <f aca="false">IFERROR(IF(AND($C122&gt;=H$15, $C122&lt;=H$16), IF(H$14&gt;1, N(MOD($C122-H$15, H$14)&lt;1), 1/H$14)*PI()*H$9/4*(H$7^2*MIN(H$10, $D121)+(H$7^2-H$8^2)*MIN(H$12, H$42))/IF($B$4, 25.4^3, 1), 0), 0)</f>
        <v>0</v>
      </c>
      <c r="K122" s="55" t="n">
        <f aca="false">IFERROR(IF(AND($C122&gt;=I$15, $C122&lt;=I$16), IF(I$14&gt;1, N(MOD($C122-I$15, I$14)&lt;1), 1/I$14)*PI()*I$9/4*(I$7^2*MIN(I$10, $D121)+(I$7^2-I$8^2)*MIN(I$12, I$42))/IF($B$4, 25.4^3, 1), 0), 0)</f>
        <v>0</v>
      </c>
      <c r="L122" s="55" t="n">
        <f aca="false">IFERROR(IF(AND($C122&gt;=J$15, $C122&lt;=J$16), IF(J$14&gt;1, N(MOD($C122-J$15, J$14)&lt;1), 1/J$14)*PI()*J$9/4*(J$7^2*MIN(J$10, $D121)+(J$7^2-J$8^2)*MIN(J$12, J$42))/IF($B$4, 25.4^3, 1), 0), 0)</f>
        <v>0</v>
      </c>
      <c r="M122" s="55" t="n">
        <f aca="false">IFERROR(IF(AND($C122&gt;=K$15, $C122&lt;=K$16), IF(K$14&gt;1, N(MOD($C122-K$15, K$14)&lt;1), 1/K$14)*PI()*K$9/4*(K$7^2*MIN(K$10, $D121)+(K$7^2-K$8^2)*MIN(K$12, K$42))/IF($B$4, 25.4^3, 1), 0), 0)</f>
        <v>0</v>
      </c>
    </row>
    <row r="123" customFormat="false" ht="15" hidden="false" customHeight="false" outlineLevel="0" collapsed="false">
      <c r="C123" s="55" t="n">
        <v>81</v>
      </c>
      <c r="D123" s="55" t="n">
        <f aca="false">MAX((D122*($N$10/IF($B$4, 16.387, 1))+E123-SUM(F123:M123))/($N$10/IF($B$4, 16.387, 1)), 0)</f>
        <v>52.5830416051873</v>
      </c>
      <c r="E123" s="55" t="n">
        <f aca="false">IF(D122&lt;$N$15, $D$40*D122^3+$E$40*D122^2+$F$40*D122+$G$40, 0) * 12^3/60*14.7</f>
        <v>189.762611426472</v>
      </c>
      <c r="F123" s="55" t="n">
        <f aca="false">IFERROR(IF(AND($C123&gt;=D$15, $C123&lt;=D$16), IF(D$14&gt;1, N(MOD($C123-D$15, D$14)&lt;1), 1/D$14)*PI()*D$9/4*(D$7^2*MIN(D$10, $D122)+(D$7^2-D$8^2)*MIN(D$12, D$42))/IF($B$4, 25.4^3, 1), 0), 0)</f>
        <v>0</v>
      </c>
      <c r="G123" s="55" t="n">
        <f aca="false">IFERROR(IF(AND($C123&gt;=E$15, $C123&lt;=E$16), IF(E$14&gt;1, N(MOD($C123-E$15, E$14)&lt;1), 1/E$14)*PI()*E$9/4*(E$7^2*MIN(E$10, $D122)+(E$7^2-E$8^2)*MIN(E$12, E$42))/IF($B$4, 25.4^3, 1), 0), 0)</f>
        <v>0</v>
      </c>
      <c r="H123" s="55" t="n">
        <f aca="false">IFERROR(IF(AND($C123&gt;=F$15, $C123&lt;=F$16), IF(F$14&gt;1, N(MOD($C123-F$15, F$14)&lt;1), 1/F$14)*PI()*F$9/4*(F$7^2*MIN(F$10, $D122)+(F$7^2-F$8^2)*MIN(F$12, F$42))/IF($B$4, 25.4^3, 1), 0), 0)</f>
        <v>0</v>
      </c>
      <c r="I123" s="55" t="n">
        <f aca="false">IFERROR(IF(AND($C123&gt;=G$15, $C123&lt;=G$16), IF(G$14&gt;1, N(MOD($C123-G$15, G$14)&lt;1), 1/G$14)*PI()*G$9/4*(G$7^2*MIN(G$10, $D122)+(G$7^2-G$8^2)*MIN(G$12, G$42))/IF($B$4, 25.4^3, 1), 0), 0)</f>
        <v>0</v>
      </c>
      <c r="J123" s="55" t="n">
        <f aca="false">IFERROR(IF(AND($C123&gt;=H$15, $C123&lt;=H$16), IF(H$14&gt;1, N(MOD($C123-H$15, H$14)&lt;1), 1/H$14)*PI()*H$9/4*(H$7^2*MIN(H$10, $D122)+(H$7^2-H$8^2)*MIN(H$12, H$42))/IF($B$4, 25.4^3, 1), 0), 0)</f>
        <v>0</v>
      </c>
      <c r="K123" s="55" t="n">
        <f aca="false">IFERROR(IF(AND($C123&gt;=I$15, $C123&lt;=I$16), IF(I$14&gt;1, N(MOD($C123-I$15, I$14)&lt;1), 1/I$14)*PI()*I$9/4*(I$7^2*MIN(I$10, $D122)+(I$7^2-I$8^2)*MIN(I$12, I$42))/IF($B$4, 25.4^3, 1), 0), 0)</f>
        <v>0</v>
      </c>
      <c r="L123" s="55" t="n">
        <f aca="false">IFERROR(IF(AND($C123&gt;=J$15, $C123&lt;=J$16), IF(J$14&gt;1, N(MOD($C123-J$15, J$14)&lt;1), 1/J$14)*PI()*J$9/4*(J$7^2*MIN(J$10, $D122)+(J$7^2-J$8^2)*MIN(J$12, J$42))/IF($B$4, 25.4^3, 1), 0), 0)</f>
        <v>0</v>
      </c>
      <c r="M123" s="55" t="n">
        <f aca="false">IFERROR(IF(AND($C123&gt;=K$15, $C123&lt;=K$16), IF(K$14&gt;1, N(MOD($C123-K$15, K$14)&lt;1), 1/K$14)*PI()*K$9/4*(K$7^2*MIN(K$10, $D122)+(K$7^2-K$8^2)*MIN(K$12, K$42))/IF($B$4, 25.4^3, 1), 0), 0)</f>
        <v>0</v>
      </c>
    </row>
    <row r="124" customFormat="false" ht="15" hidden="false" customHeight="false" outlineLevel="0" collapsed="false">
      <c r="C124" s="55" t="n">
        <v>82</v>
      </c>
      <c r="D124" s="55" t="n">
        <f aca="false">MAX((D123*($N$10/IF($B$4, 16.387, 1))+E124-SUM(F124:M124))/($N$10/IF($B$4, 16.387, 1)), 0)</f>
        <v>54.355622879152</v>
      </c>
      <c r="E124" s="55" t="n">
        <f aca="false">IF(D123&lt;$N$15, $D$40*D123^3+$E$40*D123^2+$F$40*D123+$G$40, 0) * 12^3/60*14.7</f>
        <v>186.121033766301</v>
      </c>
      <c r="F124" s="55" t="n">
        <f aca="false">IFERROR(IF(AND($C124&gt;=D$15, $C124&lt;=D$16), IF(D$14&gt;1, N(MOD($C124-D$15, D$14)&lt;1), 1/D$14)*PI()*D$9/4*(D$7^2*MIN(D$10, $D123)+(D$7^2-D$8^2)*MIN(D$12, D$42))/IF($B$4, 25.4^3, 1), 0), 0)</f>
        <v>0</v>
      </c>
      <c r="G124" s="55" t="n">
        <f aca="false">IFERROR(IF(AND($C124&gt;=E$15, $C124&lt;=E$16), IF(E$14&gt;1, N(MOD($C124-E$15, E$14)&lt;1), 1/E$14)*PI()*E$9/4*(E$7^2*MIN(E$10, $D123)+(E$7^2-E$8^2)*MIN(E$12, E$42))/IF($B$4, 25.4^3, 1), 0), 0)</f>
        <v>0</v>
      </c>
      <c r="H124" s="55" t="n">
        <f aca="false">IFERROR(IF(AND($C124&gt;=F$15, $C124&lt;=F$16), IF(F$14&gt;1, N(MOD($C124-F$15, F$14)&lt;1), 1/F$14)*PI()*F$9/4*(F$7^2*MIN(F$10, $D123)+(F$7^2-F$8^2)*MIN(F$12, F$42))/IF($B$4, 25.4^3, 1), 0), 0)</f>
        <v>0</v>
      </c>
      <c r="I124" s="55" t="n">
        <f aca="false">IFERROR(IF(AND($C124&gt;=G$15, $C124&lt;=G$16), IF(G$14&gt;1, N(MOD($C124-G$15, G$14)&lt;1), 1/G$14)*PI()*G$9/4*(G$7^2*MIN(G$10, $D123)+(G$7^2-G$8^2)*MIN(G$12, G$42))/IF($B$4, 25.4^3, 1), 0), 0)</f>
        <v>0</v>
      </c>
      <c r="J124" s="55" t="n">
        <f aca="false">IFERROR(IF(AND($C124&gt;=H$15, $C124&lt;=H$16), IF(H$14&gt;1, N(MOD($C124-H$15, H$14)&lt;1), 1/H$14)*PI()*H$9/4*(H$7^2*MIN(H$10, $D123)+(H$7^2-H$8^2)*MIN(H$12, H$42))/IF($B$4, 25.4^3, 1), 0), 0)</f>
        <v>0</v>
      </c>
      <c r="K124" s="55" t="n">
        <f aca="false">IFERROR(IF(AND($C124&gt;=I$15, $C124&lt;=I$16), IF(I$14&gt;1, N(MOD($C124-I$15, I$14)&lt;1), 1/I$14)*PI()*I$9/4*(I$7^2*MIN(I$10, $D123)+(I$7^2-I$8^2)*MIN(I$12, I$42))/IF($B$4, 25.4^3, 1), 0), 0)</f>
        <v>0</v>
      </c>
      <c r="L124" s="55" t="n">
        <f aca="false">IFERROR(IF(AND($C124&gt;=J$15, $C124&lt;=J$16), IF(J$14&gt;1, N(MOD($C124-J$15, J$14)&lt;1), 1/J$14)*PI()*J$9/4*(J$7^2*MIN(J$10, $D123)+(J$7^2-J$8^2)*MIN(J$12, J$42))/IF($B$4, 25.4^3, 1), 0), 0)</f>
        <v>0</v>
      </c>
      <c r="M124" s="55" t="n">
        <f aca="false">IFERROR(IF(AND($C124&gt;=K$15, $C124&lt;=K$16), IF(K$14&gt;1, N(MOD($C124-K$15, K$14)&lt;1), 1/K$14)*PI()*K$9/4*(K$7^2*MIN(K$10, $D123)+(K$7^2-K$8^2)*MIN(K$12, K$42))/IF($B$4, 25.4^3, 1), 0), 0)</f>
        <v>0</v>
      </c>
    </row>
    <row r="125" customFormat="false" ht="15" hidden="false" customHeight="false" outlineLevel="0" collapsed="false">
      <c r="C125" s="55" t="n">
        <v>83</v>
      </c>
      <c r="D125" s="55" t="n">
        <f aca="false">MAX((D124*($N$10/IF($B$4, 16.387, 1))+E125-SUM(F125:M125))/($N$10/IF($B$4, 16.387, 1)), 0)</f>
        <v>45.1763087146555</v>
      </c>
      <c r="E125" s="55" t="n">
        <f aca="false">IF(D124&lt;$N$15, $D$40*D124^3+$E$40*D124^2+$F$40*D124+$G$40, 0) * 12^3/60*14.7</f>
        <v>182.607894362074</v>
      </c>
      <c r="F125" s="55" t="n">
        <f aca="false">IFERROR(IF(AND($C125&gt;=D$15, $C125&lt;=D$16), IF(D$14&gt;1, N(MOD($C125-D$15, D$14)&lt;1), 1/D$14)*PI()*D$9/4*(D$7^2*MIN(D$10, $D124)+(D$7^2-D$8^2)*MIN(D$12, D$42))/IF($B$4, 25.4^3, 1), 0), 0)</f>
        <v>1146.43588163421</v>
      </c>
      <c r="G125" s="55" t="n">
        <f aca="false">IFERROR(IF(AND($C125&gt;=E$15, $C125&lt;=E$16), IF(E$14&gt;1, N(MOD($C125-E$15, E$14)&lt;1), 1/E$14)*PI()*E$9/4*(E$7^2*MIN(E$10, $D124)+(E$7^2-E$8^2)*MIN(E$12, E$42))/IF($B$4, 25.4^3, 1), 0), 0)</f>
        <v>0</v>
      </c>
      <c r="H125" s="55" t="n">
        <f aca="false">IFERROR(IF(AND($C125&gt;=F$15, $C125&lt;=F$16), IF(F$14&gt;1, N(MOD($C125-F$15, F$14)&lt;1), 1/F$14)*PI()*F$9/4*(F$7^2*MIN(F$10, $D124)+(F$7^2-F$8^2)*MIN(F$12, F$42))/IF($B$4, 25.4^3, 1), 0), 0)</f>
        <v>0</v>
      </c>
      <c r="I125" s="55" t="n">
        <f aca="false">IFERROR(IF(AND($C125&gt;=G$15, $C125&lt;=G$16), IF(G$14&gt;1, N(MOD($C125-G$15, G$14)&lt;1), 1/G$14)*PI()*G$9/4*(G$7^2*MIN(G$10, $D124)+(G$7^2-G$8^2)*MIN(G$12, G$42))/IF($B$4, 25.4^3, 1), 0), 0)</f>
        <v>0</v>
      </c>
      <c r="J125" s="55" t="n">
        <f aca="false">IFERROR(IF(AND($C125&gt;=H$15, $C125&lt;=H$16), IF(H$14&gt;1, N(MOD($C125-H$15, H$14)&lt;1), 1/H$14)*PI()*H$9/4*(H$7^2*MIN(H$10, $D124)+(H$7^2-H$8^2)*MIN(H$12, H$42))/IF($B$4, 25.4^3, 1), 0), 0)</f>
        <v>0</v>
      </c>
      <c r="K125" s="55" t="n">
        <f aca="false">IFERROR(IF(AND($C125&gt;=I$15, $C125&lt;=I$16), IF(I$14&gt;1, N(MOD($C125-I$15, I$14)&lt;1), 1/I$14)*PI()*I$9/4*(I$7^2*MIN(I$10, $D124)+(I$7^2-I$8^2)*MIN(I$12, I$42))/IF($B$4, 25.4^3, 1), 0), 0)</f>
        <v>0</v>
      </c>
      <c r="L125" s="55" t="n">
        <f aca="false">IFERROR(IF(AND($C125&gt;=J$15, $C125&lt;=J$16), IF(J$14&gt;1, N(MOD($C125-J$15, J$14)&lt;1), 1/J$14)*PI()*J$9/4*(J$7^2*MIN(J$10, $D124)+(J$7^2-J$8^2)*MIN(J$12, J$42))/IF($B$4, 25.4^3, 1), 0), 0)</f>
        <v>0</v>
      </c>
      <c r="M125" s="55" t="n">
        <f aca="false">IFERROR(IF(AND($C125&gt;=K$15, $C125&lt;=K$16), IF(K$14&gt;1, N(MOD($C125-K$15, K$14)&lt;1), 1/K$14)*PI()*K$9/4*(K$7^2*MIN(K$10, $D124)+(K$7^2-K$8^2)*MIN(K$12, K$42))/IF($B$4, 25.4^3, 1), 0), 0)</f>
        <v>0</v>
      </c>
    </row>
    <row r="126" customFormat="false" ht="15" hidden="false" customHeight="false" outlineLevel="0" collapsed="false">
      <c r="C126" s="55" t="n">
        <v>84</v>
      </c>
      <c r="D126" s="55" t="n">
        <f aca="false">MAX((D125*($N$10/IF($B$4, 16.387, 1))+E126-SUM(F126:M126))/($N$10/IF($B$4, 16.387, 1)), 0)</f>
        <v>47.0940780969554</v>
      </c>
      <c r="E126" s="55" t="n">
        <f aca="false">IF(D125&lt;$N$15, $D$40*D125^3+$E$40*D125^2+$F$40*D125+$G$40, 0) * 12^3/60*14.7</f>
        <v>201.365785141488</v>
      </c>
      <c r="F126" s="55" t="n">
        <f aca="false">IFERROR(IF(AND($C126&gt;=D$15, $C126&lt;=D$16), IF(D$14&gt;1, N(MOD($C126-D$15, D$14)&lt;1), 1/D$14)*PI()*D$9/4*(D$7^2*MIN(D$10, $D125)+(D$7^2-D$8^2)*MIN(D$12, D$42))/IF($B$4, 25.4^3, 1), 0), 0)</f>
        <v>0</v>
      </c>
      <c r="G126" s="55" t="n">
        <f aca="false">IFERROR(IF(AND($C126&gt;=E$15, $C126&lt;=E$16), IF(E$14&gt;1, N(MOD($C126-E$15, E$14)&lt;1), 1/E$14)*PI()*E$9/4*(E$7^2*MIN(E$10, $D125)+(E$7^2-E$8^2)*MIN(E$12, E$42))/IF($B$4, 25.4^3, 1), 0), 0)</f>
        <v>0</v>
      </c>
      <c r="H126" s="55" t="n">
        <f aca="false">IFERROR(IF(AND($C126&gt;=F$15, $C126&lt;=F$16), IF(F$14&gt;1, N(MOD($C126-F$15, F$14)&lt;1), 1/F$14)*PI()*F$9/4*(F$7^2*MIN(F$10, $D125)+(F$7^2-F$8^2)*MIN(F$12, F$42))/IF($B$4, 25.4^3, 1), 0), 0)</f>
        <v>0</v>
      </c>
      <c r="I126" s="55" t="n">
        <f aca="false">IFERROR(IF(AND($C126&gt;=G$15, $C126&lt;=G$16), IF(G$14&gt;1, N(MOD($C126-G$15, G$14)&lt;1), 1/G$14)*PI()*G$9/4*(G$7^2*MIN(G$10, $D125)+(G$7^2-G$8^2)*MIN(G$12, G$42))/IF($B$4, 25.4^3, 1), 0), 0)</f>
        <v>0</v>
      </c>
      <c r="J126" s="55" t="n">
        <f aca="false">IFERROR(IF(AND($C126&gt;=H$15, $C126&lt;=H$16), IF(H$14&gt;1, N(MOD($C126-H$15, H$14)&lt;1), 1/H$14)*PI()*H$9/4*(H$7^2*MIN(H$10, $D125)+(H$7^2-H$8^2)*MIN(H$12, H$42))/IF($B$4, 25.4^3, 1), 0), 0)</f>
        <v>0</v>
      </c>
      <c r="K126" s="55" t="n">
        <f aca="false">IFERROR(IF(AND($C126&gt;=I$15, $C126&lt;=I$16), IF(I$14&gt;1, N(MOD($C126-I$15, I$14)&lt;1), 1/I$14)*PI()*I$9/4*(I$7^2*MIN(I$10, $D125)+(I$7^2-I$8^2)*MIN(I$12, I$42))/IF($B$4, 25.4^3, 1), 0), 0)</f>
        <v>0</v>
      </c>
      <c r="L126" s="55" t="n">
        <f aca="false">IFERROR(IF(AND($C126&gt;=J$15, $C126&lt;=J$16), IF(J$14&gt;1, N(MOD($C126-J$15, J$14)&lt;1), 1/J$14)*PI()*J$9/4*(J$7^2*MIN(J$10, $D125)+(J$7^2-J$8^2)*MIN(J$12, J$42))/IF($B$4, 25.4^3, 1), 0), 0)</f>
        <v>0</v>
      </c>
      <c r="M126" s="55" t="n">
        <f aca="false">IFERROR(IF(AND($C126&gt;=K$15, $C126&lt;=K$16), IF(K$14&gt;1, N(MOD($C126-K$15, K$14)&lt;1), 1/K$14)*PI()*K$9/4*(K$7^2*MIN(K$10, $D125)+(K$7^2-K$8^2)*MIN(K$12, K$42))/IF($B$4, 25.4^3, 1), 0), 0)</f>
        <v>0</v>
      </c>
    </row>
    <row r="127" customFormat="false" ht="15" hidden="false" customHeight="false" outlineLevel="0" collapsed="false">
      <c r="C127" s="55" t="n">
        <v>85</v>
      </c>
      <c r="D127" s="55" t="n">
        <f aca="false">MAX((D126*($N$10/IF($B$4, 16.387, 1))+E127-SUM(F127:M127))/($N$10/IF($B$4, 16.387, 1)), 0)</f>
        <v>48.9735408779152</v>
      </c>
      <c r="E127" s="55" t="n">
        <f aca="false">IF(D126&lt;$N$15, $D$40*D126^3+$E$40*D126^2+$F$40*D126+$G$40, 0) * 12^3/60*14.7</f>
        <v>197.34359200078</v>
      </c>
      <c r="F127" s="55" t="n">
        <f aca="false">IFERROR(IF(AND($C127&gt;=D$15, $C127&lt;=D$16), IF(D$14&gt;1, N(MOD($C127-D$15, D$14)&lt;1), 1/D$14)*PI()*D$9/4*(D$7^2*MIN(D$10, $D126)+(D$7^2-D$8^2)*MIN(D$12, D$42))/IF($B$4, 25.4^3, 1), 0), 0)</f>
        <v>0</v>
      </c>
      <c r="G127" s="55" t="n">
        <f aca="false">IFERROR(IF(AND($C127&gt;=E$15, $C127&lt;=E$16), IF(E$14&gt;1, N(MOD($C127-E$15, E$14)&lt;1), 1/E$14)*PI()*E$9/4*(E$7^2*MIN(E$10, $D126)+(E$7^2-E$8^2)*MIN(E$12, E$42))/IF($B$4, 25.4^3, 1), 0), 0)</f>
        <v>0</v>
      </c>
      <c r="H127" s="55" t="n">
        <f aca="false">IFERROR(IF(AND($C127&gt;=F$15, $C127&lt;=F$16), IF(F$14&gt;1, N(MOD($C127-F$15, F$14)&lt;1), 1/F$14)*PI()*F$9/4*(F$7^2*MIN(F$10, $D126)+(F$7^2-F$8^2)*MIN(F$12, F$42))/IF($B$4, 25.4^3, 1), 0), 0)</f>
        <v>0</v>
      </c>
      <c r="I127" s="55" t="n">
        <f aca="false">IFERROR(IF(AND($C127&gt;=G$15, $C127&lt;=G$16), IF(G$14&gt;1, N(MOD($C127-G$15, G$14)&lt;1), 1/G$14)*PI()*G$9/4*(G$7^2*MIN(G$10, $D126)+(G$7^2-G$8^2)*MIN(G$12, G$42))/IF($B$4, 25.4^3, 1), 0), 0)</f>
        <v>0</v>
      </c>
      <c r="J127" s="55" t="n">
        <f aca="false">IFERROR(IF(AND($C127&gt;=H$15, $C127&lt;=H$16), IF(H$14&gt;1, N(MOD($C127-H$15, H$14)&lt;1), 1/H$14)*PI()*H$9/4*(H$7^2*MIN(H$10, $D126)+(H$7^2-H$8^2)*MIN(H$12, H$42))/IF($B$4, 25.4^3, 1), 0), 0)</f>
        <v>0</v>
      </c>
      <c r="K127" s="55" t="n">
        <f aca="false">IFERROR(IF(AND($C127&gt;=I$15, $C127&lt;=I$16), IF(I$14&gt;1, N(MOD($C127-I$15, I$14)&lt;1), 1/I$14)*PI()*I$9/4*(I$7^2*MIN(I$10, $D126)+(I$7^2-I$8^2)*MIN(I$12, I$42))/IF($B$4, 25.4^3, 1), 0), 0)</f>
        <v>0</v>
      </c>
      <c r="L127" s="55" t="n">
        <f aca="false">IFERROR(IF(AND($C127&gt;=J$15, $C127&lt;=J$16), IF(J$14&gt;1, N(MOD($C127-J$15, J$14)&lt;1), 1/J$14)*PI()*J$9/4*(J$7^2*MIN(J$10, $D126)+(J$7^2-J$8^2)*MIN(J$12, J$42))/IF($B$4, 25.4^3, 1), 0), 0)</f>
        <v>0</v>
      </c>
      <c r="M127" s="55" t="n">
        <f aca="false">IFERROR(IF(AND($C127&gt;=K$15, $C127&lt;=K$16), IF(K$14&gt;1, N(MOD($C127-K$15, K$14)&lt;1), 1/K$14)*PI()*K$9/4*(K$7^2*MIN(K$10, $D126)+(K$7^2-K$8^2)*MIN(K$12, K$42))/IF($B$4, 25.4^3, 1), 0), 0)</f>
        <v>0</v>
      </c>
    </row>
    <row r="128" customFormat="false" ht="15" hidden="false" customHeight="false" outlineLevel="0" collapsed="false">
      <c r="C128" s="55" t="n">
        <v>86</v>
      </c>
      <c r="D128" s="55" t="n">
        <f aca="false">MAX((D127*($N$10/IF($B$4, 16.387, 1))+E128-SUM(F128:M128))/($N$10/IF($B$4, 16.387, 1)), 0)</f>
        <v>50.8159062419228</v>
      </c>
      <c r="E128" s="55" t="n">
        <f aca="false">IF(D127&lt;$N$15, $D$40*D127^3+$E$40*D127^2+$F$40*D127+$G$40, 0) * 12^3/60*14.7</f>
        <v>193.448363220805</v>
      </c>
      <c r="F128" s="55" t="n">
        <f aca="false">IFERROR(IF(AND($C128&gt;=D$15, $C128&lt;=D$16), IF(D$14&gt;1, N(MOD($C128-D$15, D$14)&lt;1), 1/D$14)*PI()*D$9/4*(D$7^2*MIN(D$10, $D127)+(D$7^2-D$8^2)*MIN(D$12, D$42))/IF($B$4, 25.4^3, 1), 0), 0)</f>
        <v>0</v>
      </c>
      <c r="G128" s="55" t="n">
        <f aca="false">IFERROR(IF(AND($C128&gt;=E$15, $C128&lt;=E$16), IF(E$14&gt;1, N(MOD($C128-E$15, E$14)&lt;1), 1/E$14)*PI()*E$9/4*(E$7^2*MIN(E$10, $D127)+(E$7^2-E$8^2)*MIN(E$12, E$42))/IF($B$4, 25.4^3, 1), 0), 0)</f>
        <v>0</v>
      </c>
      <c r="H128" s="55" t="n">
        <f aca="false">IFERROR(IF(AND($C128&gt;=F$15, $C128&lt;=F$16), IF(F$14&gt;1, N(MOD($C128-F$15, F$14)&lt;1), 1/F$14)*PI()*F$9/4*(F$7^2*MIN(F$10, $D127)+(F$7^2-F$8^2)*MIN(F$12, F$42))/IF($B$4, 25.4^3, 1), 0), 0)</f>
        <v>0</v>
      </c>
      <c r="I128" s="55" t="n">
        <f aca="false">IFERROR(IF(AND($C128&gt;=G$15, $C128&lt;=G$16), IF(G$14&gt;1, N(MOD($C128-G$15, G$14)&lt;1), 1/G$14)*PI()*G$9/4*(G$7^2*MIN(G$10, $D127)+(G$7^2-G$8^2)*MIN(G$12, G$42))/IF($B$4, 25.4^3, 1), 0), 0)</f>
        <v>0</v>
      </c>
      <c r="J128" s="55" t="n">
        <f aca="false">IFERROR(IF(AND($C128&gt;=H$15, $C128&lt;=H$16), IF(H$14&gt;1, N(MOD($C128-H$15, H$14)&lt;1), 1/H$14)*PI()*H$9/4*(H$7^2*MIN(H$10, $D127)+(H$7^2-H$8^2)*MIN(H$12, H$42))/IF($B$4, 25.4^3, 1), 0), 0)</f>
        <v>0</v>
      </c>
      <c r="K128" s="55" t="n">
        <f aca="false">IFERROR(IF(AND($C128&gt;=I$15, $C128&lt;=I$16), IF(I$14&gt;1, N(MOD($C128-I$15, I$14)&lt;1), 1/I$14)*PI()*I$9/4*(I$7^2*MIN(I$10, $D127)+(I$7^2-I$8^2)*MIN(I$12, I$42))/IF($B$4, 25.4^3, 1), 0), 0)</f>
        <v>0</v>
      </c>
      <c r="L128" s="55" t="n">
        <f aca="false">IFERROR(IF(AND($C128&gt;=J$15, $C128&lt;=J$16), IF(J$14&gt;1, N(MOD($C128-J$15, J$14)&lt;1), 1/J$14)*PI()*J$9/4*(J$7^2*MIN(J$10, $D127)+(J$7^2-J$8^2)*MIN(J$12, J$42))/IF($B$4, 25.4^3, 1), 0), 0)</f>
        <v>0</v>
      </c>
      <c r="M128" s="55" t="n">
        <f aca="false">IFERROR(IF(AND($C128&gt;=K$15, $C128&lt;=K$16), IF(K$14&gt;1, N(MOD($C128-K$15, K$14)&lt;1), 1/K$14)*PI()*K$9/4*(K$7^2*MIN(K$10, $D127)+(K$7^2-K$8^2)*MIN(K$12, K$42))/IF($B$4, 25.4^3, 1), 0), 0)</f>
        <v>0</v>
      </c>
    </row>
    <row r="129" customFormat="false" ht="15" hidden="false" customHeight="false" outlineLevel="0" collapsed="false">
      <c r="C129" s="55" t="n">
        <v>87</v>
      </c>
      <c r="D129" s="55" t="n">
        <f aca="false">MAX((D128*($N$10/IF($B$4, 16.387, 1))+E129-SUM(F129:M129))/($N$10/IF($B$4, 16.387, 1)), 0)</f>
        <v>52.6223933114059</v>
      </c>
      <c r="E129" s="55" t="n">
        <f aca="false">IF(D128&lt;$N$15, $D$40*D128^3+$E$40*D128^2+$F$40*D128+$G$40, 0) * 12^3/60*14.7</f>
        <v>189.681142295724</v>
      </c>
      <c r="F129" s="55" t="n">
        <f aca="false">IFERROR(IF(AND($C129&gt;=D$15, $C129&lt;=D$16), IF(D$14&gt;1, N(MOD($C129-D$15, D$14)&lt;1), 1/D$14)*PI()*D$9/4*(D$7^2*MIN(D$10, $D128)+(D$7^2-D$8^2)*MIN(D$12, D$42))/IF($B$4, 25.4^3, 1), 0), 0)</f>
        <v>0</v>
      </c>
      <c r="G129" s="55" t="n">
        <f aca="false">IFERROR(IF(AND($C129&gt;=E$15, $C129&lt;=E$16), IF(E$14&gt;1, N(MOD($C129-E$15, E$14)&lt;1), 1/E$14)*PI()*E$9/4*(E$7^2*MIN(E$10, $D128)+(E$7^2-E$8^2)*MIN(E$12, E$42))/IF($B$4, 25.4^3, 1), 0), 0)</f>
        <v>0</v>
      </c>
      <c r="H129" s="55" t="n">
        <f aca="false">IFERROR(IF(AND($C129&gt;=F$15, $C129&lt;=F$16), IF(F$14&gt;1, N(MOD($C129-F$15, F$14)&lt;1), 1/F$14)*PI()*F$9/4*(F$7^2*MIN(F$10, $D128)+(F$7^2-F$8^2)*MIN(F$12, F$42))/IF($B$4, 25.4^3, 1), 0), 0)</f>
        <v>0</v>
      </c>
      <c r="I129" s="55" t="n">
        <f aca="false">IFERROR(IF(AND($C129&gt;=G$15, $C129&lt;=G$16), IF(G$14&gt;1, N(MOD($C129-G$15, G$14)&lt;1), 1/G$14)*PI()*G$9/4*(G$7^2*MIN(G$10, $D128)+(G$7^2-G$8^2)*MIN(G$12, G$42))/IF($B$4, 25.4^3, 1), 0), 0)</f>
        <v>0</v>
      </c>
      <c r="J129" s="55" t="n">
        <f aca="false">IFERROR(IF(AND($C129&gt;=H$15, $C129&lt;=H$16), IF(H$14&gt;1, N(MOD($C129-H$15, H$14)&lt;1), 1/H$14)*PI()*H$9/4*(H$7^2*MIN(H$10, $D128)+(H$7^2-H$8^2)*MIN(H$12, H$42))/IF($B$4, 25.4^3, 1), 0), 0)</f>
        <v>0</v>
      </c>
      <c r="K129" s="55" t="n">
        <f aca="false">IFERROR(IF(AND($C129&gt;=I$15, $C129&lt;=I$16), IF(I$14&gt;1, N(MOD($C129-I$15, I$14)&lt;1), 1/I$14)*PI()*I$9/4*(I$7^2*MIN(I$10, $D128)+(I$7^2-I$8^2)*MIN(I$12, I$42))/IF($B$4, 25.4^3, 1), 0), 0)</f>
        <v>0</v>
      </c>
      <c r="L129" s="55" t="n">
        <f aca="false">IFERROR(IF(AND($C129&gt;=J$15, $C129&lt;=J$16), IF(J$14&gt;1, N(MOD($C129-J$15, J$14)&lt;1), 1/J$14)*PI()*J$9/4*(J$7^2*MIN(J$10, $D128)+(J$7^2-J$8^2)*MIN(J$12, J$42))/IF($B$4, 25.4^3, 1), 0), 0)</f>
        <v>0</v>
      </c>
      <c r="M129" s="55" t="n">
        <f aca="false">IFERROR(IF(AND($C129&gt;=K$15, $C129&lt;=K$16), IF(K$14&gt;1, N(MOD($C129-K$15, K$14)&lt;1), 1/K$14)*PI()*K$9/4*(K$7^2*MIN(K$10, $D128)+(K$7^2-K$8^2)*MIN(K$12, K$42))/IF($B$4, 25.4^3, 1), 0), 0)</f>
        <v>0</v>
      </c>
    </row>
    <row r="130" customFormat="false" ht="15" hidden="false" customHeight="false" outlineLevel="0" collapsed="false">
      <c r="C130" s="55" t="n">
        <v>88</v>
      </c>
      <c r="D130" s="55" t="n">
        <f aca="false">MAX((D129*($N$10/IF($B$4, 16.387, 1))+E130-SUM(F130:M130))/($N$10/IF($B$4, 16.387, 1)), 0)</f>
        <v>43.4757886413409</v>
      </c>
      <c r="E130" s="55" t="n">
        <f aca="false">IF(D129&lt;$N$15, $D$40*D129^3+$E$40*D129^2+$F$40*D129+$G$40, 0) * 12^3/60*14.7</f>
        <v>186.042391277388</v>
      </c>
      <c r="F130" s="55" t="n">
        <f aca="false">IFERROR(IF(AND($C130&gt;=D$15, $C130&lt;=D$16), IF(D$14&gt;1, N(MOD($C130-D$15, D$14)&lt;1), 1/D$14)*PI()*D$9/4*(D$7^2*MIN(D$10, $D129)+(D$7^2-D$8^2)*MIN(D$12, D$42))/IF($B$4, 25.4^3, 1), 0), 0)</f>
        <v>1146.43588163421</v>
      </c>
      <c r="G130" s="55" t="n">
        <f aca="false">IFERROR(IF(AND($C130&gt;=E$15, $C130&lt;=E$16), IF(E$14&gt;1, N(MOD($C130-E$15, E$14)&lt;1), 1/E$14)*PI()*E$9/4*(E$7^2*MIN(E$10, $D129)+(E$7^2-E$8^2)*MIN(E$12, E$42))/IF($B$4, 25.4^3, 1), 0), 0)</f>
        <v>0</v>
      </c>
      <c r="H130" s="55" t="n">
        <f aca="false">IFERROR(IF(AND($C130&gt;=F$15, $C130&lt;=F$16), IF(F$14&gt;1, N(MOD($C130-F$15, F$14)&lt;1), 1/F$14)*PI()*F$9/4*(F$7^2*MIN(F$10, $D129)+(F$7^2-F$8^2)*MIN(F$12, F$42))/IF($B$4, 25.4^3, 1), 0), 0)</f>
        <v>0</v>
      </c>
      <c r="I130" s="55" t="n">
        <f aca="false">IFERROR(IF(AND($C130&gt;=G$15, $C130&lt;=G$16), IF(G$14&gt;1, N(MOD($C130-G$15, G$14)&lt;1), 1/G$14)*PI()*G$9/4*(G$7^2*MIN(G$10, $D129)+(G$7^2-G$8^2)*MIN(G$12, G$42))/IF($B$4, 25.4^3, 1), 0), 0)</f>
        <v>0</v>
      </c>
      <c r="J130" s="55" t="n">
        <f aca="false">IFERROR(IF(AND($C130&gt;=H$15, $C130&lt;=H$16), IF(H$14&gt;1, N(MOD($C130-H$15, H$14)&lt;1), 1/H$14)*PI()*H$9/4*(H$7^2*MIN(H$10, $D129)+(H$7^2-H$8^2)*MIN(H$12, H$42))/IF($B$4, 25.4^3, 1), 0), 0)</f>
        <v>0</v>
      </c>
      <c r="K130" s="55" t="n">
        <f aca="false">IFERROR(IF(AND($C130&gt;=I$15, $C130&lt;=I$16), IF(I$14&gt;1, N(MOD($C130-I$15, I$14)&lt;1), 1/I$14)*PI()*I$9/4*(I$7^2*MIN(I$10, $D129)+(I$7^2-I$8^2)*MIN(I$12, I$42))/IF($B$4, 25.4^3, 1), 0), 0)</f>
        <v>0</v>
      </c>
      <c r="L130" s="55" t="n">
        <f aca="false">IFERROR(IF(AND($C130&gt;=J$15, $C130&lt;=J$16), IF(J$14&gt;1, N(MOD($C130-J$15, J$14)&lt;1), 1/J$14)*PI()*J$9/4*(J$7^2*MIN(J$10, $D129)+(J$7^2-J$8^2)*MIN(J$12, J$42))/IF($B$4, 25.4^3, 1), 0), 0)</f>
        <v>0</v>
      </c>
      <c r="M130" s="55" t="n">
        <f aca="false">IFERROR(IF(AND($C130&gt;=K$15, $C130&lt;=K$16), IF(K$14&gt;1, N(MOD($C130-K$15, K$14)&lt;1), 1/K$14)*PI()*K$9/4*(K$7^2*MIN(K$10, $D129)+(K$7^2-K$8^2)*MIN(K$12, K$42))/IF($B$4, 25.4^3, 1), 0), 0)</f>
        <v>0</v>
      </c>
    </row>
    <row r="131" customFormat="false" ht="15" hidden="false" customHeight="false" outlineLevel="0" collapsed="false">
      <c r="C131" s="55" t="n">
        <v>89</v>
      </c>
      <c r="D131" s="55" t="n">
        <f aca="false">MAX((D130*($N$10/IF($B$4, 16.387, 1))+E131-SUM(F131:M131))/($N$10/IF($B$4, 16.387, 1)), 0)</f>
        <v>45.427855268633</v>
      </c>
      <c r="E131" s="55" t="n">
        <f aca="false">IF(D130&lt;$N$15, $D$40*D130^3+$E$40*D130^2+$F$40*D130+$G$40, 0) * 12^3/60*14.7</f>
        <v>204.966995865665</v>
      </c>
      <c r="F131" s="55" t="n">
        <f aca="false">IFERROR(IF(AND($C131&gt;=D$15, $C131&lt;=D$16), IF(D$14&gt;1, N(MOD($C131-D$15, D$14)&lt;1), 1/D$14)*PI()*D$9/4*(D$7^2*MIN(D$10, $D130)+(D$7^2-D$8^2)*MIN(D$12, D$42))/IF($B$4, 25.4^3, 1), 0), 0)</f>
        <v>0</v>
      </c>
      <c r="G131" s="55" t="n">
        <f aca="false">IFERROR(IF(AND($C131&gt;=E$15, $C131&lt;=E$16), IF(E$14&gt;1, N(MOD($C131-E$15, E$14)&lt;1), 1/E$14)*PI()*E$9/4*(E$7^2*MIN(E$10, $D130)+(E$7^2-E$8^2)*MIN(E$12, E$42))/IF($B$4, 25.4^3, 1), 0), 0)</f>
        <v>0</v>
      </c>
      <c r="H131" s="55" t="n">
        <f aca="false">IFERROR(IF(AND($C131&gt;=F$15, $C131&lt;=F$16), IF(F$14&gt;1, N(MOD($C131-F$15, F$14)&lt;1), 1/F$14)*PI()*F$9/4*(F$7^2*MIN(F$10, $D130)+(F$7^2-F$8^2)*MIN(F$12, F$42))/IF($B$4, 25.4^3, 1), 0), 0)</f>
        <v>0</v>
      </c>
      <c r="I131" s="55" t="n">
        <f aca="false">IFERROR(IF(AND($C131&gt;=G$15, $C131&lt;=G$16), IF(G$14&gt;1, N(MOD($C131-G$15, G$14)&lt;1), 1/G$14)*PI()*G$9/4*(G$7^2*MIN(G$10, $D130)+(G$7^2-G$8^2)*MIN(G$12, G$42))/IF($B$4, 25.4^3, 1), 0), 0)</f>
        <v>0</v>
      </c>
      <c r="J131" s="55" t="n">
        <f aca="false">IFERROR(IF(AND($C131&gt;=H$15, $C131&lt;=H$16), IF(H$14&gt;1, N(MOD($C131-H$15, H$14)&lt;1), 1/H$14)*PI()*H$9/4*(H$7^2*MIN(H$10, $D130)+(H$7^2-H$8^2)*MIN(H$12, H$42))/IF($B$4, 25.4^3, 1), 0), 0)</f>
        <v>0</v>
      </c>
      <c r="K131" s="55" t="n">
        <f aca="false">IFERROR(IF(AND($C131&gt;=I$15, $C131&lt;=I$16), IF(I$14&gt;1, N(MOD($C131-I$15, I$14)&lt;1), 1/I$14)*PI()*I$9/4*(I$7^2*MIN(I$10, $D130)+(I$7^2-I$8^2)*MIN(I$12, I$42))/IF($B$4, 25.4^3, 1), 0), 0)</f>
        <v>0</v>
      </c>
      <c r="L131" s="55" t="n">
        <f aca="false">IFERROR(IF(AND($C131&gt;=J$15, $C131&lt;=J$16), IF(J$14&gt;1, N(MOD($C131-J$15, J$14)&lt;1), 1/J$14)*PI()*J$9/4*(J$7^2*MIN(J$10, $D130)+(J$7^2-J$8^2)*MIN(J$12, J$42))/IF($B$4, 25.4^3, 1), 0), 0)</f>
        <v>0</v>
      </c>
      <c r="M131" s="55" t="n">
        <f aca="false">IFERROR(IF(AND($C131&gt;=K$15, $C131&lt;=K$16), IF(K$14&gt;1, N(MOD($C131-K$15, K$14)&lt;1), 1/K$14)*PI()*K$9/4*(K$7^2*MIN(K$10, $D130)+(K$7^2-K$8^2)*MIN(K$12, K$42))/IF($B$4, 25.4^3, 1), 0), 0)</f>
        <v>0</v>
      </c>
    </row>
    <row r="132" customFormat="false" ht="15" hidden="false" customHeight="false" outlineLevel="0" collapsed="false">
      <c r="C132" s="55" t="n">
        <v>90</v>
      </c>
      <c r="D132" s="55" t="n">
        <f aca="false">MAX((D131*($N$10/IF($B$4, 16.387, 1))+E132-SUM(F132:M132))/($N$10/IF($B$4, 16.387, 1)), 0)</f>
        <v>47.3405763577481</v>
      </c>
      <c r="E132" s="55" t="n">
        <f aca="false">IF(D131&lt;$N$15, $D$40*D131^3+$E$40*D131^2+$F$40*D131+$G$40, 0) * 12^3/60*14.7</f>
        <v>200.835714357086</v>
      </c>
      <c r="F132" s="55" t="n">
        <f aca="false">IFERROR(IF(AND($C132&gt;=D$15, $C132&lt;=D$16), IF(D$14&gt;1, N(MOD($C132-D$15, D$14)&lt;1), 1/D$14)*PI()*D$9/4*(D$7^2*MIN(D$10, $D131)+(D$7^2-D$8^2)*MIN(D$12, D$42))/IF($B$4, 25.4^3, 1), 0), 0)</f>
        <v>0</v>
      </c>
      <c r="G132" s="55" t="n">
        <f aca="false">IFERROR(IF(AND($C132&gt;=E$15, $C132&lt;=E$16), IF(E$14&gt;1, N(MOD($C132-E$15, E$14)&lt;1), 1/E$14)*PI()*E$9/4*(E$7^2*MIN(E$10, $D131)+(E$7^2-E$8^2)*MIN(E$12, E$42))/IF($B$4, 25.4^3, 1), 0), 0)</f>
        <v>0</v>
      </c>
      <c r="H132" s="55" t="n">
        <f aca="false">IFERROR(IF(AND($C132&gt;=F$15, $C132&lt;=F$16), IF(F$14&gt;1, N(MOD($C132-F$15, F$14)&lt;1), 1/F$14)*PI()*F$9/4*(F$7^2*MIN(F$10, $D131)+(F$7^2-F$8^2)*MIN(F$12, F$42))/IF($B$4, 25.4^3, 1), 0), 0)</f>
        <v>0</v>
      </c>
      <c r="I132" s="55" t="n">
        <f aca="false">IFERROR(IF(AND($C132&gt;=G$15, $C132&lt;=G$16), IF(G$14&gt;1, N(MOD($C132-G$15, G$14)&lt;1), 1/G$14)*PI()*G$9/4*(G$7^2*MIN(G$10, $D131)+(G$7^2-G$8^2)*MIN(G$12, G$42))/IF($B$4, 25.4^3, 1), 0), 0)</f>
        <v>0</v>
      </c>
      <c r="J132" s="55" t="n">
        <f aca="false">IFERROR(IF(AND($C132&gt;=H$15, $C132&lt;=H$16), IF(H$14&gt;1, N(MOD($C132-H$15, H$14)&lt;1), 1/H$14)*PI()*H$9/4*(H$7^2*MIN(H$10, $D131)+(H$7^2-H$8^2)*MIN(H$12, H$42))/IF($B$4, 25.4^3, 1), 0), 0)</f>
        <v>0</v>
      </c>
      <c r="K132" s="55" t="n">
        <f aca="false">IFERROR(IF(AND($C132&gt;=I$15, $C132&lt;=I$16), IF(I$14&gt;1, N(MOD($C132-I$15, I$14)&lt;1), 1/I$14)*PI()*I$9/4*(I$7^2*MIN(I$10, $D131)+(I$7^2-I$8^2)*MIN(I$12, I$42))/IF($B$4, 25.4^3, 1), 0), 0)</f>
        <v>0</v>
      </c>
      <c r="L132" s="55" t="n">
        <f aca="false">IFERROR(IF(AND($C132&gt;=J$15, $C132&lt;=J$16), IF(J$14&gt;1, N(MOD($C132-J$15, J$14)&lt;1), 1/J$14)*PI()*J$9/4*(J$7^2*MIN(J$10, $D131)+(J$7^2-J$8^2)*MIN(J$12, J$42))/IF($B$4, 25.4^3, 1), 0), 0)</f>
        <v>0</v>
      </c>
      <c r="M132" s="55" t="n">
        <f aca="false">IFERROR(IF(AND($C132&gt;=K$15, $C132&lt;=K$16), IF(K$14&gt;1, N(MOD($C132-K$15, K$14)&lt;1), 1/K$14)*PI()*K$9/4*(K$7^2*MIN(K$10, $D131)+(K$7^2-K$8^2)*MIN(K$12, K$42))/IF($B$4, 25.4^3, 1), 0), 0)</f>
        <v>0</v>
      </c>
    </row>
    <row r="133" customFormat="false" ht="15" hidden="false" customHeight="false" outlineLevel="0" collapsed="false">
      <c r="C133" s="55" t="n">
        <v>91</v>
      </c>
      <c r="D133" s="55" t="n">
        <f aca="false">MAX((D132*($N$10/IF($B$4, 16.387, 1))+E133-SUM(F133:M133))/($N$10/IF($B$4, 16.387, 1)), 0)</f>
        <v>49.215147278565</v>
      </c>
      <c r="E133" s="55" t="n">
        <f aca="false">IF(D132&lt;$N$15, $D$40*D132^3+$E$40*D132^2+$F$40*D132+$G$40, 0) * 12^3/60*14.7</f>
        <v>196.829946685778</v>
      </c>
      <c r="F133" s="55" t="n">
        <f aca="false">IFERROR(IF(AND($C133&gt;=D$15, $C133&lt;=D$16), IF(D$14&gt;1, N(MOD($C133-D$15, D$14)&lt;1), 1/D$14)*PI()*D$9/4*(D$7^2*MIN(D$10, $D132)+(D$7^2-D$8^2)*MIN(D$12, D$42))/IF($B$4, 25.4^3, 1), 0), 0)</f>
        <v>0</v>
      </c>
      <c r="G133" s="55" t="n">
        <f aca="false">IFERROR(IF(AND($C133&gt;=E$15, $C133&lt;=E$16), IF(E$14&gt;1, N(MOD($C133-E$15, E$14)&lt;1), 1/E$14)*PI()*E$9/4*(E$7^2*MIN(E$10, $D132)+(E$7^2-E$8^2)*MIN(E$12, E$42))/IF($B$4, 25.4^3, 1), 0), 0)</f>
        <v>0</v>
      </c>
      <c r="H133" s="55" t="n">
        <f aca="false">IFERROR(IF(AND($C133&gt;=F$15, $C133&lt;=F$16), IF(F$14&gt;1, N(MOD($C133-F$15, F$14)&lt;1), 1/F$14)*PI()*F$9/4*(F$7^2*MIN(F$10, $D132)+(F$7^2-F$8^2)*MIN(F$12, F$42))/IF($B$4, 25.4^3, 1), 0), 0)</f>
        <v>0</v>
      </c>
      <c r="I133" s="55" t="n">
        <f aca="false">IFERROR(IF(AND($C133&gt;=G$15, $C133&lt;=G$16), IF(G$14&gt;1, N(MOD($C133-G$15, G$14)&lt;1), 1/G$14)*PI()*G$9/4*(G$7^2*MIN(G$10, $D132)+(G$7^2-G$8^2)*MIN(G$12, G$42))/IF($B$4, 25.4^3, 1), 0), 0)</f>
        <v>0</v>
      </c>
      <c r="J133" s="55" t="n">
        <f aca="false">IFERROR(IF(AND($C133&gt;=H$15, $C133&lt;=H$16), IF(H$14&gt;1, N(MOD($C133-H$15, H$14)&lt;1), 1/H$14)*PI()*H$9/4*(H$7^2*MIN(H$10, $D132)+(H$7^2-H$8^2)*MIN(H$12, H$42))/IF($B$4, 25.4^3, 1), 0), 0)</f>
        <v>0</v>
      </c>
      <c r="K133" s="55" t="n">
        <f aca="false">IFERROR(IF(AND($C133&gt;=I$15, $C133&lt;=I$16), IF(I$14&gt;1, N(MOD($C133-I$15, I$14)&lt;1), 1/I$14)*PI()*I$9/4*(I$7^2*MIN(I$10, $D132)+(I$7^2-I$8^2)*MIN(I$12, I$42))/IF($B$4, 25.4^3, 1), 0), 0)</f>
        <v>0</v>
      </c>
      <c r="L133" s="55" t="n">
        <f aca="false">IFERROR(IF(AND($C133&gt;=J$15, $C133&lt;=J$16), IF(J$14&gt;1, N(MOD($C133-J$15, J$14)&lt;1), 1/J$14)*PI()*J$9/4*(J$7^2*MIN(J$10, $D132)+(J$7^2-J$8^2)*MIN(J$12, J$42))/IF($B$4, 25.4^3, 1), 0), 0)</f>
        <v>0</v>
      </c>
      <c r="M133" s="55" t="n">
        <f aca="false">IFERROR(IF(AND($C133&gt;=K$15, $C133&lt;=K$16), IF(K$14&gt;1, N(MOD($C133-K$15, K$14)&lt;1), 1/K$14)*PI()*K$9/4*(K$7^2*MIN(K$10, $D132)+(K$7^2-K$8^2)*MIN(K$12, K$42))/IF($B$4, 25.4^3, 1), 0), 0)</f>
        <v>0</v>
      </c>
    </row>
    <row r="134" customFormat="false" ht="15" hidden="false" customHeight="false" outlineLevel="0" collapsed="false">
      <c r="C134" s="55" t="n">
        <v>92</v>
      </c>
      <c r="D134" s="55" t="n">
        <f aca="false">MAX((D133*($N$10/IF($B$4, 16.387, 1))+E134-SUM(F134:M134))/($N$10/IF($B$4, 16.387, 1)), 0)</f>
        <v>51.0527788501616</v>
      </c>
      <c r="E134" s="55" t="n">
        <f aca="false">IF(D133&lt;$N$15, $D$40*D133^3+$E$40*D133^2+$F$40*D133+$G$40, 0) * 12^3/60*14.7</f>
        <v>192.951315017648</v>
      </c>
      <c r="F134" s="55" t="n">
        <f aca="false">IFERROR(IF(AND($C134&gt;=D$15, $C134&lt;=D$16), IF(D$14&gt;1, N(MOD($C134-D$15, D$14)&lt;1), 1/D$14)*PI()*D$9/4*(D$7^2*MIN(D$10, $D133)+(D$7^2-D$8^2)*MIN(D$12, D$42))/IF($B$4, 25.4^3, 1), 0), 0)</f>
        <v>0</v>
      </c>
      <c r="G134" s="55" t="n">
        <f aca="false">IFERROR(IF(AND($C134&gt;=E$15, $C134&lt;=E$16), IF(E$14&gt;1, N(MOD($C134-E$15, E$14)&lt;1), 1/E$14)*PI()*E$9/4*(E$7^2*MIN(E$10, $D133)+(E$7^2-E$8^2)*MIN(E$12, E$42))/IF($B$4, 25.4^3, 1), 0), 0)</f>
        <v>0</v>
      </c>
      <c r="H134" s="55" t="n">
        <f aca="false">IFERROR(IF(AND($C134&gt;=F$15, $C134&lt;=F$16), IF(F$14&gt;1, N(MOD($C134-F$15, F$14)&lt;1), 1/F$14)*PI()*F$9/4*(F$7^2*MIN(F$10, $D133)+(F$7^2-F$8^2)*MIN(F$12, F$42))/IF($B$4, 25.4^3, 1), 0), 0)</f>
        <v>0</v>
      </c>
      <c r="I134" s="55" t="n">
        <f aca="false">IFERROR(IF(AND($C134&gt;=G$15, $C134&lt;=G$16), IF(G$14&gt;1, N(MOD($C134-G$15, G$14)&lt;1), 1/G$14)*PI()*G$9/4*(G$7^2*MIN(G$10, $D133)+(G$7^2-G$8^2)*MIN(G$12, G$42))/IF($B$4, 25.4^3, 1), 0), 0)</f>
        <v>0</v>
      </c>
      <c r="J134" s="55" t="n">
        <f aca="false">IFERROR(IF(AND($C134&gt;=H$15, $C134&lt;=H$16), IF(H$14&gt;1, N(MOD($C134-H$15, H$14)&lt;1), 1/H$14)*PI()*H$9/4*(H$7^2*MIN(H$10, $D133)+(H$7^2-H$8^2)*MIN(H$12, H$42))/IF($B$4, 25.4^3, 1), 0), 0)</f>
        <v>0</v>
      </c>
      <c r="K134" s="55" t="n">
        <f aca="false">IFERROR(IF(AND($C134&gt;=I$15, $C134&lt;=I$16), IF(I$14&gt;1, N(MOD($C134-I$15, I$14)&lt;1), 1/I$14)*PI()*I$9/4*(I$7^2*MIN(I$10, $D133)+(I$7^2-I$8^2)*MIN(I$12, I$42))/IF($B$4, 25.4^3, 1), 0), 0)</f>
        <v>0</v>
      </c>
      <c r="L134" s="55" t="n">
        <f aca="false">IFERROR(IF(AND($C134&gt;=J$15, $C134&lt;=J$16), IF(J$14&gt;1, N(MOD($C134-J$15, J$14)&lt;1), 1/J$14)*PI()*J$9/4*(J$7^2*MIN(J$10, $D133)+(J$7^2-J$8^2)*MIN(J$12, J$42))/IF($B$4, 25.4^3, 1), 0), 0)</f>
        <v>0</v>
      </c>
      <c r="M134" s="55" t="n">
        <f aca="false">IFERROR(IF(AND($C134&gt;=K$15, $C134&lt;=K$16), IF(K$14&gt;1, N(MOD($C134-K$15, K$14)&lt;1), 1/K$14)*PI()*K$9/4*(K$7^2*MIN(K$10, $D133)+(K$7^2-K$8^2)*MIN(K$12, K$42))/IF($B$4, 25.4^3, 1), 0), 0)</f>
        <v>0</v>
      </c>
    </row>
    <row r="135" customFormat="false" ht="15" hidden="false" customHeight="false" outlineLevel="0" collapsed="false">
      <c r="C135" s="55" t="n">
        <v>93</v>
      </c>
      <c r="D135" s="55" t="n">
        <f aca="false">MAX((D134*($N$10/IF($B$4, 16.387, 1))+E135-SUM(F135:M135))/($N$10/IF($B$4, 16.387, 1)), 0)</f>
        <v>41.9362540949441</v>
      </c>
      <c r="E135" s="55" t="n">
        <f aca="false">IF(D134&lt;$N$15, $D$40*D134^3+$E$40*D134^2+$F$40*D134+$G$40, 0) * 12^3/60*14.7</f>
        <v>189.200782336376</v>
      </c>
      <c r="F135" s="55" t="n">
        <f aca="false">IFERROR(IF(AND($C135&gt;=D$15, $C135&lt;=D$16), IF(D$14&gt;1, N(MOD($C135-D$15, D$14)&lt;1), 1/D$14)*PI()*D$9/4*(D$7^2*MIN(D$10, $D134)+(D$7^2-D$8^2)*MIN(D$12, D$42))/IF($B$4, 25.4^3, 1), 0), 0)</f>
        <v>1146.43588163421</v>
      </c>
      <c r="G135" s="55" t="n">
        <f aca="false">IFERROR(IF(AND($C135&gt;=E$15, $C135&lt;=E$16), IF(E$14&gt;1, N(MOD($C135-E$15, E$14)&lt;1), 1/E$14)*PI()*E$9/4*(E$7^2*MIN(E$10, $D134)+(E$7^2-E$8^2)*MIN(E$12, E$42))/IF($B$4, 25.4^3, 1), 0), 0)</f>
        <v>0</v>
      </c>
      <c r="H135" s="55" t="n">
        <f aca="false">IFERROR(IF(AND($C135&gt;=F$15, $C135&lt;=F$16), IF(F$14&gt;1, N(MOD($C135-F$15, F$14)&lt;1), 1/F$14)*PI()*F$9/4*(F$7^2*MIN(F$10, $D134)+(F$7^2-F$8^2)*MIN(F$12, F$42))/IF($B$4, 25.4^3, 1), 0), 0)</f>
        <v>0</v>
      </c>
      <c r="I135" s="55" t="n">
        <f aca="false">IFERROR(IF(AND($C135&gt;=G$15, $C135&lt;=G$16), IF(G$14&gt;1, N(MOD($C135-G$15, G$14)&lt;1), 1/G$14)*PI()*G$9/4*(G$7^2*MIN(G$10, $D134)+(G$7^2-G$8^2)*MIN(G$12, G$42))/IF($B$4, 25.4^3, 1), 0), 0)</f>
        <v>0</v>
      </c>
      <c r="J135" s="55" t="n">
        <f aca="false">IFERROR(IF(AND($C135&gt;=H$15, $C135&lt;=H$16), IF(H$14&gt;1, N(MOD($C135-H$15, H$14)&lt;1), 1/H$14)*PI()*H$9/4*(H$7^2*MIN(H$10, $D134)+(H$7^2-H$8^2)*MIN(H$12, H$42))/IF($B$4, 25.4^3, 1), 0), 0)</f>
        <v>0</v>
      </c>
      <c r="K135" s="55" t="n">
        <f aca="false">IFERROR(IF(AND($C135&gt;=I$15, $C135&lt;=I$16), IF(I$14&gt;1, N(MOD($C135-I$15, I$14)&lt;1), 1/I$14)*PI()*I$9/4*(I$7^2*MIN(I$10, $D134)+(I$7^2-I$8^2)*MIN(I$12, I$42))/IF($B$4, 25.4^3, 1), 0), 0)</f>
        <v>0</v>
      </c>
      <c r="L135" s="55" t="n">
        <f aca="false">IFERROR(IF(AND($C135&gt;=J$15, $C135&lt;=J$16), IF(J$14&gt;1, N(MOD($C135-J$15, J$14)&lt;1), 1/J$14)*PI()*J$9/4*(J$7^2*MIN(J$10, $D134)+(J$7^2-J$8^2)*MIN(J$12, J$42))/IF($B$4, 25.4^3, 1), 0), 0)</f>
        <v>0</v>
      </c>
      <c r="M135" s="55" t="n">
        <f aca="false">IFERROR(IF(AND($C135&gt;=K$15, $C135&lt;=K$16), IF(K$14&gt;1, N(MOD($C135-K$15, K$14)&lt;1), 1/K$14)*PI()*K$9/4*(K$7^2*MIN(K$10, $D134)+(K$7^2-K$8^2)*MIN(K$12, K$42))/IF($B$4, 25.4^3, 1), 0), 0)</f>
        <v>0</v>
      </c>
    </row>
    <row r="136" customFormat="false" ht="15" hidden="false" customHeight="false" outlineLevel="0" collapsed="false">
      <c r="C136" s="55" t="n">
        <v>94</v>
      </c>
      <c r="D136" s="55" t="n">
        <f aca="false">MAX((D135*($N$10/IF($B$4, 16.387, 1))+E136-SUM(F136:M136))/($N$10/IF($B$4, 16.387, 1)), 0)</f>
        <v>43.9195986203001</v>
      </c>
      <c r="E136" s="55" t="n">
        <f aca="false">IF(D135&lt;$N$15, $D$40*D135^3+$E$40*D135^2+$F$40*D135+$G$40, 0) * 12^3/60*14.7</f>
        <v>208.251175162374</v>
      </c>
      <c r="F136" s="55" t="n">
        <f aca="false">IFERROR(IF(AND($C136&gt;=D$15, $C136&lt;=D$16), IF(D$14&gt;1, N(MOD($C136-D$15, D$14)&lt;1), 1/D$14)*PI()*D$9/4*(D$7^2*MIN(D$10, $D135)+(D$7^2-D$8^2)*MIN(D$12, D$42))/IF($B$4, 25.4^3, 1), 0), 0)</f>
        <v>0</v>
      </c>
      <c r="G136" s="55" t="n">
        <f aca="false">IFERROR(IF(AND($C136&gt;=E$15, $C136&lt;=E$16), IF(E$14&gt;1, N(MOD($C136-E$15, E$14)&lt;1), 1/E$14)*PI()*E$9/4*(E$7^2*MIN(E$10, $D135)+(E$7^2-E$8^2)*MIN(E$12, E$42))/IF($B$4, 25.4^3, 1), 0), 0)</f>
        <v>0</v>
      </c>
      <c r="H136" s="55" t="n">
        <f aca="false">IFERROR(IF(AND($C136&gt;=F$15, $C136&lt;=F$16), IF(F$14&gt;1, N(MOD($C136-F$15, F$14)&lt;1), 1/F$14)*PI()*F$9/4*(F$7^2*MIN(F$10, $D135)+(F$7^2-F$8^2)*MIN(F$12, F$42))/IF($B$4, 25.4^3, 1), 0), 0)</f>
        <v>0</v>
      </c>
      <c r="I136" s="55" t="n">
        <f aca="false">IFERROR(IF(AND($C136&gt;=G$15, $C136&lt;=G$16), IF(G$14&gt;1, N(MOD($C136-G$15, G$14)&lt;1), 1/G$14)*PI()*G$9/4*(G$7^2*MIN(G$10, $D135)+(G$7^2-G$8^2)*MIN(G$12, G$42))/IF($B$4, 25.4^3, 1), 0), 0)</f>
        <v>0</v>
      </c>
      <c r="J136" s="55" t="n">
        <f aca="false">IFERROR(IF(AND($C136&gt;=H$15, $C136&lt;=H$16), IF(H$14&gt;1, N(MOD($C136-H$15, H$14)&lt;1), 1/H$14)*PI()*H$9/4*(H$7^2*MIN(H$10, $D135)+(H$7^2-H$8^2)*MIN(H$12, H$42))/IF($B$4, 25.4^3, 1), 0), 0)</f>
        <v>0</v>
      </c>
      <c r="K136" s="55" t="n">
        <f aca="false">IFERROR(IF(AND($C136&gt;=I$15, $C136&lt;=I$16), IF(I$14&gt;1, N(MOD($C136-I$15, I$14)&lt;1), 1/I$14)*PI()*I$9/4*(I$7^2*MIN(I$10, $D135)+(I$7^2-I$8^2)*MIN(I$12, I$42))/IF($B$4, 25.4^3, 1), 0), 0)</f>
        <v>0</v>
      </c>
      <c r="L136" s="55" t="n">
        <f aca="false">IFERROR(IF(AND($C136&gt;=J$15, $C136&lt;=J$16), IF(J$14&gt;1, N(MOD($C136-J$15, J$14)&lt;1), 1/J$14)*PI()*J$9/4*(J$7^2*MIN(J$10, $D135)+(J$7^2-J$8^2)*MIN(J$12, J$42))/IF($B$4, 25.4^3, 1), 0), 0)</f>
        <v>0</v>
      </c>
      <c r="M136" s="55" t="n">
        <f aca="false">IFERROR(IF(AND($C136&gt;=K$15, $C136&lt;=K$16), IF(K$14&gt;1, N(MOD($C136-K$15, K$14)&lt;1), 1/K$14)*PI()*K$9/4*(K$7^2*MIN(K$10, $D135)+(K$7^2-K$8^2)*MIN(K$12, K$42))/IF($B$4, 25.4^3, 1), 0), 0)</f>
        <v>0</v>
      </c>
    </row>
    <row r="137" customFormat="false" ht="15" hidden="false" customHeight="false" outlineLevel="0" collapsed="false">
      <c r="C137" s="55" t="n">
        <v>95</v>
      </c>
      <c r="D137" s="55" t="n">
        <f aca="false">MAX((D136*($N$10/IF($B$4, 16.387, 1))+E137-SUM(F137:M137))/($N$10/IF($B$4, 16.387, 1)), 0)</f>
        <v>45.8626870229154</v>
      </c>
      <c r="E137" s="55" t="n">
        <f aca="false">IF(D136&lt;$N$15, $D$40*D136^3+$E$40*D136^2+$F$40*D136+$G$40, 0) * 12^3/60*14.7</f>
        <v>204.024282274607</v>
      </c>
      <c r="F137" s="55" t="n">
        <f aca="false">IFERROR(IF(AND($C137&gt;=D$15, $C137&lt;=D$16), IF(D$14&gt;1, N(MOD($C137-D$15, D$14)&lt;1), 1/D$14)*PI()*D$9/4*(D$7^2*MIN(D$10, $D136)+(D$7^2-D$8^2)*MIN(D$12, D$42))/IF($B$4, 25.4^3, 1), 0), 0)</f>
        <v>0</v>
      </c>
      <c r="G137" s="55" t="n">
        <f aca="false">IFERROR(IF(AND($C137&gt;=E$15, $C137&lt;=E$16), IF(E$14&gt;1, N(MOD($C137-E$15, E$14)&lt;1), 1/E$14)*PI()*E$9/4*(E$7^2*MIN(E$10, $D136)+(E$7^2-E$8^2)*MIN(E$12, E$42))/IF($B$4, 25.4^3, 1), 0), 0)</f>
        <v>0</v>
      </c>
      <c r="H137" s="55" t="n">
        <f aca="false">IFERROR(IF(AND($C137&gt;=F$15, $C137&lt;=F$16), IF(F$14&gt;1, N(MOD($C137-F$15, F$14)&lt;1), 1/F$14)*PI()*F$9/4*(F$7^2*MIN(F$10, $D136)+(F$7^2-F$8^2)*MIN(F$12, F$42))/IF($B$4, 25.4^3, 1), 0), 0)</f>
        <v>0</v>
      </c>
      <c r="I137" s="55" t="n">
        <f aca="false">IFERROR(IF(AND($C137&gt;=G$15, $C137&lt;=G$16), IF(G$14&gt;1, N(MOD($C137-G$15, G$14)&lt;1), 1/G$14)*PI()*G$9/4*(G$7^2*MIN(G$10, $D136)+(G$7^2-G$8^2)*MIN(G$12, G$42))/IF($B$4, 25.4^3, 1), 0), 0)</f>
        <v>0</v>
      </c>
      <c r="J137" s="55" t="n">
        <f aca="false">IFERROR(IF(AND($C137&gt;=H$15, $C137&lt;=H$16), IF(H$14&gt;1, N(MOD($C137-H$15, H$14)&lt;1), 1/H$14)*PI()*H$9/4*(H$7^2*MIN(H$10, $D136)+(H$7^2-H$8^2)*MIN(H$12, H$42))/IF($B$4, 25.4^3, 1), 0), 0)</f>
        <v>0</v>
      </c>
      <c r="K137" s="55" t="n">
        <f aca="false">IFERROR(IF(AND($C137&gt;=I$15, $C137&lt;=I$16), IF(I$14&gt;1, N(MOD($C137-I$15, I$14)&lt;1), 1/I$14)*PI()*I$9/4*(I$7^2*MIN(I$10, $D136)+(I$7^2-I$8^2)*MIN(I$12, I$42))/IF($B$4, 25.4^3, 1), 0), 0)</f>
        <v>0</v>
      </c>
      <c r="L137" s="55" t="n">
        <f aca="false">IFERROR(IF(AND($C137&gt;=J$15, $C137&lt;=J$16), IF(J$14&gt;1, N(MOD($C137-J$15, J$14)&lt;1), 1/J$14)*PI()*J$9/4*(J$7^2*MIN(J$10, $D136)+(J$7^2-J$8^2)*MIN(J$12, J$42))/IF($B$4, 25.4^3, 1), 0), 0)</f>
        <v>0</v>
      </c>
      <c r="M137" s="55" t="n">
        <f aca="false">IFERROR(IF(AND($C137&gt;=K$15, $C137&lt;=K$16), IF(K$14&gt;1, N(MOD($C137-K$15, K$14)&lt;1), 1/K$14)*PI()*K$9/4*(K$7^2*MIN(K$10, $D136)+(K$7^2-K$8^2)*MIN(K$12, K$42))/IF($B$4, 25.4^3, 1), 0), 0)</f>
        <v>0</v>
      </c>
    </row>
    <row r="138" customFormat="false" ht="15" hidden="false" customHeight="false" outlineLevel="0" collapsed="false">
      <c r="C138" s="55" t="n">
        <v>96</v>
      </c>
      <c r="D138" s="55" t="n">
        <f aca="false">MAX((D137*($N$10/IF($B$4, 16.387, 1))+E138-SUM(F138:M138))/($N$10/IF($B$4, 16.387, 1)), 0)</f>
        <v>47.7666978115676</v>
      </c>
      <c r="E138" s="55" t="n">
        <f aca="false">IF(D137&lt;$N$15, $D$40*D137^3+$E$40*D137^2+$F$40*D137+$G$40, 0) * 12^3/60*14.7</f>
        <v>199.921132808483</v>
      </c>
      <c r="F138" s="55" t="n">
        <f aca="false">IFERROR(IF(AND($C138&gt;=D$15, $C138&lt;=D$16), IF(D$14&gt;1, N(MOD($C138-D$15, D$14)&lt;1), 1/D$14)*PI()*D$9/4*(D$7^2*MIN(D$10, $D137)+(D$7^2-D$8^2)*MIN(D$12, D$42))/IF($B$4, 25.4^3, 1), 0), 0)</f>
        <v>0</v>
      </c>
      <c r="G138" s="55" t="n">
        <f aca="false">IFERROR(IF(AND($C138&gt;=E$15, $C138&lt;=E$16), IF(E$14&gt;1, N(MOD($C138-E$15, E$14)&lt;1), 1/E$14)*PI()*E$9/4*(E$7^2*MIN(E$10, $D137)+(E$7^2-E$8^2)*MIN(E$12, E$42))/IF($B$4, 25.4^3, 1), 0), 0)</f>
        <v>0</v>
      </c>
      <c r="H138" s="55" t="n">
        <f aca="false">IFERROR(IF(AND($C138&gt;=F$15, $C138&lt;=F$16), IF(F$14&gt;1, N(MOD($C138-F$15, F$14)&lt;1), 1/F$14)*PI()*F$9/4*(F$7^2*MIN(F$10, $D137)+(F$7^2-F$8^2)*MIN(F$12, F$42))/IF($B$4, 25.4^3, 1), 0), 0)</f>
        <v>0</v>
      </c>
      <c r="I138" s="55" t="n">
        <f aca="false">IFERROR(IF(AND($C138&gt;=G$15, $C138&lt;=G$16), IF(G$14&gt;1, N(MOD($C138-G$15, G$14)&lt;1), 1/G$14)*PI()*G$9/4*(G$7^2*MIN(G$10, $D137)+(G$7^2-G$8^2)*MIN(G$12, G$42))/IF($B$4, 25.4^3, 1), 0), 0)</f>
        <v>0</v>
      </c>
      <c r="J138" s="55" t="n">
        <f aca="false">IFERROR(IF(AND($C138&gt;=H$15, $C138&lt;=H$16), IF(H$14&gt;1, N(MOD($C138-H$15, H$14)&lt;1), 1/H$14)*PI()*H$9/4*(H$7^2*MIN(H$10, $D137)+(H$7^2-H$8^2)*MIN(H$12, H$42))/IF($B$4, 25.4^3, 1), 0), 0)</f>
        <v>0</v>
      </c>
      <c r="K138" s="55" t="n">
        <f aca="false">IFERROR(IF(AND($C138&gt;=I$15, $C138&lt;=I$16), IF(I$14&gt;1, N(MOD($C138-I$15, I$14)&lt;1), 1/I$14)*PI()*I$9/4*(I$7^2*MIN(I$10, $D137)+(I$7^2-I$8^2)*MIN(I$12, I$42))/IF($B$4, 25.4^3, 1), 0), 0)</f>
        <v>0</v>
      </c>
      <c r="L138" s="55" t="n">
        <f aca="false">IFERROR(IF(AND($C138&gt;=J$15, $C138&lt;=J$16), IF(J$14&gt;1, N(MOD($C138-J$15, J$14)&lt;1), 1/J$14)*PI()*J$9/4*(J$7^2*MIN(J$10, $D137)+(J$7^2-J$8^2)*MIN(J$12, J$42))/IF($B$4, 25.4^3, 1), 0), 0)</f>
        <v>0</v>
      </c>
      <c r="M138" s="55" t="n">
        <f aca="false">IFERROR(IF(AND($C138&gt;=K$15, $C138&lt;=K$16), IF(K$14&gt;1, N(MOD($C138-K$15, K$14)&lt;1), 1/K$14)*PI()*K$9/4*(K$7^2*MIN(K$10, $D137)+(K$7^2-K$8^2)*MIN(K$12, K$42))/IF($B$4, 25.4^3, 1), 0), 0)</f>
        <v>0</v>
      </c>
    </row>
    <row r="139" customFormat="false" ht="15" hidden="false" customHeight="false" outlineLevel="0" collapsed="false">
      <c r="C139" s="55" t="n">
        <v>97</v>
      </c>
      <c r="D139" s="55" t="n">
        <f aca="false">MAX((D138*($N$10/IF($B$4, 16.387, 1))+E139-SUM(F139:M139))/($N$10/IF($B$4, 16.387, 1)), 0)</f>
        <v>49.6328304356366</v>
      </c>
      <c r="E139" s="55" t="n">
        <f aca="false">IF(D138&lt;$N$15, $D$40*D138^3+$E$40*D138^2+$F$40*D138+$G$40, 0) * 12^3/60*14.7</f>
        <v>195.943925527244</v>
      </c>
      <c r="F139" s="55" t="n">
        <f aca="false">IFERROR(IF(AND($C139&gt;=D$15, $C139&lt;=D$16), IF(D$14&gt;1, N(MOD($C139-D$15, D$14)&lt;1), 1/D$14)*PI()*D$9/4*(D$7^2*MIN(D$10, $D138)+(D$7^2-D$8^2)*MIN(D$12, D$42))/IF($B$4, 25.4^3, 1), 0), 0)</f>
        <v>0</v>
      </c>
      <c r="G139" s="55" t="n">
        <f aca="false">IFERROR(IF(AND($C139&gt;=E$15, $C139&lt;=E$16), IF(E$14&gt;1, N(MOD($C139-E$15, E$14)&lt;1), 1/E$14)*PI()*E$9/4*(E$7^2*MIN(E$10, $D138)+(E$7^2-E$8^2)*MIN(E$12, E$42))/IF($B$4, 25.4^3, 1), 0), 0)</f>
        <v>0</v>
      </c>
      <c r="H139" s="55" t="n">
        <f aca="false">IFERROR(IF(AND($C139&gt;=F$15, $C139&lt;=F$16), IF(F$14&gt;1, N(MOD($C139-F$15, F$14)&lt;1), 1/F$14)*PI()*F$9/4*(F$7^2*MIN(F$10, $D138)+(F$7^2-F$8^2)*MIN(F$12, F$42))/IF($B$4, 25.4^3, 1), 0), 0)</f>
        <v>0</v>
      </c>
      <c r="I139" s="55" t="n">
        <f aca="false">IFERROR(IF(AND($C139&gt;=G$15, $C139&lt;=G$16), IF(G$14&gt;1, N(MOD($C139-G$15, G$14)&lt;1), 1/G$14)*PI()*G$9/4*(G$7^2*MIN(G$10, $D138)+(G$7^2-G$8^2)*MIN(G$12, G$42))/IF($B$4, 25.4^3, 1), 0), 0)</f>
        <v>0</v>
      </c>
      <c r="J139" s="55" t="n">
        <f aca="false">IFERROR(IF(AND($C139&gt;=H$15, $C139&lt;=H$16), IF(H$14&gt;1, N(MOD($C139-H$15, H$14)&lt;1), 1/H$14)*PI()*H$9/4*(H$7^2*MIN(H$10, $D138)+(H$7^2-H$8^2)*MIN(H$12, H$42))/IF($B$4, 25.4^3, 1), 0), 0)</f>
        <v>0</v>
      </c>
      <c r="K139" s="55" t="n">
        <f aca="false">IFERROR(IF(AND($C139&gt;=I$15, $C139&lt;=I$16), IF(I$14&gt;1, N(MOD($C139-I$15, I$14)&lt;1), 1/I$14)*PI()*I$9/4*(I$7^2*MIN(I$10, $D138)+(I$7^2-I$8^2)*MIN(I$12, I$42))/IF($B$4, 25.4^3, 1), 0), 0)</f>
        <v>0</v>
      </c>
      <c r="L139" s="55" t="n">
        <f aca="false">IFERROR(IF(AND($C139&gt;=J$15, $C139&lt;=J$16), IF(J$14&gt;1, N(MOD($C139-J$15, J$14)&lt;1), 1/J$14)*PI()*J$9/4*(J$7^2*MIN(J$10, $D138)+(J$7^2-J$8^2)*MIN(J$12, J$42))/IF($B$4, 25.4^3, 1), 0), 0)</f>
        <v>0</v>
      </c>
      <c r="M139" s="55" t="n">
        <f aca="false">IFERROR(IF(AND($C139&gt;=K$15, $C139&lt;=K$16), IF(K$14&gt;1, N(MOD($C139-K$15, K$14)&lt;1), 1/K$14)*PI()*K$9/4*(K$7^2*MIN(K$10, $D138)+(K$7^2-K$8^2)*MIN(K$12, K$42))/IF($B$4, 25.4^3, 1), 0), 0)</f>
        <v>0</v>
      </c>
    </row>
    <row r="140" customFormat="false" ht="15" hidden="false" customHeight="false" outlineLevel="0" collapsed="false">
      <c r="C140" s="55" t="n">
        <v>98</v>
      </c>
      <c r="D140" s="55" t="n">
        <f aca="false">MAX((D139*($N$10/IF($B$4, 16.387, 1))+E140-SUM(F140:M140))/($N$10/IF($B$4, 16.387, 1)), 0)</f>
        <v>40.5438613318927</v>
      </c>
      <c r="E140" s="55" t="n">
        <f aca="false">IF(D139&lt;$N$15, $D$40*D139^3+$E$40*D139^2+$F$40*D139+$G$40, 0) * 12^3/60*14.7</f>
        <v>192.094125741099</v>
      </c>
      <c r="F140" s="55" t="n">
        <f aca="false">IFERROR(IF(AND($C140&gt;=D$15, $C140&lt;=D$16), IF(D$14&gt;1, N(MOD($C140-D$15, D$14)&lt;1), 1/D$14)*PI()*D$9/4*(D$7^2*MIN(D$10, $D139)+(D$7^2-D$8^2)*MIN(D$12, D$42))/IF($B$4, 25.4^3, 1), 0), 0)</f>
        <v>1146.43588163421</v>
      </c>
      <c r="G140" s="55" t="n">
        <f aca="false">IFERROR(IF(AND($C140&gt;=E$15, $C140&lt;=E$16), IF(E$14&gt;1, N(MOD($C140-E$15, E$14)&lt;1), 1/E$14)*PI()*E$9/4*(E$7^2*MIN(E$10, $D139)+(E$7^2-E$8^2)*MIN(E$12, E$42))/IF($B$4, 25.4^3, 1), 0), 0)</f>
        <v>0</v>
      </c>
      <c r="H140" s="55" t="n">
        <f aca="false">IFERROR(IF(AND($C140&gt;=F$15, $C140&lt;=F$16), IF(F$14&gt;1, N(MOD($C140-F$15, F$14)&lt;1), 1/F$14)*PI()*F$9/4*(F$7^2*MIN(F$10, $D139)+(F$7^2-F$8^2)*MIN(F$12, F$42))/IF($B$4, 25.4^3, 1), 0), 0)</f>
        <v>0</v>
      </c>
      <c r="I140" s="55" t="n">
        <f aca="false">IFERROR(IF(AND($C140&gt;=G$15, $C140&lt;=G$16), IF(G$14&gt;1, N(MOD($C140-G$15, G$14)&lt;1), 1/G$14)*PI()*G$9/4*(G$7^2*MIN(G$10, $D139)+(G$7^2-G$8^2)*MIN(G$12, G$42))/IF($B$4, 25.4^3, 1), 0), 0)</f>
        <v>0</v>
      </c>
      <c r="J140" s="55" t="n">
        <f aca="false">IFERROR(IF(AND($C140&gt;=H$15, $C140&lt;=H$16), IF(H$14&gt;1, N(MOD($C140-H$15, H$14)&lt;1), 1/H$14)*PI()*H$9/4*(H$7^2*MIN(H$10, $D139)+(H$7^2-H$8^2)*MIN(H$12, H$42))/IF($B$4, 25.4^3, 1), 0), 0)</f>
        <v>0</v>
      </c>
      <c r="K140" s="55" t="n">
        <f aca="false">IFERROR(IF(AND($C140&gt;=I$15, $C140&lt;=I$16), IF(I$14&gt;1, N(MOD($C140-I$15, I$14)&lt;1), 1/I$14)*PI()*I$9/4*(I$7^2*MIN(I$10, $D139)+(I$7^2-I$8^2)*MIN(I$12, I$42))/IF($B$4, 25.4^3, 1), 0), 0)</f>
        <v>0</v>
      </c>
      <c r="L140" s="55" t="n">
        <f aca="false">IFERROR(IF(AND($C140&gt;=J$15, $C140&lt;=J$16), IF(J$14&gt;1, N(MOD($C140-J$15, J$14)&lt;1), 1/J$14)*PI()*J$9/4*(J$7^2*MIN(J$10, $D139)+(J$7^2-J$8^2)*MIN(J$12, J$42))/IF($B$4, 25.4^3, 1), 0), 0)</f>
        <v>0</v>
      </c>
      <c r="M140" s="55" t="n">
        <f aca="false">IFERROR(IF(AND($C140&gt;=K$15, $C140&lt;=K$16), IF(K$14&gt;1, N(MOD($C140-K$15, K$14)&lt;1), 1/K$14)*PI()*K$9/4*(K$7^2*MIN(K$10, $D139)+(K$7^2-K$8^2)*MIN(K$12, K$42))/IF($B$4, 25.4^3, 1), 0), 0)</f>
        <v>0</v>
      </c>
    </row>
    <row r="141" customFormat="false" ht="15" hidden="false" customHeight="false" outlineLevel="0" collapsed="false">
      <c r="C141" s="55" t="n">
        <v>99</v>
      </c>
      <c r="D141" s="55" t="n">
        <f aca="false">MAX((D140*($N$10/IF($B$4, 16.387, 1))+E141-SUM(F141:M141))/($N$10/IF($B$4, 16.387, 1)), 0)</f>
        <v>42.5556510880297</v>
      </c>
      <c r="E141" s="55" t="n">
        <f aca="false">IF(D140&lt;$N$15, $D$40*D140^3+$E$40*D140^2+$F$40*D140+$G$40, 0) * 12^3/60*14.7</f>
        <v>211.237924394388</v>
      </c>
      <c r="F141" s="55" t="n">
        <f aca="false">IFERROR(IF(AND($C141&gt;=D$15, $C141&lt;=D$16), IF(D$14&gt;1, N(MOD($C141-D$15, D$14)&lt;1), 1/D$14)*PI()*D$9/4*(D$7^2*MIN(D$10, $D140)+(D$7^2-D$8^2)*MIN(D$12, D$42))/IF($B$4, 25.4^3, 1), 0), 0)</f>
        <v>0</v>
      </c>
      <c r="G141" s="55" t="n">
        <f aca="false">IFERROR(IF(AND($C141&gt;=E$15, $C141&lt;=E$16), IF(E$14&gt;1, N(MOD($C141-E$15, E$14)&lt;1), 1/E$14)*PI()*E$9/4*(E$7^2*MIN(E$10, $D140)+(E$7^2-E$8^2)*MIN(E$12, E$42))/IF($B$4, 25.4^3, 1), 0), 0)</f>
        <v>0</v>
      </c>
      <c r="H141" s="55" t="n">
        <f aca="false">IFERROR(IF(AND($C141&gt;=F$15, $C141&lt;=F$16), IF(F$14&gt;1, N(MOD($C141-F$15, F$14)&lt;1), 1/F$14)*PI()*F$9/4*(F$7^2*MIN(F$10, $D140)+(F$7^2-F$8^2)*MIN(F$12, F$42))/IF($B$4, 25.4^3, 1), 0), 0)</f>
        <v>0</v>
      </c>
      <c r="I141" s="55" t="n">
        <f aca="false">IFERROR(IF(AND($C141&gt;=G$15, $C141&lt;=G$16), IF(G$14&gt;1, N(MOD($C141-G$15, G$14)&lt;1), 1/G$14)*PI()*G$9/4*(G$7^2*MIN(G$10, $D140)+(G$7^2-G$8^2)*MIN(G$12, G$42))/IF($B$4, 25.4^3, 1), 0), 0)</f>
        <v>0</v>
      </c>
      <c r="J141" s="55" t="n">
        <f aca="false">IFERROR(IF(AND($C141&gt;=H$15, $C141&lt;=H$16), IF(H$14&gt;1, N(MOD($C141-H$15, H$14)&lt;1), 1/H$14)*PI()*H$9/4*(H$7^2*MIN(H$10, $D140)+(H$7^2-H$8^2)*MIN(H$12, H$42))/IF($B$4, 25.4^3, 1), 0), 0)</f>
        <v>0</v>
      </c>
      <c r="K141" s="55" t="n">
        <f aca="false">IFERROR(IF(AND($C141&gt;=I$15, $C141&lt;=I$16), IF(I$14&gt;1, N(MOD($C141-I$15, I$14)&lt;1), 1/I$14)*PI()*I$9/4*(I$7^2*MIN(I$10, $D140)+(I$7^2-I$8^2)*MIN(I$12, I$42))/IF($B$4, 25.4^3, 1), 0), 0)</f>
        <v>0</v>
      </c>
      <c r="L141" s="55" t="n">
        <f aca="false">IFERROR(IF(AND($C141&gt;=J$15, $C141&lt;=J$16), IF(J$14&gt;1, N(MOD($C141-J$15, J$14)&lt;1), 1/J$14)*PI()*J$9/4*(J$7^2*MIN(J$10, $D140)+(J$7^2-J$8^2)*MIN(J$12, J$42))/IF($B$4, 25.4^3, 1), 0), 0)</f>
        <v>0</v>
      </c>
      <c r="M141" s="55" t="n">
        <f aca="false">IFERROR(IF(AND($C141&gt;=K$15, $C141&lt;=K$16), IF(K$14&gt;1, N(MOD($C141-K$15, K$14)&lt;1), 1/K$14)*PI()*K$9/4*(K$7^2*MIN(K$10, $D140)+(K$7^2-K$8^2)*MIN(K$12, K$42))/IF($B$4, 25.4^3, 1), 0), 0)</f>
        <v>0</v>
      </c>
    </row>
    <row r="142" customFormat="false" ht="15" hidden="false" customHeight="false" outlineLevel="0" collapsed="false">
      <c r="C142" s="55" t="n">
        <v>100</v>
      </c>
      <c r="D142" s="55" t="n">
        <f aca="false">MAX((D141*($N$10/IF($B$4, 16.387, 1))+E142-SUM(F142:M142))/($N$10/IF($B$4, 16.387, 1)), 0)</f>
        <v>44.5263879888587</v>
      </c>
      <c r="E142" s="55" t="n">
        <f aca="false">IF(D141&lt;$N$15, $D$40*D141^3+$E$40*D141^2+$F$40*D141+$G$40, 0) * 12^3/60*14.7</f>
        <v>206.927374587049</v>
      </c>
      <c r="F142" s="55" t="n">
        <f aca="false">IFERROR(IF(AND($C142&gt;=D$15, $C142&lt;=D$16), IF(D$14&gt;1, N(MOD($C142-D$15, D$14)&lt;1), 1/D$14)*PI()*D$9/4*(D$7^2*MIN(D$10, $D141)+(D$7^2-D$8^2)*MIN(D$12, D$42))/IF($B$4, 25.4^3, 1), 0), 0)</f>
        <v>0</v>
      </c>
      <c r="G142" s="55" t="n">
        <f aca="false">IFERROR(IF(AND($C142&gt;=E$15, $C142&lt;=E$16), IF(E$14&gt;1, N(MOD($C142-E$15, E$14)&lt;1), 1/E$14)*PI()*E$9/4*(E$7^2*MIN(E$10, $D141)+(E$7^2-E$8^2)*MIN(E$12, E$42))/IF($B$4, 25.4^3, 1), 0), 0)</f>
        <v>0</v>
      </c>
      <c r="H142" s="55" t="n">
        <f aca="false">IFERROR(IF(AND($C142&gt;=F$15, $C142&lt;=F$16), IF(F$14&gt;1, N(MOD($C142-F$15, F$14)&lt;1), 1/F$14)*PI()*F$9/4*(F$7^2*MIN(F$10, $D141)+(F$7^2-F$8^2)*MIN(F$12, F$42))/IF($B$4, 25.4^3, 1), 0), 0)</f>
        <v>0</v>
      </c>
      <c r="I142" s="55" t="n">
        <f aca="false">IFERROR(IF(AND($C142&gt;=G$15, $C142&lt;=G$16), IF(G$14&gt;1, N(MOD($C142-G$15, G$14)&lt;1), 1/G$14)*PI()*G$9/4*(G$7^2*MIN(G$10, $D141)+(G$7^2-G$8^2)*MIN(G$12, G$42))/IF($B$4, 25.4^3, 1), 0), 0)</f>
        <v>0</v>
      </c>
      <c r="J142" s="55" t="n">
        <f aca="false">IFERROR(IF(AND($C142&gt;=H$15, $C142&lt;=H$16), IF(H$14&gt;1, N(MOD($C142-H$15, H$14)&lt;1), 1/H$14)*PI()*H$9/4*(H$7^2*MIN(H$10, $D141)+(H$7^2-H$8^2)*MIN(H$12, H$42))/IF($B$4, 25.4^3, 1), 0), 0)</f>
        <v>0</v>
      </c>
      <c r="K142" s="55" t="n">
        <f aca="false">IFERROR(IF(AND($C142&gt;=I$15, $C142&lt;=I$16), IF(I$14&gt;1, N(MOD($C142-I$15, I$14)&lt;1), 1/I$14)*PI()*I$9/4*(I$7^2*MIN(I$10, $D141)+(I$7^2-I$8^2)*MIN(I$12, I$42))/IF($B$4, 25.4^3, 1), 0), 0)</f>
        <v>0</v>
      </c>
      <c r="L142" s="55" t="n">
        <f aca="false">IFERROR(IF(AND($C142&gt;=J$15, $C142&lt;=J$16), IF(J$14&gt;1, N(MOD($C142-J$15, J$14)&lt;1), 1/J$14)*PI()*J$9/4*(J$7^2*MIN(J$10, $D141)+(J$7^2-J$8^2)*MIN(J$12, J$42))/IF($B$4, 25.4^3, 1), 0), 0)</f>
        <v>0</v>
      </c>
      <c r="M142" s="55" t="n">
        <f aca="false">IFERROR(IF(AND($C142&gt;=K$15, $C142&lt;=K$16), IF(K$14&gt;1, N(MOD($C142-K$15, K$14)&lt;1), 1/K$14)*PI()*K$9/4*(K$7^2*MIN(K$10, $D141)+(K$7^2-K$8^2)*MIN(K$12, K$42))/IF($B$4, 25.4^3, 1), 0), 0)</f>
        <v>0</v>
      </c>
    </row>
    <row r="143" customFormat="false" ht="15" hidden="false" customHeight="false" outlineLevel="0" collapsed="false">
      <c r="C143" s="55" t="n">
        <v>101</v>
      </c>
      <c r="D143" s="55" t="n">
        <f aca="false">MAX((D142*($N$10/IF($B$4, 16.387, 1))+E143-SUM(F143:M143))/($N$10/IF($B$4, 16.387, 1)), 0)</f>
        <v>46.45723151428</v>
      </c>
      <c r="E143" s="55" t="n">
        <f aca="false">IF(D142&lt;$N$15, $D$40*D142^3+$E$40*D142^2+$F$40*D142+$G$40, 0) * 12^3/60*14.7</f>
        <v>202.738570169231</v>
      </c>
      <c r="F143" s="55" t="n">
        <f aca="false">IFERROR(IF(AND($C143&gt;=D$15, $C143&lt;=D$16), IF(D$14&gt;1, N(MOD($C143-D$15, D$14)&lt;1), 1/D$14)*PI()*D$9/4*(D$7^2*MIN(D$10, $D142)+(D$7^2-D$8^2)*MIN(D$12, D$42))/IF($B$4, 25.4^3, 1), 0), 0)</f>
        <v>0</v>
      </c>
      <c r="G143" s="55" t="n">
        <f aca="false">IFERROR(IF(AND($C143&gt;=E$15, $C143&lt;=E$16), IF(E$14&gt;1, N(MOD($C143-E$15, E$14)&lt;1), 1/E$14)*PI()*E$9/4*(E$7^2*MIN(E$10, $D142)+(E$7^2-E$8^2)*MIN(E$12, E$42))/IF($B$4, 25.4^3, 1), 0), 0)</f>
        <v>0</v>
      </c>
      <c r="H143" s="55" t="n">
        <f aca="false">IFERROR(IF(AND($C143&gt;=F$15, $C143&lt;=F$16), IF(F$14&gt;1, N(MOD($C143-F$15, F$14)&lt;1), 1/F$14)*PI()*F$9/4*(F$7^2*MIN(F$10, $D142)+(F$7^2-F$8^2)*MIN(F$12, F$42))/IF($B$4, 25.4^3, 1), 0), 0)</f>
        <v>0</v>
      </c>
      <c r="I143" s="55" t="n">
        <f aca="false">IFERROR(IF(AND($C143&gt;=G$15, $C143&lt;=G$16), IF(G$14&gt;1, N(MOD($C143-G$15, G$14)&lt;1), 1/G$14)*PI()*G$9/4*(G$7^2*MIN(G$10, $D142)+(G$7^2-G$8^2)*MIN(G$12, G$42))/IF($B$4, 25.4^3, 1), 0), 0)</f>
        <v>0</v>
      </c>
      <c r="J143" s="55" t="n">
        <f aca="false">IFERROR(IF(AND($C143&gt;=H$15, $C143&lt;=H$16), IF(H$14&gt;1, N(MOD($C143-H$15, H$14)&lt;1), 1/H$14)*PI()*H$9/4*(H$7^2*MIN(H$10, $D142)+(H$7^2-H$8^2)*MIN(H$12, H$42))/IF($B$4, 25.4^3, 1), 0), 0)</f>
        <v>0</v>
      </c>
      <c r="K143" s="55" t="n">
        <f aca="false">IFERROR(IF(AND($C143&gt;=I$15, $C143&lt;=I$16), IF(I$14&gt;1, N(MOD($C143-I$15, I$14)&lt;1), 1/I$14)*PI()*I$9/4*(I$7^2*MIN(I$10, $D142)+(I$7^2-I$8^2)*MIN(I$12, I$42))/IF($B$4, 25.4^3, 1), 0), 0)</f>
        <v>0</v>
      </c>
      <c r="L143" s="55" t="n">
        <f aca="false">IFERROR(IF(AND($C143&gt;=J$15, $C143&lt;=J$16), IF(J$14&gt;1, N(MOD($C143-J$15, J$14)&lt;1), 1/J$14)*PI()*J$9/4*(J$7^2*MIN(J$10, $D142)+(J$7^2-J$8^2)*MIN(J$12, J$42))/IF($B$4, 25.4^3, 1), 0), 0)</f>
        <v>0</v>
      </c>
      <c r="M143" s="55" t="n">
        <f aca="false">IFERROR(IF(AND($C143&gt;=K$15, $C143&lt;=K$16), IF(K$14&gt;1, N(MOD($C143-K$15, K$14)&lt;1), 1/K$14)*PI()*K$9/4*(K$7^2*MIN(K$10, $D142)+(K$7^2-K$8^2)*MIN(K$12, K$42))/IF($B$4, 25.4^3, 1), 0), 0)</f>
        <v>0</v>
      </c>
    </row>
    <row r="144" customFormat="false" ht="15" hidden="false" customHeight="false" outlineLevel="0" collapsed="false">
      <c r="C144" s="55" t="n">
        <v>102</v>
      </c>
      <c r="D144" s="55" t="n">
        <f aca="false">MAX((D143*($N$10/IF($B$4, 16.387, 1))+E144-SUM(F144:M144))/($N$10/IF($B$4, 16.387, 1)), 0)</f>
        <v>48.3493674714162</v>
      </c>
      <c r="E144" s="55" t="n">
        <f aca="false">IF(D143&lt;$N$15, $D$40*D143^3+$E$40*D143^2+$F$40*D143+$G$40, 0) * 12^3/60*14.7</f>
        <v>198.674275499305</v>
      </c>
      <c r="F144" s="55" t="n">
        <f aca="false">IFERROR(IF(AND($C144&gt;=D$15, $C144&lt;=D$16), IF(D$14&gt;1, N(MOD($C144-D$15, D$14)&lt;1), 1/D$14)*PI()*D$9/4*(D$7^2*MIN(D$10, $D143)+(D$7^2-D$8^2)*MIN(D$12, D$42))/IF($B$4, 25.4^3, 1), 0), 0)</f>
        <v>0</v>
      </c>
      <c r="G144" s="55" t="n">
        <f aca="false">IFERROR(IF(AND($C144&gt;=E$15, $C144&lt;=E$16), IF(E$14&gt;1, N(MOD($C144-E$15, E$14)&lt;1), 1/E$14)*PI()*E$9/4*(E$7^2*MIN(E$10, $D143)+(E$7^2-E$8^2)*MIN(E$12, E$42))/IF($B$4, 25.4^3, 1), 0), 0)</f>
        <v>0</v>
      </c>
      <c r="H144" s="55" t="n">
        <f aca="false">IFERROR(IF(AND($C144&gt;=F$15, $C144&lt;=F$16), IF(F$14&gt;1, N(MOD($C144-F$15, F$14)&lt;1), 1/F$14)*PI()*F$9/4*(F$7^2*MIN(F$10, $D143)+(F$7^2-F$8^2)*MIN(F$12, F$42))/IF($B$4, 25.4^3, 1), 0), 0)</f>
        <v>0</v>
      </c>
      <c r="I144" s="55" t="n">
        <f aca="false">IFERROR(IF(AND($C144&gt;=G$15, $C144&lt;=G$16), IF(G$14&gt;1, N(MOD($C144-G$15, G$14)&lt;1), 1/G$14)*PI()*G$9/4*(G$7^2*MIN(G$10, $D143)+(G$7^2-G$8^2)*MIN(G$12, G$42))/IF($B$4, 25.4^3, 1), 0), 0)</f>
        <v>0</v>
      </c>
      <c r="J144" s="55" t="n">
        <f aca="false">IFERROR(IF(AND($C144&gt;=H$15, $C144&lt;=H$16), IF(H$14&gt;1, N(MOD($C144-H$15, H$14)&lt;1), 1/H$14)*PI()*H$9/4*(H$7^2*MIN(H$10, $D143)+(H$7^2-H$8^2)*MIN(H$12, H$42))/IF($B$4, 25.4^3, 1), 0), 0)</f>
        <v>0</v>
      </c>
      <c r="K144" s="55" t="n">
        <f aca="false">IFERROR(IF(AND($C144&gt;=I$15, $C144&lt;=I$16), IF(I$14&gt;1, N(MOD($C144-I$15, I$14)&lt;1), 1/I$14)*PI()*I$9/4*(I$7^2*MIN(I$10, $D143)+(I$7^2-I$8^2)*MIN(I$12, I$42))/IF($B$4, 25.4^3, 1), 0), 0)</f>
        <v>0</v>
      </c>
      <c r="L144" s="55" t="n">
        <f aca="false">IFERROR(IF(AND($C144&gt;=J$15, $C144&lt;=J$16), IF(J$14&gt;1, N(MOD($C144-J$15, J$14)&lt;1), 1/J$14)*PI()*J$9/4*(J$7^2*MIN(J$10, $D143)+(J$7^2-J$8^2)*MIN(J$12, J$42))/IF($B$4, 25.4^3, 1), 0), 0)</f>
        <v>0</v>
      </c>
      <c r="M144" s="55" t="n">
        <f aca="false">IFERROR(IF(AND($C144&gt;=K$15, $C144&lt;=K$16), IF(K$14&gt;1, N(MOD($C144-K$15, K$14)&lt;1), 1/K$14)*PI()*K$9/4*(K$7^2*MIN(K$10, $D143)+(K$7^2-K$8^2)*MIN(K$12, K$42))/IF($B$4, 25.4^3, 1), 0), 0)</f>
        <v>0</v>
      </c>
    </row>
    <row r="145" customFormat="false" ht="15" hidden="false" customHeight="false" outlineLevel="0" collapsed="false">
      <c r="C145" s="55" t="n">
        <v>103</v>
      </c>
      <c r="D145" s="55" t="n">
        <f aca="false">MAX((D144*($N$10/IF($B$4, 16.387, 1))+E145-SUM(F145:M145))/($N$10/IF($B$4, 16.387, 1)), 0)</f>
        <v>39.2855633725791</v>
      </c>
      <c r="E145" s="55" t="n">
        <f aca="false">IF(D144&lt;$N$15, $D$40*D144^3+$E$40*D144^2+$F$40*D144+$G$40, 0) * 12^3/60*14.7</f>
        <v>194.73645125631</v>
      </c>
      <c r="F145" s="55" t="n">
        <f aca="false">IFERROR(IF(AND($C145&gt;=D$15, $C145&lt;=D$16), IF(D$14&gt;1, N(MOD($C145-D$15, D$14)&lt;1), 1/D$14)*PI()*D$9/4*(D$7^2*MIN(D$10, $D144)+(D$7^2-D$8^2)*MIN(D$12, D$42))/IF($B$4, 25.4^3, 1), 0), 0)</f>
        <v>1146.43588163421</v>
      </c>
      <c r="G145" s="55" t="n">
        <f aca="false">IFERROR(IF(AND($C145&gt;=E$15, $C145&lt;=E$16), IF(E$14&gt;1, N(MOD($C145-E$15, E$14)&lt;1), 1/E$14)*PI()*E$9/4*(E$7^2*MIN(E$10, $D144)+(E$7^2-E$8^2)*MIN(E$12, E$42))/IF($B$4, 25.4^3, 1), 0), 0)</f>
        <v>0</v>
      </c>
      <c r="H145" s="55" t="n">
        <f aca="false">IFERROR(IF(AND($C145&gt;=F$15, $C145&lt;=F$16), IF(F$14&gt;1, N(MOD($C145-F$15, F$14)&lt;1), 1/F$14)*PI()*F$9/4*(F$7^2*MIN(F$10, $D144)+(F$7^2-F$8^2)*MIN(F$12, F$42))/IF($B$4, 25.4^3, 1), 0), 0)</f>
        <v>0</v>
      </c>
      <c r="I145" s="55" t="n">
        <f aca="false">IFERROR(IF(AND($C145&gt;=G$15, $C145&lt;=G$16), IF(G$14&gt;1, N(MOD($C145-G$15, G$14)&lt;1), 1/G$14)*PI()*G$9/4*(G$7^2*MIN(G$10, $D144)+(G$7^2-G$8^2)*MIN(G$12, G$42))/IF($B$4, 25.4^3, 1), 0), 0)</f>
        <v>0</v>
      </c>
      <c r="J145" s="55" t="n">
        <f aca="false">IFERROR(IF(AND($C145&gt;=H$15, $C145&lt;=H$16), IF(H$14&gt;1, N(MOD($C145-H$15, H$14)&lt;1), 1/H$14)*PI()*H$9/4*(H$7^2*MIN(H$10, $D144)+(H$7^2-H$8^2)*MIN(H$12, H$42))/IF($B$4, 25.4^3, 1), 0), 0)</f>
        <v>0</v>
      </c>
      <c r="K145" s="55" t="n">
        <f aca="false">IFERROR(IF(AND($C145&gt;=I$15, $C145&lt;=I$16), IF(I$14&gt;1, N(MOD($C145-I$15, I$14)&lt;1), 1/I$14)*PI()*I$9/4*(I$7^2*MIN(I$10, $D144)+(I$7^2-I$8^2)*MIN(I$12, I$42))/IF($B$4, 25.4^3, 1), 0), 0)</f>
        <v>0</v>
      </c>
      <c r="L145" s="55" t="n">
        <f aca="false">IFERROR(IF(AND($C145&gt;=J$15, $C145&lt;=J$16), IF(J$14&gt;1, N(MOD($C145-J$15, J$14)&lt;1), 1/J$14)*PI()*J$9/4*(J$7^2*MIN(J$10, $D144)+(J$7^2-J$8^2)*MIN(J$12, J$42))/IF($B$4, 25.4^3, 1), 0), 0)</f>
        <v>0</v>
      </c>
      <c r="M145" s="55" t="n">
        <f aca="false">IFERROR(IF(AND($C145&gt;=K$15, $C145&lt;=K$16), IF(K$14&gt;1, N(MOD($C145-K$15, K$14)&lt;1), 1/K$14)*PI()*K$9/4*(K$7^2*MIN(K$10, $D144)+(K$7^2-K$8^2)*MIN(K$12, K$42))/IF($B$4, 25.4^3, 1), 0), 0)</f>
        <v>0</v>
      </c>
    </row>
    <row r="146" customFormat="false" ht="15" hidden="false" customHeight="false" outlineLevel="0" collapsed="false">
      <c r="C146" s="55" t="n">
        <v>104</v>
      </c>
      <c r="D146" s="55" t="n">
        <f aca="false">MAX((D145*($N$10/IF($B$4, 16.387, 1))+E146-SUM(F146:M146))/($N$10/IF($B$4, 16.387, 1)), 0)</f>
        <v>41.3231652062521</v>
      </c>
      <c r="E146" s="55" t="n">
        <f aca="false">IF(D145&lt;$N$15, $D$40*D145^3+$E$40*D145^2+$F$40*D145+$G$40, 0) * 12^3/60*14.7</f>
        <v>213.948192535672</v>
      </c>
      <c r="F146" s="55" t="n">
        <f aca="false">IFERROR(IF(AND($C146&gt;=D$15, $C146&lt;=D$16), IF(D$14&gt;1, N(MOD($C146-D$15, D$14)&lt;1), 1/D$14)*PI()*D$9/4*(D$7^2*MIN(D$10, $D145)+(D$7^2-D$8^2)*MIN(D$12, D$42))/IF($B$4, 25.4^3, 1), 0), 0)</f>
        <v>0</v>
      </c>
      <c r="G146" s="55" t="n">
        <f aca="false">IFERROR(IF(AND($C146&gt;=E$15, $C146&lt;=E$16), IF(E$14&gt;1, N(MOD($C146-E$15, E$14)&lt;1), 1/E$14)*PI()*E$9/4*(E$7^2*MIN(E$10, $D145)+(E$7^2-E$8^2)*MIN(E$12, E$42))/IF($B$4, 25.4^3, 1), 0), 0)</f>
        <v>0</v>
      </c>
      <c r="H146" s="55" t="n">
        <f aca="false">IFERROR(IF(AND($C146&gt;=F$15, $C146&lt;=F$16), IF(F$14&gt;1, N(MOD($C146-F$15, F$14)&lt;1), 1/F$14)*PI()*F$9/4*(F$7^2*MIN(F$10, $D145)+(F$7^2-F$8^2)*MIN(F$12, F$42))/IF($B$4, 25.4^3, 1), 0), 0)</f>
        <v>0</v>
      </c>
      <c r="I146" s="55" t="n">
        <f aca="false">IFERROR(IF(AND($C146&gt;=G$15, $C146&lt;=G$16), IF(G$14&gt;1, N(MOD($C146-G$15, G$14)&lt;1), 1/G$14)*PI()*G$9/4*(G$7^2*MIN(G$10, $D145)+(G$7^2-G$8^2)*MIN(G$12, G$42))/IF($B$4, 25.4^3, 1), 0), 0)</f>
        <v>0</v>
      </c>
      <c r="J146" s="55" t="n">
        <f aca="false">IFERROR(IF(AND($C146&gt;=H$15, $C146&lt;=H$16), IF(H$14&gt;1, N(MOD($C146-H$15, H$14)&lt;1), 1/H$14)*PI()*H$9/4*(H$7^2*MIN(H$10, $D145)+(H$7^2-H$8^2)*MIN(H$12, H$42))/IF($B$4, 25.4^3, 1), 0), 0)</f>
        <v>0</v>
      </c>
      <c r="K146" s="55" t="n">
        <f aca="false">IFERROR(IF(AND($C146&gt;=I$15, $C146&lt;=I$16), IF(I$14&gt;1, N(MOD($C146-I$15, I$14)&lt;1), 1/I$14)*PI()*I$9/4*(I$7^2*MIN(I$10, $D145)+(I$7^2-I$8^2)*MIN(I$12, I$42))/IF($B$4, 25.4^3, 1), 0), 0)</f>
        <v>0</v>
      </c>
      <c r="L146" s="55" t="n">
        <f aca="false">IFERROR(IF(AND($C146&gt;=J$15, $C146&lt;=J$16), IF(J$14&gt;1, N(MOD($C146-J$15, J$14)&lt;1), 1/J$14)*PI()*J$9/4*(J$7^2*MIN(J$10, $D145)+(J$7^2-J$8^2)*MIN(J$12, J$42))/IF($B$4, 25.4^3, 1), 0), 0)</f>
        <v>0</v>
      </c>
      <c r="M146" s="55" t="n">
        <f aca="false">IFERROR(IF(AND($C146&gt;=K$15, $C146&lt;=K$16), IF(K$14&gt;1, N(MOD($C146-K$15, K$14)&lt;1), 1/K$14)*PI()*K$9/4*(K$7^2*MIN(K$10, $D145)+(K$7^2-K$8^2)*MIN(K$12, K$42))/IF($B$4, 25.4^3, 1), 0), 0)</f>
        <v>0</v>
      </c>
    </row>
    <row r="147" customFormat="false" ht="15" hidden="false" customHeight="false" outlineLevel="0" collapsed="false">
      <c r="C147" s="55" t="n">
        <v>105</v>
      </c>
      <c r="D147" s="55" t="n">
        <f aca="false">MAX((D146*($N$10/IF($B$4, 16.387, 1))+E147-SUM(F147:M147))/($N$10/IF($B$4, 16.387, 1)), 0)</f>
        <v>43.3190178011769</v>
      </c>
      <c r="E147" s="55" t="n">
        <f aca="false">IF(D146&lt;$N$15, $D$40*D146^3+$E$40*D146^2+$F$40*D146+$G$40, 0) * 12^3/60*14.7</f>
        <v>209.5645224671</v>
      </c>
      <c r="F147" s="55" t="n">
        <f aca="false">IFERROR(IF(AND($C147&gt;=D$15, $C147&lt;=D$16), IF(D$14&gt;1, N(MOD($C147-D$15, D$14)&lt;1), 1/D$14)*PI()*D$9/4*(D$7^2*MIN(D$10, $D146)+(D$7^2-D$8^2)*MIN(D$12, D$42))/IF($B$4, 25.4^3, 1), 0), 0)</f>
        <v>0</v>
      </c>
      <c r="G147" s="55" t="n">
        <f aca="false">IFERROR(IF(AND($C147&gt;=E$15, $C147&lt;=E$16), IF(E$14&gt;1, N(MOD($C147-E$15, E$14)&lt;1), 1/E$14)*PI()*E$9/4*(E$7^2*MIN(E$10, $D146)+(E$7^2-E$8^2)*MIN(E$12, E$42))/IF($B$4, 25.4^3, 1), 0), 0)</f>
        <v>0</v>
      </c>
      <c r="H147" s="55" t="n">
        <f aca="false">IFERROR(IF(AND($C147&gt;=F$15, $C147&lt;=F$16), IF(F$14&gt;1, N(MOD($C147-F$15, F$14)&lt;1), 1/F$14)*PI()*F$9/4*(F$7^2*MIN(F$10, $D146)+(F$7^2-F$8^2)*MIN(F$12, F$42))/IF($B$4, 25.4^3, 1), 0), 0)</f>
        <v>0</v>
      </c>
      <c r="I147" s="55" t="n">
        <f aca="false">IFERROR(IF(AND($C147&gt;=G$15, $C147&lt;=G$16), IF(G$14&gt;1, N(MOD($C147-G$15, G$14)&lt;1), 1/G$14)*PI()*G$9/4*(G$7^2*MIN(G$10, $D146)+(G$7^2-G$8^2)*MIN(G$12, G$42))/IF($B$4, 25.4^3, 1), 0), 0)</f>
        <v>0</v>
      </c>
      <c r="J147" s="55" t="n">
        <f aca="false">IFERROR(IF(AND($C147&gt;=H$15, $C147&lt;=H$16), IF(H$14&gt;1, N(MOD($C147-H$15, H$14)&lt;1), 1/H$14)*PI()*H$9/4*(H$7^2*MIN(H$10, $D146)+(H$7^2-H$8^2)*MIN(H$12, H$42))/IF($B$4, 25.4^3, 1), 0), 0)</f>
        <v>0</v>
      </c>
      <c r="K147" s="55" t="n">
        <f aca="false">IFERROR(IF(AND($C147&gt;=I$15, $C147&lt;=I$16), IF(I$14&gt;1, N(MOD($C147-I$15, I$14)&lt;1), 1/I$14)*PI()*I$9/4*(I$7^2*MIN(I$10, $D146)+(I$7^2-I$8^2)*MIN(I$12, I$42))/IF($B$4, 25.4^3, 1), 0), 0)</f>
        <v>0</v>
      </c>
      <c r="L147" s="55" t="n">
        <f aca="false">IFERROR(IF(AND($C147&gt;=J$15, $C147&lt;=J$16), IF(J$14&gt;1, N(MOD($C147-J$15, J$14)&lt;1), 1/J$14)*PI()*J$9/4*(J$7^2*MIN(J$10, $D146)+(J$7^2-J$8^2)*MIN(J$12, J$42))/IF($B$4, 25.4^3, 1), 0), 0)</f>
        <v>0</v>
      </c>
      <c r="M147" s="55" t="n">
        <f aca="false">IFERROR(IF(AND($C147&gt;=K$15, $C147&lt;=K$16), IF(K$14&gt;1, N(MOD($C147-K$15, K$14)&lt;1), 1/K$14)*PI()*K$9/4*(K$7^2*MIN(K$10, $D146)+(K$7^2-K$8^2)*MIN(K$12, K$42))/IF($B$4, 25.4^3, 1), 0), 0)</f>
        <v>0</v>
      </c>
    </row>
    <row r="148" customFormat="false" ht="15" hidden="false" customHeight="false" outlineLevel="0" collapsed="false">
      <c r="C148" s="55" t="n">
        <v>106</v>
      </c>
      <c r="D148" s="55" t="n">
        <f aca="false">MAX((D147*($N$10/IF($B$4, 16.387, 1))+E148-SUM(F148:M148))/($N$10/IF($B$4, 16.387, 1)), 0)</f>
        <v>45.2742601974692</v>
      </c>
      <c r="E148" s="55" t="n">
        <f aca="false">IF(D147&lt;$N$15, $D$40*D147^3+$E$40*D147^2+$F$40*D147+$G$40, 0) * 12^3/60*14.7</f>
        <v>205.300451610691</v>
      </c>
      <c r="F148" s="55" t="n">
        <f aca="false">IFERROR(IF(AND($C148&gt;=D$15, $C148&lt;=D$16), IF(D$14&gt;1, N(MOD($C148-D$15, D$14)&lt;1), 1/D$14)*PI()*D$9/4*(D$7^2*MIN(D$10, $D147)+(D$7^2-D$8^2)*MIN(D$12, D$42))/IF($B$4, 25.4^3, 1), 0), 0)</f>
        <v>0</v>
      </c>
      <c r="G148" s="55" t="n">
        <f aca="false">IFERROR(IF(AND($C148&gt;=E$15, $C148&lt;=E$16), IF(E$14&gt;1, N(MOD($C148-E$15, E$14)&lt;1), 1/E$14)*PI()*E$9/4*(E$7^2*MIN(E$10, $D147)+(E$7^2-E$8^2)*MIN(E$12, E$42))/IF($B$4, 25.4^3, 1), 0), 0)</f>
        <v>0</v>
      </c>
      <c r="H148" s="55" t="n">
        <f aca="false">IFERROR(IF(AND($C148&gt;=F$15, $C148&lt;=F$16), IF(F$14&gt;1, N(MOD($C148-F$15, F$14)&lt;1), 1/F$14)*PI()*F$9/4*(F$7^2*MIN(F$10, $D147)+(F$7^2-F$8^2)*MIN(F$12, F$42))/IF($B$4, 25.4^3, 1), 0), 0)</f>
        <v>0</v>
      </c>
      <c r="I148" s="55" t="n">
        <f aca="false">IFERROR(IF(AND($C148&gt;=G$15, $C148&lt;=G$16), IF(G$14&gt;1, N(MOD($C148-G$15, G$14)&lt;1), 1/G$14)*PI()*G$9/4*(G$7^2*MIN(G$10, $D147)+(G$7^2-G$8^2)*MIN(G$12, G$42))/IF($B$4, 25.4^3, 1), 0), 0)</f>
        <v>0</v>
      </c>
      <c r="J148" s="55" t="n">
        <f aca="false">IFERROR(IF(AND($C148&gt;=H$15, $C148&lt;=H$16), IF(H$14&gt;1, N(MOD($C148-H$15, H$14)&lt;1), 1/H$14)*PI()*H$9/4*(H$7^2*MIN(H$10, $D147)+(H$7^2-H$8^2)*MIN(H$12, H$42))/IF($B$4, 25.4^3, 1), 0), 0)</f>
        <v>0</v>
      </c>
      <c r="K148" s="55" t="n">
        <f aca="false">IFERROR(IF(AND($C148&gt;=I$15, $C148&lt;=I$16), IF(I$14&gt;1, N(MOD($C148-I$15, I$14)&lt;1), 1/I$14)*PI()*I$9/4*(I$7^2*MIN(I$10, $D147)+(I$7^2-I$8^2)*MIN(I$12, I$42))/IF($B$4, 25.4^3, 1), 0), 0)</f>
        <v>0</v>
      </c>
      <c r="L148" s="55" t="n">
        <f aca="false">IFERROR(IF(AND($C148&gt;=J$15, $C148&lt;=J$16), IF(J$14&gt;1, N(MOD($C148-J$15, J$14)&lt;1), 1/J$14)*PI()*J$9/4*(J$7^2*MIN(J$10, $D147)+(J$7^2-J$8^2)*MIN(J$12, J$42))/IF($B$4, 25.4^3, 1), 0), 0)</f>
        <v>0</v>
      </c>
      <c r="M148" s="55" t="n">
        <f aca="false">IFERROR(IF(AND($C148&gt;=K$15, $C148&lt;=K$16), IF(K$14&gt;1, N(MOD($C148-K$15, K$14)&lt;1), 1/K$14)*PI()*K$9/4*(K$7^2*MIN(K$10, $D147)+(K$7^2-K$8^2)*MIN(K$12, K$42))/IF($B$4, 25.4^3, 1), 0), 0)</f>
        <v>0</v>
      </c>
    </row>
    <row r="149" customFormat="false" ht="15" hidden="false" customHeight="false" outlineLevel="0" collapsed="false">
      <c r="C149" s="55" t="n">
        <v>107</v>
      </c>
      <c r="D149" s="55" t="n">
        <f aca="false">MAX((D148*($N$10/IF($B$4, 16.387, 1))+E149-SUM(F149:M149))/($N$10/IF($B$4, 16.387, 1)), 0)</f>
        <v>47.1900629791122</v>
      </c>
      <c r="E149" s="55" t="n">
        <f aca="false">IF(D148&lt;$N$15, $D$40*D148^3+$E$40*D148^2+$F$40*D148+$G$40, 0) * 12^3/60*14.7</f>
        <v>201.159292072518</v>
      </c>
      <c r="F149" s="55" t="n">
        <f aca="false">IFERROR(IF(AND($C149&gt;=D$15, $C149&lt;=D$16), IF(D$14&gt;1, N(MOD($C149-D$15, D$14)&lt;1), 1/D$14)*PI()*D$9/4*(D$7^2*MIN(D$10, $D148)+(D$7^2-D$8^2)*MIN(D$12, D$42))/IF($B$4, 25.4^3, 1), 0), 0)</f>
        <v>0</v>
      </c>
      <c r="G149" s="55" t="n">
        <f aca="false">IFERROR(IF(AND($C149&gt;=E$15, $C149&lt;=E$16), IF(E$14&gt;1, N(MOD($C149-E$15, E$14)&lt;1), 1/E$14)*PI()*E$9/4*(E$7^2*MIN(E$10, $D148)+(E$7^2-E$8^2)*MIN(E$12, E$42))/IF($B$4, 25.4^3, 1), 0), 0)</f>
        <v>0</v>
      </c>
      <c r="H149" s="55" t="n">
        <f aca="false">IFERROR(IF(AND($C149&gt;=F$15, $C149&lt;=F$16), IF(F$14&gt;1, N(MOD($C149-F$15, F$14)&lt;1), 1/F$14)*PI()*F$9/4*(F$7^2*MIN(F$10, $D148)+(F$7^2-F$8^2)*MIN(F$12, F$42))/IF($B$4, 25.4^3, 1), 0), 0)</f>
        <v>0</v>
      </c>
      <c r="I149" s="55" t="n">
        <f aca="false">IFERROR(IF(AND($C149&gt;=G$15, $C149&lt;=G$16), IF(G$14&gt;1, N(MOD($C149-G$15, G$14)&lt;1), 1/G$14)*PI()*G$9/4*(G$7^2*MIN(G$10, $D148)+(G$7^2-G$8^2)*MIN(G$12, G$42))/IF($B$4, 25.4^3, 1), 0), 0)</f>
        <v>0</v>
      </c>
      <c r="J149" s="55" t="n">
        <f aca="false">IFERROR(IF(AND($C149&gt;=H$15, $C149&lt;=H$16), IF(H$14&gt;1, N(MOD($C149-H$15, H$14)&lt;1), 1/H$14)*PI()*H$9/4*(H$7^2*MIN(H$10, $D148)+(H$7^2-H$8^2)*MIN(H$12, H$42))/IF($B$4, 25.4^3, 1), 0), 0)</f>
        <v>0</v>
      </c>
      <c r="K149" s="55" t="n">
        <f aca="false">IFERROR(IF(AND($C149&gt;=I$15, $C149&lt;=I$16), IF(I$14&gt;1, N(MOD($C149-I$15, I$14)&lt;1), 1/I$14)*PI()*I$9/4*(I$7^2*MIN(I$10, $D148)+(I$7^2-I$8^2)*MIN(I$12, I$42))/IF($B$4, 25.4^3, 1), 0), 0)</f>
        <v>0</v>
      </c>
      <c r="L149" s="55" t="n">
        <f aca="false">IFERROR(IF(AND($C149&gt;=J$15, $C149&lt;=J$16), IF(J$14&gt;1, N(MOD($C149-J$15, J$14)&lt;1), 1/J$14)*PI()*J$9/4*(J$7^2*MIN(J$10, $D148)+(J$7^2-J$8^2)*MIN(J$12, J$42))/IF($B$4, 25.4^3, 1), 0), 0)</f>
        <v>0</v>
      </c>
      <c r="M149" s="55" t="n">
        <f aca="false">IFERROR(IF(AND($C149&gt;=K$15, $C149&lt;=K$16), IF(K$14&gt;1, N(MOD($C149-K$15, K$14)&lt;1), 1/K$14)*PI()*K$9/4*(K$7^2*MIN(K$10, $D148)+(K$7^2-K$8^2)*MIN(K$12, K$42))/IF($B$4, 25.4^3, 1), 0), 0)</f>
        <v>0</v>
      </c>
    </row>
    <row r="150" customFormat="false" ht="15" hidden="false" customHeight="false" outlineLevel="0" collapsed="false">
      <c r="C150" s="55" t="n">
        <v>108</v>
      </c>
      <c r="D150" s="55" t="n">
        <f aca="false">MAX((D149*($N$10/IF($B$4, 16.387, 1))+E150-SUM(F150:M150))/($N$10/IF($B$4, 16.387, 1)), 0)</f>
        <v>38.1491830249402</v>
      </c>
      <c r="E150" s="55" t="n">
        <f aca="false">IF(D149&lt;$N$15, $D$40*D149^3+$E$40*D149^2+$F$40*D149+$G$40, 0) * 12^3/60*14.7</f>
        <v>197.14348644615</v>
      </c>
      <c r="F150" s="55" t="n">
        <f aca="false">IFERROR(IF(AND($C150&gt;=D$15, $C150&lt;=D$16), IF(D$14&gt;1, N(MOD($C150-D$15, D$14)&lt;1), 1/D$14)*PI()*D$9/4*(D$7^2*MIN(D$10, $D149)+(D$7^2-D$8^2)*MIN(D$12, D$42))/IF($B$4, 25.4^3, 1), 0), 0)</f>
        <v>1146.43588163421</v>
      </c>
      <c r="G150" s="55" t="n">
        <f aca="false">IFERROR(IF(AND($C150&gt;=E$15, $C150&lt;=E$16), IF(E$14&gt;1, N(MOD($C150-E$15, E$14)&lt;1), 1/E$14)*PI()*E$9/4*(E$7^2*MIN(E$10, $D149)+(E$7^2-E$8^2)*MIN(E$12, E$42))/IF($B$4, 25.4^3, 1), 0), 0)</f>
        <v>0</v>
      </c>
      <c r="H150" s="55" t="n">
        <f aca="false">IFERROR(IF(AND($C150&gt;=F$15, $C150&lt;=F$16), IF(F$14&gt;1, N(MOD($C150-F$15, F$14)&lt;1), 1/F$14)*PI()*F$9/4*(F$7^2*MIN(F$10, $D149)+(F$7^2-F$8^2)*MIN(F$12, F$42))/IF($B$4, 25.4^3, 1), 0), 0)</f>
        <v>0</v>
      </c>
      <c r="I150" s="55" t="n">
        <f aca="false">IFERROR(IF(AND($C150&gt;=G$15, $C150&lt;=G$16), IF(G$14&gt;1, N(MOD($C150-G$15, G$14)&lt;1), 1/G$14)*PI()*G$9/4*(G$7^2*MIN(G$10, $D149)+(G$7^2-G$8^2)*MIN(G$12, G$42))/IF($B$4, 25.4^3, 1), 0), 0)</f>
        <v>0</v>
      </c>
      <c r="J150" s="55" t="n">
        <f aca="false">IFERROR(IF(AND($C150&gt;=H$15, $C150&lt;=H$16), IF(H$14&gt;1, N(MOD($C150-H$15, H$14)&lt;1), 1/H$14)*PI()*H$9/4*(H$7^2*MIN(H$10, $D149)+(H$7^2-H$8^2)*MIN(H$12, H$42))/IF($B$4, 25.4^3, 1), 0), 0)</f>
        <v>0</v>
      </c>
      <c r="K150" s="55" t="n">
        <f aca="false">IFERROR(IF(AND($C150&gt;=I$15, $C150&lt;=I$16), IF(I$14&gt;1, N(MOD($C150-I$15, I$14)&lt;1), 1/I$14)*PI()*I$9/4*(I$7^2*MIN(I$10, $D149)+(I$7^2-I$8^2)*MIN(I$12, I$42))/IF($B$4, 25.4^3, 1), 0), 0)</f>
        <v>0</v>
      </c>
      <c r="L150" s="55" t="n">
        <f aca="false">IFERROR(IF(AND($C150&gt;=J$15, $C150&lt;=J$16), IF(J$14&gt;1, N(MOD($C150-J$15, J$14)&lt;1), 1/J$14)*PI()*J$9/4*(J$7^2*MIN(J$10, $D149)+(J$7^2-J$8^2)*MIN(J$12, J$42))/IF($B$4, 25.4^3, 1), 0), 0)</f>
        <v>0</v>
      </c>
      <c r="M150" s="55" t="n">
        <f aca="false">IFERROR(IF(AND($C150&gt;=K$15, $C150&lt;=K$16), IF(K$14&gt;1, N(MOD($C150-K$15, K$14)&lt;1), 1/K$14)*PI()*K$9/4*(K$7^2*MIN(K$10, $D149)+(K$7^2-K$8^2)*MIN(K$12, K$42))/IF($B$4, 25.4^3, 1), 0), 0)</f>
        <v>0</v>
      </c>
    </row>
    <row r="151" customFormat="false" ht="15" hidden="false" customHeight="false" outlineLevel="0" collapsed="false">
      <c r="C151" s="55" t="n">
        <v>109</v>
      </c>
      <c r="D151" s="55" t="n">
        <f aca="false">MAX((D150*($N$10/IF($B$4, 16.387, 1))+E151-SUM(F151:M151))/($N$10/IF($B$4, 16.387, 1)), 0)</f>
        <v>40.2101666276129</v>
      </c>
      <c r="E151" s="55" t="n">
        <f aca="false">IF(D150&lt;$N$15, $D$40*D150^3+$E$40*D150^2+$F$40*D150+$G$40, 0) * 12^3/60*14.7</f>
        <v>216.40327828063</v>
      </c>
      <c r="F151" s="55" t="n">
        <f aca="false">IFERROR(IF(AND($C151&gt;=D$15, $C151&lt;=D$16), IF(D$14&gt;1, N(MOD($C151-D$15, D$14)&lt;1), 1/D$14)*PI()*D$9/4*(D$7^2*MIN(D$10, $D150)+(D$7^2-D$8^2)*MIN(D$12, D$42))/IF($B$4, 25.4^3, 1), 0), 0)</f>
        <v>0</v>
      </c>
      <c r="G151" s="55" t="n">
        <f aca="false">IFERROR(IF(AND($C151&gt;=E$15, $C151&lt;=E$16), IF(E$14&gt;1, N(MOD($C151-E$15, E$14)&lt;1), 1/E$14)*PI()*E$9/4*(E$7^2*MIN(E$10, $D150)+(E$7^2-E$8^2)*MIN(E$12, E$42))/IF($B$4, 25.4^3, 1), 0), 0)</f>
        <v>0</v>
      </c>
      <c r="H151" s="55" t="n">
        <f aca="false">IFERROR(IF(AND($C151&gt;=F$15, $C151&lt;=F$16), IF(F$14&gt;1, N(MOD($C151-F$15, F$14)&lt;1), 1/F$14)*PI()*F$9/4*(F$7^2*MIN(F$10, $D150)+(F$7^2-F$8^2)*MIN(F$12, F$42))/IF($B$4, 25.4^3, 1), 0), 0)</f>
        <v>0</v>
      </c>
      <c r="I151" s="55" t="n">
        <f aca="false">IFERROR(IF(AND($C151&gt;=G$15, $C151&lt;=G$16), IF(G$14&gt;1, N(MOD($C151-G$15, G$14)&lt;1), 1/G$14)*PI()*G$9/4*(G$7^2*MIN(G$10, $D150)+(G$7^2-G$8^2)*MIN(G$12, G$42))/IF($B$4, 25.4^3, 1), 0), 0)</f>
        <v>0</v>
      </c>
      <c r="J151" s="55" t="n">
        <f aca="false">IFERROR(IF(AND($C151&gt;=H$15, $C151&lt;=H$16), IF(H$14&gt;1, N(MOD($C151-H$15, H$14)&lt;1), 1/H$14)*PI()*H$9/4*(H$7^2*MIN(H$10, $D150)+(H$7^2-H$8^2)*MIN(H$12, H$42))/IF($B$4, 25.4^3, 1), 0), 0)</f>
        <v>0</v>
      </c>
      <c r="K151" s="55" t="n">
        <f aca="false">IFERROR(IF(AND($C151&gt;=I$15, $C151&lt;=I$16), IF(I$14&gt;1, N(MOD($C151-I$15, I$14)&lt;1), 1/I$14)*PI()*I$9/4*(I$7^2*MIN(I$10, $D150)+(I$7^2-I$8^2)*MIN(I$12, I$42))/IF($B$4, 25.4^3, 1), 0), 0)</f>
        <v>0</v>
      </c>
      <c r="L151" s="55" t="n">
        <f aca="false">IFERROR(IF(AND($C151&gt;=J$15, $C151&lt;=J$16), IF(J$14&gt;1, N(MOD($C151-J$15, J$14)&lt;1), 1/J$14)*PI()*J$9/4*(J$7^2*MIN(J$10, $D150)+(J$7^2-J$8^2)*MIN(J$12, J$42))/IF($B$4, 25.4^3, 1), 0), 0)</f>
        <v>0</v>
      </c>
      <c r="M151" s="55" t="n">
        <f aca="false">IFERROR(IF(AND($C151&gt;=K$15, $C151&lt;=K$16), IF(K$14&gt;1, N(MOD($C151-K$15, K$14)&lt;1), 1/K$14)*PI()*K$9/4*(K$7^2*MIN(K$10, $D150)+(K$7^2-K$8^2)*MIN(K$12, K$42))/IF($B$4, 25.4^3, 1), 0), 0)</f>
        <v>0</v>
      </c>
    </row>
    <row r="152" customFormat="false" ht="15" hidden="false" customHeight="false" outlineLevel="0" collapsed="false">
      <c r="C152" s="55" t="n">
        <v>110</v>
      </c>
      <c r="D152" s="55" t="n">
        <f aca="false">MAX((D151*($N$10/IF($B$4, 16.387, 1))+E152-SUM(F152:M152))/($N$10/IF($B$4, 16.387, 1)), 0)</f>
        <v>42.228792624568</v>
      </c>
      <c r="E152" s="55" t="n">
        <f aca="false">IF(D151&lt;$N$15, $D$40*D151^3+$E$40*D151^2+$F$40*D151+$G$40, 0) * 12^3/60*14.7</f>
        <v>211.955729680291</v>
      </c>
      <c r="F152" s="55" t="n">
        <f aca="false">IFERROR(IF(AND($C152&gt;=D$15, $C152&lt;=D$16), IF(D$14&gt;1, N(MOD($C152-D$15, D$14)&lt;1), 1/D$14)*PI()*D$9/4*(D$7^2*MIN(D$10, $D151)+(D$7^2-D$8^2)*MIN(D$12, D$42))/IF($B$4, 25.4^3, 1), 0), 0)</f>
        <v>0</v>
      </c>
      <c r="G152" s="55" t="n">
        <f aca="false">IFERROR(IF(AND($C152&gt;=E$15, $C152&lt;=E$16), IF(E$14&gt;1, N(MOD($C152-E$15, E$14)&lt;1), 1/E$14)*PI()*E$9/4*(E$7^2*MIN(E$10, $D151)+(E$7^2-E$8^2)*MIN(E$12, E$42))/IF($B$4, 25.4^3, 1), 0), 0)</f>
        <v>0</v>
      </c>
      <c r="H152" s="55" t="n">
        <f aca="false">IFERROR(IF(AND($C152&gt;=F$15, $C152&lt;=F$16), IF(F$14&gt;1, N(MOD($C152-F$15, F$14)&lt;1), 1/F$14)*PI()*F$9/4*(F$7^2*MIN(F$10, $D151)+(F$7^2-F$8^2)*MIN(F$12, F$42))/IF($B$4, 25.4^3, 1), 0), 0)</f>
        <v>0</v>
      </c>
      <c r="I152" s="55" t="n">
        <f aca="false">IFERROR(IF(AND($C152&gt;=G$15, $C152&lt;=G$16), IF(G$14&gt;1, N(MOD($C152-G$15, G$14)&lt;1), 1/G$14)*PI()*G$9/4*(G$7^2*MIN(G$10, $D151)+(G$7^2-G$8^2)*MIN(G$12, G$42))/IF($B$4, 25.4^3, 1), 0), 0)</f>
        <v>0</v>
      </c>
      <c r="J152" s="55" t="n">
        <f aca="false">IFERROR(IF(AND($C152&gt;=H$15, $C152&lt;=H$16), IF(H$14&gt;1, N(MOD($C152-H$15, H$14)&lt;1), 1/H$14)*PI()*H$9/4*(H$7^2*MIN(H$10, $D151)+(H$7^2-H$8^2)*MIN(H$12, H$42))/IF($B$4, 25.4^3, 1), 0), 0)</f>
        <v>0</v>
      </c>
      <c r="K152" s="55" t="n">
        <f aca="false">IFERROR(IF(AND($C152&gt;=I$15, $C152&lt;=I$16), IF(I$14&gt;1, N(MOD($C152-I$15, I$14)&lt;1), 1/I$14)*PI()*I$9/4*(I$7^2*MIN(I$10, $D151)+(I$7^2-I$8^2)*MIN(I$12, I$42))/IF($B$4, 25.4^3, 1), 0), 0)</f>
        <v>0</v>
      </c>
      <c r="L152" s="55" t="n">
        <f aca="false">IFERROR(IF(AND($C152&gt;=J$15, $C152&lt;=J$16), IF(J$14&gt;1, N(MOD($C152-J$15, J$14)&lt;1), 1/J$14)*PI()*J$9/4*(J$7^2*MIN(J$10, $D151)+(J$7^2-J$8^2)*MIN(J$12, J$42))/IF($B$4, 25.4^3, 1), 0), 0)</f>
        <v>0</v>
      </c>
      <c r="M152" s="55" t="n">
        <f aca="false">IFERROR(IF(AND($C152&gt;=K$15, $C152&lt;=K$16), IF(K$14&gt;1, N(MOD($C152-K$15, K$14)&lt;1), 1/K$14)*PI()*K$9/4*(K$7^2*MIN(K$10, $D151)+(K$7^2-K$8^2)*MIN(K$12, K$42))/IF($B$4, 25.4^3, 1), 0), 0)</f>
        <v>0</v>
      </c>
    </row>
    <row r="153" customFormat="false" ht="15" hidden="false" customHeight="false" outlineLevel="0" collapsed="false">
      <c r="C153" s="55" t="n">
        <v>111</v>
      </c>
      <c r="D153" s="55" t="n">
        <f aca="false">MAX((D152*($N$10/IF($B$4, 16.387, 1))+E153-SUM(F153:M153))/($N$10/IF($B$4, 16.387, 1)), 0)</f>
        <v>44.2061788382063</v>
      </c>
      <c r="E153" s="55" t="n">
        <f aca="false">IF(D152&lt;$N$15, $D$40*D152^3+$E$40*D152^2+$F$40*D152+$G$40, 0) * 12^3/60*14.7</f>
        <v>207.625552432021</v>
      </c>
      <c r="F153" s="55" t="n">
        <f aca="false">IFERROR(IF(AND($C153&gt;=D$15, $C153&lt;=D$16), IF(D$14&gt;1, N(MOD($C153-D$15, D$14)&lt;1), 1/D$14)*PI()*D$9/4*(D$7^2*MIN(D$10, $D152)+(D$7^2-D$8^2)*MIN(D$12, D$42))/IF($B$4, 25.4^3, 1), 0), 0)</f>
        <v>0</v>
      </c>
      <c r="G153" s="55" t="n">
        <f aca="false">IFERROR(IF(AND($C153&gt;=E$15, $C153&lt;=E$16), IF(E$14&gt;1, N(MOD($C153-E$15, E$14)&lt;1), 1/E$14)*PI()*E$9/4*(E$7^2*MIN(E$10, $D152)+(E$7^2-E$8^2)*MIN(E$12, E$42))/IF($B$4, 25.4^3, 1), 0), 0)</f>
        <v>0</v>
      </c>
      <c r="H153" s="55" t="n">
        <f aca="false">IFERROR(IF(AND($C153&gt;=F$15, $C153&lt;=F$16), IF(F$14&gt;1, N(MOD($C153-F$15, F$14)&lt;1), 1/F$14)*PI()*F$9/4*(F$7^2*MIN(F$10, $D152)+(F$7^2-F$8^2)*MIN(F$12, F$42))/IF($B$4, 25.4^3, 1), 0), 0)</f>
        <v>0</v>
      </c>
      <c r="I153" s="55" t="n">
        <f aca="false">IFERROR(IF(AND($C153&gt;=G$15, $C153&lt;=G$16), IF(G$14&gt;1, N(MOD($C153-G$15, G$14)&lt;1), 1/G$14)*PI()*G$9/4*(G$7^2*MIN(G$10, $D152)+(G$7^2-G$8^2)*MIN(G$12, G$42))/IF($B$4, 25.4^3, 1), 0), 0)</f>
        <v>0</v>
      </c>
      <c r="J153" s="55" t="n">
        <f aca="false">IFERROR(IF(AND($C153&gt;=H$15, $C153&lt;=H$16), IF(H$14&gt;1, N(MOD($C153-H$15, H$14)&lt;1), 1/H$14)*PI()*H$9/4*(H$7^2*MIN(H$10, $D152)+(H$7^2-H$8^2)*MIN(H$12, H$42))/IF($B$4, 25.4^3, 1), 0), 0)</f>
        <v>0</v>
      </c>
      <c r="K153" s="55" t="n">
        <f aca="false">IFERROR(IF(AND($C153&gt;=I$15, $C153&lt;=I$16), IF(I$14&gt;1, N(MOD($C153-I$15, I$14)&lt;1), 1/I$14)*PI()*I$9/4*(I$7^2*MIN(I$10, $D152)+(I$7^2-I$8^2)*MIN(I$12, I$42))/IF($B$4, 25.4^3, 1), 0), 0)</f>
        <v>0</v>
      </c>
      <c r="L153" s="55" t="n">
        <f aca="false">IFERROR(IF(AND($C153&gt;=J$15, $C153&lt;=J$16), IF(J$14&gt;1, N(MOD($C153-J$15, J$14)&lt;1), 1/J$14)*PI()*J$9/4*(J$7^2*MIN(J$10, $D152)+(J$7^2-J$8^2)*MIN(J$12, J$42))/IF($B$4, 25.4^3, 1), 0), 0)</f>
        <v>0</v>
      </c>
      <c r="M153" s="55" t="n">
        <f aca="false">IFERROR(IF(AND($C153&gt;=K$15, $C153&lt;=K$16), IF(K$14&gt;1, N(MOD($C153-K$15, K$14)&lt;1), 1/K$14)*PI()*K$9/4*(K$7^2*MIN(K$10, $D152)+(K$7^2-K$8^2)*MIN(K$12, K$42))/IF($B$4, 25.4^3, 1), 0), 0)</f>
        <v>0</v>
      </c>
    </row>
    <row r="154" customFormat="false" ht="15" hidden="false" customHeight="false" outlineLevel="0" collapsed="false">
      <c r="C154" s="55" t="n">
        <v>112</v>
      </c>
      <c r="D154" s="55" t="n">
        <f aca="false">MAX((D153*($N$10/IF($B$4, 16.387, 1))+E154-SUM(F154:M154))/($N$10/IF($B$4, 16.387, 1)), 0)</f>
        <v>46.1434796337809</v>
      </c>
      <c r="E154" s="55" t="n">
        <f aca="false">IF(D153&lt;$N$15, $D$40*D153^3+$E$40*D153^2+$F$40*D153+$G$40, 0) * 12^3/60*14.7</f>
        <v>203.416583535333</v>
      </c>
      <c r="F154" s="55" t="n">
        <f aca="false">IFERROR(IF(AND($C154&gt;=D$15, $C154&lt;=D$16), IF(D$14&gt;1, N(MOD($C154-D$15, D$14)&lt;1), 1/D$14)*PI()*D$9/4*(D$7^2*MIN(D$10, $D153)+(D$7^2-D$8^2)*MIN(D$12, D$42))/IF($B$4, 25.4^3, 1), 0), 0)</f>
        <v>0</v>
      </c>
      <c r="G154" s="55" t="n">
        <f aca="false">IFERROR(IF(AND($C154&gt;=E$15, $C154&lt;=E$16), IF(E$14&gt;1, N(MOD($C154-E$15, E$14)&lt;1), 1/E$14)*PI()*E$9/4*(E$7^2*MIN(E$10, $D153)+(E$7^2-E$8^2)*MIN(E$12, E$42))/IF($B$4, 25.4^3, 1), 0), 0)</f>
        <v>0</v>
      </c>
      <c r="H154" s="55" t="n">
        <f aca="false">IFERROR(IF(AND($C154&gt;=F$15, $C154&lt;=F$16), IF(F$14&gt;1, N(MOD($C154-F$15, F$14)&lt;1), 1/F$14)*PI()*F$9/4*(F$7^2*MIN(F$10, $D153)+(F$7^2-F$8^2)*MIN(F$12, F$42))/IF($B$4, 25.4^3, 1), 0), 0)</f>
        <v>0</v>
      </c>
      <c r="I154" s="55" t="n">
        <f aca="false">IFERROR(IF(AND($C154&gt;=G$15, $C154&lt;=G$16), IF(G$14&gt;1, N(MOD($C154-G$15, G$14)&lt;1), 1/G$14)*PI()*G$9/4*(G$7^2*MIN(G$10, $D153)+(G$7^2-G$8^2)*MIN(G$12, G$42))/IF($B$4, 25.4^3, 1), 0), 0)</f>
        <v>0</v>
      </c>
      <c r="J154" s="55" t="n">
        <f aca="false">IFERROR(IF(AND($C154&gt;=H$15, $C154&lt;=H$16), IF(H$14&gt;1, N(MOD($C154-H$15, H$14)&lt;1), 1/H$14)*PI()*H$9/4*(H$7^2*MIN(H$10, $D153)+(H$7^2-H$8^2)*MIN(H$12, H$42))/IF($B$4, 25.4^3, 1), 0), 0)</f>
        <v>0</v>
      </c>
      <c r="K154" s="55" t="n">
        <f aca="false">IFERROR(IF(AND($C154&gt;=I$15, $C154&lt;=I$16), IF(I$14&gt;1, N(MOD($C154-I$15, I$14)&lt;1), 1/I$14)*PI()*I$9/4*(I$7^2*MIN(I$10, $D153)+(I$7^2-I$8^2)*MIN(I$12, I$42))/IF($B$4, 25.4^3, 1), 0), 0)</f>
        <v>0</v>
      </c>
      <c r="L154" s="55" t="n">
        <f aca="false">IFERROR(IF(AND($C154&gt;=J$15, $C154&lt;=J$16), IF(J$14&gt;1, N(MOD($C154-J$15, J$14)&lt;1), 1/J$14)*PI()*J$9/4*(J$7^2*MIN(J$10, $D153)+(J$7^2-J$8^2)*MIN(J$12, J$42))/IF($B$4, 25.4^3, 1), 0), 0)</f>
        <v>0</v>
      </c>
      <c r="M154" s="55" t="n">
        <f aca="false">IFERROR(IF(AND($C154&gt;=K$15, $C154&lt;=K$16), IF(K$14&gt;1, N(MOD($C154-K$15, K$14)&lt;1), 1/K$14)*PI()*K$9/4*(K$7^2*MIN(K$10, $D153)+(K$7^2-K$8^2)*MIN(K$12, K$42))/IF($B$4, 25.4^3, 1), 0), 0)</f>
        <v>0</v>
      </c>
    </row>
    <row r="155" customFormat="false" ht="15" hidden="false" customHeight="false" outlineLevel="0" collapsed="false">
      <c r="C155" s="55" t="n">
        <v>113</v>
      </c>
      <c r="D155" s="55" t="n">
        <f aca="false">MAX((D154*($N$10/IF($B$4, 16.387, 1))+E155-SUM(F155:M155))/($N$10/IF($B$4, 16.387, 1)), 0)</f>
        <v>37.1234400868031</v>
      </c>
      <c r="E155" s="55" t="n">
        <f aca="false">IF(D154&lt;$N$15, $D$40*D154^3+$E$40*D154^2+$F$40*D154+$G$40, 0) * 12^3/60*14.7</f>
        <v>199.331729201546</v>
      </c>
      <c r="F155" s="55" t="n">
        <f aca="false">IFERROR(IF(AND($C155&gt;=D$15, $C155&lt;=D$16), IF(D$14&gt;1, N(MOD($C155-D$15, D$14)&lt;1), 1/D$14)*PI()*D$9/4*(D$7^2*MIN(D$10, $D154)+(D$7^2-D$8^2)*MIN(D$12, D$42))/IF($B$4, 25.4^3, 1), 0), 0)</f>
        <v>1146.43588163421</v>
      </c>
      <c r="G155" s="55" t="n">
        <f aca="false">IFERROR(IF(AND($C155&gt;=E$15, $C155&lt;=E$16), IF(E$14&gt;1, N(MOD($C155-E$15, E$14)&lt;1), 1/E$14)*PI()*E$9/4*(E$7^2*MIN(E$10, $D154)+(E$7^2-E$8^2)*MIN(E$12, E$42))/IF($B$4, 25.4^3, 1), 0), 0)</f>
        <v>0</v>
      </c>
      <c r="H155" s="55" t="n">
        <f aca="false">IFERROR(IF(AND($C155&gt;=F$15, $C155&lt;=F$16), IF(F$14&gt;1, N(MOD($C155-F$15, F$14)&lt;1), 1/F$14)*PI()*F$9/4*(F$7^2*MIN(F$10, $D154)+(F$7^2-F$8^2)*MIN(F$12, F$42))/IF($B$4, 25.4^3, 1), 0), 0)</f>
        <v>0</v>
      </c>
      <c r="I155" s="55" t="n">
        <f aca="false">IFERROR(IF(AND($C155&gt;=G$15, $C155&lt;=G$16), IF(G$14&gt;1, N(MOD($C155-G$15, G$14)&lt;1), 1/G$14)*PI()*G$9/4*(G$7^2*MIN(G$10, $D154)+(G$7^2-G$8^2)*MIN(G$12, G$42))/IF($B$4, 25.4^3, 1), 0), 0)</f>
        <v>0</v>
      </c>
      <c r="J155" s="55" t="n">
        <f aca="false">IFERROR(IF(AND($C155&gt;=H$15, $C155&lt;=H$16), IF(H$14&gt;1, N(MOD($C155-H$15, H$14)&lt;1), 1/H$14)*PI()*H$9/4*(H$7^2*MIN(H$10, $D154)+(H$7^2-H$8^2)*MIN(H$12, H$42))/IF($B$4, 25.4^3, 1), 0), 0)</f>
        <v>0</v>
      </c>
      <c r="K155" s="55" t="n">
        <f aca="false">IFERROR(IF(AND($C155&gt;=I$15, $C155&lt;=I$16), IF(I$14&gt;1, N(MOD($C155-I$15, I$14)&lt;1), 1/I$14)*PI()*I$9/4*(I$7^2*MIN(I$10, $D154)+(I$7^2-I$8^2)*MIN(I$12, I$42))/IF($B$4, 25.4^3, 1), 0), 0)</f>
        <v>0</v>
      </c>
      <c r="L155" s="55" t="n">
        <f aca="false">IFERROR(IF(AND($C155&gt;=J$15, $C155&lt;=J$16), IF(J$14&gt;1, N(MOD($C155-J$15, J$14)&lt;1), 1/J$14)*PI()*J$9/4*(J$7^2*MIN(J$10, $D154)+(J$7^2-J$8^2)*MIN(J$12, J$42))/IF($B$4, 25.4^3, 1), 0), 0)</f>
        <v>0</v>
      </c>
      <c r="M155" s="55" t="n">
        <f aca="false">IFERROR(IF(AND($C155&gt;=K$15, $C155&lt;=K$16), IF(K$14&gt;1, N(MOD($C155-K$15, K$14)&lt;1), 1/K$14)*PI()*K$9/4*(K$7^2*MIN(K$10, $D154)+(K$7^2-K$8^2)*MIN(K$12, K$42))/IF($B$4, 25.4^3, 1), 0), 0)</f>
        <v>0</v>
      </c>
    </row>
    <row r="156" customFormat="false" ht="15" hidden="false" customHeight="false" outlineLevel="0" collapsed="false">
      <c r="C156" s="55" t="n">
        <v>114</v>
      </c>
      <c r="D156" s="55" t="n">
        <f aca="false">MAX((D155*($N$10/IF($B$4, 16.387, 1))+E156-SUM(F156:M156))/($N$10/IF($B$4, 16.387, 1)), 0)</f>
        <v>39.2055747757946</v>
      </c>
      <c r="E156" s="55" t="n">
        <f aca="false">IF(D155&lt;$N$15, $D$40*D155^3+$E$40*D155^2+$F$40*D155+$G$40, 0) * 12^3/60*14.7</f>
        <v>218.6241423441</v>
      </c>
      <c r="F156" s="55" t="n">
        <f aca="false">IFERROR(IF(AND($C156&gt;=D$15, $C156&lt;=D$16), IF(D$14&gt;1, N(MOD($C156-D$15, D$14)&lt;1), 1/D$14)*PI()*D$9/4*(D$7^2*MIN(D$10, $D155)+(D$7^2-D$8^2)*MIN(D$12, D$42))/IF($B$4, 25.4^3, 1), 0), 0)</f>
        <v>0</v>
      </c>
      <c r="G156" s="55" t="n">
        <f aca="false">IFERROR(IF(AND($C156&gt;=E$15, $C156&lt;=E$16), IF(E$14&gt;1, N(MOD($C156-E$15, E$14)&lt;1), 1/E$14)*PI()*E$9/4*(E$7^2*MIN(E$10, $D155)+(E$7^2-E$8^2)*MIN(E$12, E$42))/IF($B$4, 25.4^3, 1), 0), 0)</f>
        <v>0</v>
      </c>
      <c r="H156" s="55" t="n">
        <f aca="false">IFERROR(IF(AND($C156&gt;=F$15, $C156&lt;=F$16), IF(F$14&gt;1, N(MOD($C156-F$15, F$14)&lt;1), 1/F$14)*PI()*F$9/4*(F$7^2*MIN(F$10, $D155)+(F$7^2-F$8^2)*MIN(F$12, F$42))/IF($B$4, 25.4^3, 1), 0), 0)</f>
        <v>0</v>
      </c>
      <c r="I156" s="55" t="n">
        <f aca="false">IFERROR(IF(AND($C156&gt;=G$15, $C156&lt;=G$16), IF(G$14&gt;1, N(MOD($C156-G$15, G$14)&lt;1), 1/G$14)*PI()*G$9/4*(G$7^2*MIN(G$10, $D155)+(G$7^2-G$8^2)*MIN(G$12, G$42))/IF($B$4, 25.4^3, 1), 0), 0)</f>
        <v>0</v>
      </c>
      <c r="J156" s="55" t="n">
        <f aca="false">IFERROR(IF(AND($C156&gt;=H$15, $C156&lt;=H$16), IF(H$14&gt;1, N(MOD($C156-H$15, H$14)&lt;1), 1/H$14)*PI()*H$9/4*(H$7^2*MIN(H$10, $D155)+(H$7^2-H$8^2)*MIN(H$12, H$42))/IF($B$4, 25.4^3, 1), 0), 0)</f>
        <v>0</v>
      </c>
      <c r="K156" s="55" t="n">
        <f aca="false">IFERROR(IF(AND($C156&gt;=I$15, $C156&lt;=I$16), IF(I$14&gt;1, N(MOD($C156-I$15, I$14)&lt;1), 1/I$14)*PI()*I$9/4*(I$7^2*MIN(I$10, $D155)+(I$7^2-I$8^2)*MIN(I$12, I$42))/IF($B$4, 25.4^3, 1), 0), 0)</f>
        <v>0</v>
      </c>
      <c r="L156" s="55" t="n">
        <f aca="false">IFERROR(IF(AND($C156&gt;=J$15, $C156&lt;=J$16), IF(J$14&gt;1, N(MOD($C156-J$15, J$14)&lt;1), 1/J$14)*PI()*J$9/4*(J$7^2*MIN(J$10, $D155)+(J$7^2-J$8^2)*MIN(J$12, J$42))/IF($B$4, 25.4^3, 1), 0), 0)</f>
        <v>0</v>
      </c>
      <c r="M156" s="55" t="n">
        <f aca="false">IFERROR(IF(AND($C156&gt;=K$15, $C156&lt;=K$16), IF(K$14&gt;1, N(MOD($C156-K$15, K$14)&lt;1), 1/K$14)*PI()*K$9/4*(K$7^2*MIN(K$10, $D155)+(K$7^2-K$8^2)*MIN(K$12, K$42))/IF($B$4, 25.4^3, 1), 0), 0)</f>
        <v>0</v>
      </c>
    </row>
    <row r="157" customFormat="false" ht="15" hidden="false" customHeight="false" outlineLevel="0" collapsed="false">
      <c r="C157" s="55" t="n">
        <v>115</v>
      </c>
      <c r="D157" s="55" t="n">
        <f aca="false">MAX((D156*($N$10/IF($B$4, 16.387, 1))+E157-SUM(F157:M157))/($N$10/IF($B$4, 16.387, 1)), 0)</f>
        <v>41.2448204097134</v>
      </c>
      <c r="E157" s="55" t="n">
        <f aca="false">IF(D156&lt;$N$15, $D$40*D156^3+$E$40*D156^2+$F$40*D156+$G$40, 0) * 12^3/60*14.7</f>
        <v>214.120791561477</v>
      </c>
      <c r="F157" s="55" t="n">
        <f aca="false">IFERROR(IF(AND($C157&gt;=D$15, $C157&lt;=D$16), IF(D$14&gt;1, N(MOD($C157-D$15, D$14)&lt;1), 1/D$14)*PI()*D$9/4*(D$7^2*MIN(D$10, $D156)+(D$7^2-D$8^2)*MIN(D$12, D$42))/IF($B$4, 25.4^3, 1), 0), 0)</f>
        <v>0</v>
      </c>
      <c r="G157" s="55" t="n">
        <f aca="false">IFERROR(IF(AND($C157&gt;=E$15, $C157&lt;=E$16), IF(E$14&gt;1, N(MOD($C157-E$15, E$14)&lt;1), 1/E$14)*PI()*E$9/4*(E$7^2*MIN(E$10, $D156)+(E$7^2-E$8^2)*MIN(E$12, E$42))/IF($B$4, 25.4^3, 1), 0), 0)</f>
        <v>0</v>
      </c>
      <c r="H157" s="55" t="n">
        <f aca="false">IFERROR(IF(AND($C157&gt;=F$15, $C157&lt;=F$16), IF(F$14&gt;1, N(MOD($C157-F$15, F$14)&lt;1), 1/F$14)*PI()*F$9/4*(F$7^2*MIN(F$10, $D156)+(F$7^2-F$8^2)*MIN(F$12, F$42))/IF($B$4, 25.4^3, 1), 0), 0)</f>
        <v>0</v>
      </c>
      <c r="I157" s="55" t="n">
        <f aca="false">IFERROR(IF(AND($C157&gt;=G$15, $C157&lt;=G$16), IF(G$14&gt;1, N(MOD($C157-G$15, G$14)&lt;1), 1/G$14)*PI()*G$9/4*(G$7^2*MIN(G$10, $D156)+(G$7^2-G$8^2)*MIN(G$12, G$42))/IF($B$4, 25.4^3, 1), 0), 0)</f>
        <v>0</v>
      </c>
      <c r="J157" s="55" t="n">
        <f aca="false">IFERROR(IF(AND($C157&gt;=H$15, $C157&lt;=H$16), IF(H$14&gt;1, N(MOD($C157-H$15, H$14)&lt;1), 1/H$14)*PI()*H$9/4*(H$7^2*MIN(H$10, $D156)+(H$7^2-H$8^2)*MIN(H$12, H$42))/IF($B$4, 25.4^3, 1), 0), 0)</f>
        <v>0</v>
      </c>
      <c r="K157" s="55" t="n">
        <f aca="false">IFERROR(IF(AND($C157&gt;=I$15, $C157&lt;=I$16), IF(I$14&gt;1, N(MOD($C157-I$15, I$14)&lt;1), 1/I$14)*PI()*I$9/4*(I$7^2*MIN(I$10, $D156)+(I$7^2-I$8^2)*MIN(I$12, I$42))/IF($B$4, 25.4^3, 1), 0), 0)</f>
        <v>0</v>
      </c>
      <c r="L157" s="55" t="n">
        <f aca="false">IFERROR(IF(AND($C157&gt;=J$15, $C157&lt;=J$16), IF(J$14&gt;1, N(MOD($C157-J$15, J$14)&lt;1), 1/J$14)*PI()*J$9/4*(J$7^2*MIN(J$10, $D156)+(J$7^2-J$8^2)*MIN(J$12, J$42))/IF($B$4, 25.4^3, 1), 0), 0)</f>
        <v>0</v>
      </c>
      <c r="M157" s="55" t="n">
        <f aca="false">IFERROR(IF(AND($C157&gt;=K$15, $C157&lt;=K$16), IF(K$14&gt;1, N(MOD($C157-K$15, K$14)&lt;1), 1/K$14)*PI()*K$9/4*(K$7^2*MIN(K$10, $D156)+(K$7^2-K$8^2)*MIN(K$12, K$42))/IF($B$4, 25.4^3, 1), 0), 0)</f>
        <v>0</v>
      </c>
    </row>
    <row r="158" customFormat="false" ht="15" hidden="false" customHeight="false" outlineLevel="0" collapsed="false">
      <c r="C158" s="55" t="n">
        <v>116</v>
      </c>
      <c r="D158" s="55" t="n">
        <f aca="false">MAX((D157*($N$10/IF($B$4, 16.387, 1))+E158-SUM(F158:M158))/($N$10/IF($B$4, 16.387, 1)), 0)</f>
        <v>43.2422733306481</v>
      </c>
      <c r="E158" s="55" t="n">
        <f aca="false">IF(D157&lt;$N$15, $D$40*D157^3+$E$40*D157^2+$F$40*D157+$G$40, 0) * 12^3/60*14.7</f>
        <v>209.732556698145</v>
      </c>
      <c r="F158" s="55" t="n">
        <f aca="false">IFERROR(IF(AND($C158&gt;=D$15, $C158&lt;=D$16), IF(D$14&gt;1, N(MOD($C158-D$15, D$14)&lt;1), 1/D$14)*PI()*D$9/4*(D$7^2*MIN(D$10, $D157)+(D$7^2-D$8^2)*MIN(D$12, D$42))/IF($B$4, 25.4^3, 1), 0), 0)</f>
        <v>0</v>
      </c>
      <c r="G158" s="55" t="n">
        <f aca="false">IFERROR(IF(AND($C158&gt;=E$15, $C158&lt;=E$16), IF(E$14&gt;1, N(MOD($C158-E$15, E$14)&lt;1), 1/E$14)*PI()*E$9/4*(E$7^2*MIN(E$10, $D157)+(E$7^2-E$8^2)*MIN(E$12, E$42))/IF($B$4, 25.4^3, 1), 0), 0)</f>
        <v>0</v>
      </c>
      <c r="H158" s="55" t="n">
        <f aca="false">IFERROR(IF(AND($C158&gt;=F$15, $C158&lt;=F$16), IF(F$14&gt;1, N(MOD($C158-F$15, F$14)&lt;1), 1/F$14)*PI()*F$9/4*(F$7^2*MIN(F$10, $D157)+(F$7^2-F$8^2)*MIN(F$12, F$42))/IF($B$4, 25.4^3, 1), 0), 0)</f>
        <v>0</v>
      </c>
      <c r="I158" s="55" t="n">
        <f aca="false">IFERROR(IF(AND($C158&gt;=G$15, $C158&lt;=G$16), IF(G$14&gt;1, N(MOD($C158-G$15, G$14)&lt;1), 1/G$14)*PI()*G$9/4*(G$7^2*MIN(G$10, $D157)+(G$7^2-G$8^2)*MIN(G$12, G$42))/IF($B$4, 25.4^3, 1), 0), 0)</f>
        <v>0</v>
      </c>
      <c r="J158" s="55" t="n">
        <f aca="false">IFERROR(IF(AND($C158&gt;=H$15, $C158&lt;=H$16), IF(H$14&gt;1, N(MOD($C158-H$15, H$14)&lt;1), 1/H$14)*PI()*H$9/4*(H$7^2*MIN(H$10, $D157)+(H$7^2-H$8^2)*MIN(H$12, H$42))/IF($B$4, 25.4^3, 1), 0), 0)</f>
        <v>0</v>
      </c>
      <c r="K158" s="55" t="n">
        <f aca="false">IFERROR(IF(AND($C158&gt;=I$15, $C158&lt;=I$16), IF(I$14&gt;1, N(MOD($C158-I$15, I$14)&lt;1), 1/I$14)*PI()*I$9/4*(I$7^2*MIN(I$10, $D157)+(I$7^2-I$8^2)*MIN(I$12, I$42))/IF($B$4, 25.4^3, 1), 0), 0)</f>
        <v>0</v>
      </c>
      <c r="L158" s="55" t="n">
        <f aca="false">IFERROR(IF(AND($C158&gt;=J$15, $C158&lt;=J$16), IF(J$14&gt;1, N(MOD($C158-J$15, J$14)&lt;1), 1/J$14)*PI()*J$9/4*(J$7^2*MIN(J$10, $D157)+(J$7^2-J$8^2)*MIN(J$12, J$42))/IF($B$4, 25.4^3, 1), 0), 0)</f>
        <v>0</v>
      </c>
      <c r="M158" s="55" t="n">
        <f aca="false">IFERROR(IF(AND($C158&gt;=K$15, $C158&lt;=K$16), IF(K$14&gt;1, N(MOD($C158-K$15, K$14)&lt;1), 1/K$14)*PI()*K$9/4*(K$7^2*MIN(K$10, $D157)+(K$7^2-K$8^2)*MIN(K$12, K$42))/IF($B$4, 25.4^3, 1), 0), 0)</f>
        <v>0</v>
      </c>
    </row>
    <row r="159" customFormat="false" ht="15" hidden="false" customHeight="false" outlineLevel="0" collapsed="false">
      <c r="C159" s="55" t="n">
        <v>117</v>
      </c>
      <c r="D159" s="55" t="n">
        <f aca="false">MAX((D158*($N$10/IF($B$4, 16.387, 1))+E159-SUM(F159:M159))/($N$10/IF($B$4, 16.387, 1)), 0)</f>
        <v>45.1990711720855</v>
      </c>
      <c r="E159" s="55" t="n">
        <f aca="false">IF(D158&lt;$N$15, $D$40*D158^3+$E$40*D158^2+$F$40*D158+$G$40, 0) * 12^3/60*14.7</f>
        <v>205.46377335093</v>
      </c>
      <c r="F159" s="55" t="n">
        <f aca="false">IFERROR(IF(AND($C159&gt;=D$15, $C159&lt;=D$16), IF(D$14&gt;1, N(MOD($C159-D$15, D$14)&lt;1), 1/D$14)*PI()*D$9/4*(D$7^2*MIN(D$10, $D158)+(D$7^2-D$8^2)*MIN(D$12, D$42))/IF($B$4, 25.4^3, 1), 0), 0)</f>
        <v>0</v>
      </c>
      <c r="G159" s="55" t="n">
        <f aca="false">IFERROR(IF(AND($C159&gt;=E$15, $C159&lt;=E$16), IF(E$14&gt;1, N(MOD($C159-E$15, E$14)&lt;1), 1/E$14)*PI()*E$9/4*(E$7^2*MIN(E$10, $D158)+(E$7^2-E$8^2)*MIN(E$12, E$42))/IF($B$4, 25.4^3, 1), 0), 0)</f>
        <v>0</v>
      </c>
      <c r="H159" s="55" t="n">
        <f aca="false">IFERROR(IF(AND($C159&gt;=F$15, $C159&lt;=F$16), IF(F$14&gt;1, N(MOD($C159-F$15, F$14)&lt;1), 1/F$14)*PI()*F$9/4*(F$7^2*MIN(F$10, $D158)+(F$7^2-F$8^2)*MIN(F$12, F$42))/IF($B$4, 25.4^3, 1), 0), 0)</f>
        <v>0</v>
      </c>
      <c r="I159" s="55" t="n">
        <f aca="false">IFERROR(IF(AND($C159&gt;=G$15, $C159&lt;=G$16), IF(G$14&gt;1, N(MOD($C159-G$15, G$14)&lt;1), 1/G$14)*PI()*G$9/4*(G$7^2*MIN(G$10, $D158)+(G$7^2-G$8^2)*MIN(G$12, G$42))/IF($B$4, 25.4^3, 1), 0), 0)</f>
        <v>0</v>
      </c>
      <c r="J159" s="55" t="n">
        <f aca="false">IFERROR(IF(AND($C159&gt;=H$15, $C159&lt;=H$16), IF(H$14&gt;1, N(MOD($C159-H$15, H$14)&lt;1), 1/H$14)*PI()*H$9/4*(H$7^2*MIN(H$10, $D158)+(H$7^2-H$8^2)*MIN(H$12, H$42))/IF($B$4, 25.4^3, 1), 0), 0)</f>
        <v>0</v>
      </c>
      <c r="K159" s="55" t="n">
        <f aca="false">IFERROR(IF(AND($C159&gt;=I$15, $C159&lt;=I$16), IF(I$14&gt;1, N(MOD($C159-I$15, I$14)&lt;1), 1/I$14)*PI()*I$9/4*(I$7^2*MIN(I$10, $D158)+(I$7^2-I$8^2)*MIN(I$12, I$42))/IF($B$4, 25.4^3, 1), 0), 0)</f>
        <v>0</v>
      </c>
      <c r="L159" s="55" t="n">
        <f aca="false">IFERROR(IF(AND($C159&gt;=J$15, $C159&lt;=J$16), IF(J$14&gt;1, N(MOD($C159-J$15, J$14)&lt;1), 1/J$14)*PI()*J$9/4*(J$7^2*MIN(J$10, $D158)+(J$7^2-J$8^2)*MIN(J$12, J$42))/IF($B$4, 25.4^3, 1), 0), 0)</f>
        <v>0</v>
      </c>
      <c r="M159" s="55" t="n">
        <f aca="false">IFERROR(IF(AND($C159&gt;=K$15, $C159&lt;=K$16), IF(K$14&gt;1, N(MOD($C159-K$15, K$14)&lt;1), 1/K$14)*PI()*K$9/4*(K$7^2*MIN(K$10, $D158)+(K$7^2-K$8^2)*MIN(K$12, K$42))/IF($B$4, 25.4^3, 1), 0), 0)</f>
        <v>0</v>
      </c>
    </row>
    <row r="160" customFormat="false" ht="15" hidden="false" customHeight="false" outlineLevel="0" collapsed="false">
      <c r="C160" s="55" t="n">
        <v>118</v>
      </c>
      <c r="D160" s="55" t="n">
        <f aca="false">MAX((D159*($N$10/IF($B$4, 16.387, 1))+E160-SUM(F160:M160))/($N$10/IF($B$4, 16.387, 1)), 0)</f>
        <v>36.1979464863421</v>
      </c>
      <c r="E160" s="55" t="n">
        <f aca="false">IF(D159&lt;$N$15, $D$40*D159^3+$E$40*D159^2+$F$40*D159+$G$40, 0) * 12^3/60*14.7</f>
        <v>201.317789631148</v>
      </c>
      <c r="F160" s="55" t="n">
        <f aca="false">IFERROR(IF(AND($C160&gt;=D$15, $C160&lt;=D$16), IF(D$14&gt;1, N(MOD($C160-D$15, D$14)&lt;1), 1/D$14)*PI()*D$9/4*(D$7^2*MIN(D$10, $D159)+(D$7^2-D$8^2)*MIN(D$12, D$42))/IF($B$4, 25.4^3, 1), 0), 0)</f>
        <v>1146.43588163421</v>
      </c>
      <c r="G160" s="55" t="n">
        <f aca="false">IFERROR(IF(AND($C160&gt;=E$15, $C160&lt;=E$16), IF(E$14&gt;1, N(MOD($C160-E$15, E$14)&lt;1), 1/E$14)*PI()*E$9/4*(E$7^2*MIN(E$10, $D159)+(E$7^2-E$8^2)*MIN(E$12, E$42))/IF($B$4, 25.4^3, 1), 0), 0)</f>
        <v>0</v>
      </c>
      <c r="H160" s="55" t="n">
        <f aca="false">IFERROR(IF(AND($C160&gt;=F$15, $C160&lt;=F$16), IF(F$14&gt;1, N(MOD($C160-F$15, F$14)&lt;1), 1/F$14)*PI()*F$9/4*(F$7^2*MIN(F$10, $D159)+(F$7^2-F$8^2)*MIN(F$12, F$42))/IF($B$4, 25.4^3, 1), 0), 0)</f>
        <v>0</v>
      </c>
      <c r="I160" s="55" t="n">
        <f aca="false">IFERROR(IF(AND($C160&gt;=G$15, $C160&lt;=G$16), IF(G$14&gt;1, N(MOD($C160-G$15, G$14)&lt;1), 1/G$14)*PI()*G$9/4*(G$7^2*MIN(G$10, $D159)+(G$7^2-G$8^2)*MIN(G$12, G$42))/IF($B$4, 25.4^3, 1), 0), 0)</f>
        <v>0</v>
      </c>
      <c r="J160" s="55" t="n">
        <f aca="false">IFERROR(IF(AND($C160&gt;=H$15, $C160&lt;=H$16), IF(H$14&gt;1, N(MOD($C160-H$15, H$14)&lt;1), 1/H$14)*PI()*H$9/4*(H$7^2*MIN(H$10, $D159)+(H$7^2-H$8^2)*MIN(H$12, H$42))/IF($B$4, 25.4^3, 1), 0), 0)</f>
        <v>0</v>
      </c>
      <c r="K160" s="55" t="n">
        <f aca="false">IFERROR(IF(AND($C160&gt;=I$15, $C160&lt;=I$16), IF(I$14&gt;1, N(MOD($C160-I$15, I$14)&lt;1), 1/I$14)*PI()*I$9/4*(I$7^2*MIN(I$10, $D159)+(I$7^2-I$8^2)*MIN(I$12, I$42))/IF($B$4, 25.4^3, 1), 0), 0)</f>
        <v>0</v>
      </c>
      <c r="L160" s="55" t="n">
        <f aca="false">IFERROR(IF(AND($C160&gt;=J$15, $C160&lt;=J$16), IF(J$14&gt;1, N(MOD($C160-J$15, J$14)&lt;1), 1/J$14)*PI()*J$9/4*(J$7^2*MIN(J$10, $D159)+(J$7^2-J$8^2)*MIN(J$12, J$42))/IF($B$4, 25.4^3, 1), 0), 0)</f>
        <v>0</v>
      </c>
      <c r="M160" s="55" t="n">
        <f aca="false">IFERROR(IF(AND($C160&gt;=K$15, $C160&lt;=K$16), IF(K$14&gt;1, N(MOD($C160-K$15, K$14)&lt;1), 1/K$14)*PI()*K$9/4*(K$7^2*MIN(K$10, $D159)+(K$7^2-K$8^2)*MIN(K$12, K$42))/IF($B$4, 25.4^3, 1), 0), 0)</f>
        <v>0</v>
      </c>
    </row>
    <row r="161" customFormat="false" ht="15" hidden="false" customHeight="false" outlineLevel="0" collapsed="false">
      <c r="C161" s="55" t="n">
        <v>119</v>
      </c>
      <c r="D161" s="55" t="n">
        <f aca="false">MAX((D160*($N$10/IF($B$4, 16.387, 1))+E161-SUM(F161:M161))/($N$10/IF($B$4, 16.387, 1)), 0)</f>
        <v>38.2991936611595</v>
      </c>
      <c r="E161" s="55" t="n">
        <f aca="false">IF(D160&lt;$N$15, $D$40*D160^3+$E$40*D160^2+$F$40*D160+$G$40, 0) * 12^3/60*14.7</f>
        <v>220.630953355833</v>
      </c>
      <c r="F161" s="55" t="n">
        <f aca="false">IFERROR(IF(AND($C161&gt;=D$15, $C161&lt;=D$16), IF(D$14&gt;1, N(MOD($C161-D$15, D$14)&lt;1), 1/D$14)*PI()*D$9/4*(D$7^2*MIN(D$10, $D160)+(D$7^2-D$8^2)*MIN(D$12, D$42))/IF($B$4, 25.4^3, 1), 0), 0)</f>
        <v>0</v>
      </c>
      <c r="G161" s="55" t="n">
        <f aca="false">IFERROR(IF(AND($C161&gt;=E$15, $C161&lt;=E$16), IF(E$14&gt;1, N(MOD($C161-E$15, E$14)&lt;1), 1/E$14)*PI()*E$9/4*(E$7^2*MIN(E$10, $D160)+(E$7^2-E$8^2)*MIN(E$12, E$42))/IF($B$4, 25.4^3, 1), 0), 0)</f>
        <v>0</v>
      </c>
      <c r="H161" s="55" t="n">
        <f aca="false">IFERROR(IF(AND($C161&gt;=F$15, $C161&lt;=F$16), IF(F$14&gt;1, N(MOD($C161-F$15, F$14)&lt;1), 1/F$14)*PI()*F$9/4*(F$7^2*MIN(F$10, $D160)+(F$7^2-F$8^2)*MIN(F$12, F$42))/IF($B$4, 25.4^3, 1), 0), 0)</f>
        <v>0</v>
      </c>
      <c r="I161" s="55" t="n">
        <f aca="false">IFERROR(IF(AND($C161&gt;=G$15, $C161&lt;=G$16), IF(G$14&gt;1, N(MOD($C161-G$15, G$14)&lt;1), 1/G$14)*PI()*G$9/4*(G$7^2*MIN(G$10, $D160)+(G$7^2-G$8^2)*MIN(G$12, G$42))/IF($B$4, 25.4^3, 1), 0), 0)</f>
        <v>0</v>
      </c>
      <c r="J161" s="55" t="n">
        <f aca="false">IFERROR(IF(AND($C161&gt;=H$15, $C161&lt;=H$16), IF(H$14&gt;1, N(MOD($C161-H$15, H$14)&lt;1), 1/H$14)*PI()*H$9/4*(H$7^2*MIN(H$10, $D160)+(H$7^2-H$8^2)*MIN(H$12, H$42))/IF($B$4, 25.4^3, 1), 0), 0)</f>
        <v>0</v>
      </c>
      <c r="K161" s="55" t="n">
        <f aca="false">IFERROR(IF(AND($C161&gt;=I$15, $C161&lt;=I$16), IF(I$14&gt;1, N(MOD($C161-I$15, I$14)&lt;1), 1/I$14)*PI()*I$9/4*(I$7^2*MIN(I$10, $D160)+(I$7^2-I$8^2)*MIN(I$12, I$42))/IF($B$4, 25.4^3, 1), 0), 0)</f>
        <v>0</v>
      </c>
      <c r="L161" s="55" t="n">
        <f aca="false">IFERROR(IF(AND($C161&gt;=J$15, $C161&lt;=J$16), IF(J$14&gt;1, N(MOD($C161-J$15, J$14)&lt;1), 1/J$14)*PI()*J$9/4*(J$7^2*MIN(J$10, $D160)+(J$7^2-J$8^2)*MIN(J$12, J$42))/IF($B$4, 25.4^3, 1), 0), 0)</f>
        <v>0</v>
      </c>
      <c r="M161" s="55" t="n">
        <f aca="false">IFERROR(IF(AND($C161&gt;=K$15, $C161&lt;=K$16), IF(K$14&gt;1, N(MOD($C161-K$15, K$14)&lt;1), 1/K$14)*PI()*K$9/4*(K$7^2*MIN(K$10, $D160)+(K$7^2-K$8^2)*MIN(K$12, K$42))/IF($B$4, 25.4^3, 1), 0), 0)</f>
        <v>0</v>
      </c>
    </row>
    <row r="162" customFormat="false" ht="15" hidden="false" customHeight="false" outlineLevel="0" collapsed="false">
      <c r="C162" s="55" t="n">
        <v>120</v>
      </c>
      <c r="D162" s="55" t="n">
        <f aca="false">MAX((D161*($N$10/IF($B$4, 16.387, 1))+E162-SUM(F162:M162))/($N$10/IF($B$4, 16.387, 1)), 0)</f>
        <v>40.3570873731132</v>
      </c>
      <c r="E162" s="55" t="n">
        <f aca="false">IF(D161&lt;$N$15, $D$40*D161^3+$E$40*D161^2+$F$40*D161+$G$40, 0) * 12^3/60*14.7</f>
        <v>216.078839755133</v>
      </c>
      <c r="F162" s="55" t="n">
        <f aca="false">IFERROR(IF(AND($C162&gt;=D$15, $C162&lt;=D$16), IF(D$14&gt;1, N(MOD($C162-D$15, D$14)&lt;1), 1/D$14)*PI()*D$9/4*(D$7^2*MIN(D$10, $D161)+(D$7^2-D$8^2)*MIN(D$12, D$42))/IF($B$4, 25.4^3, 1), 0), 0)</f>
        <v>0</v>
      </c>
      <c r="G162" s="55" t="n">
        <f aca="false">IFERROR(IF(AND($C162&gt;=E$15, $C162&lt;=E$16), IF(E$14&gt;1, N(MOD($C162-E$15, E$14)&lt;1), 1/E$14)*PI()*E$9/4*(E$7^2*MIN(E$10, $D161)+(E$7^2-E$8^2)*MIN(E$12, E$42))/IF($B$4, 25.4^3, 1), 0), 0)</f>
        <v>0</v>
      </c>
      <c r="H162" s="55" t="n">
        <f aca="false">IFERROR(IF(AND($C162&gt;=F$15, $C162&lt;=F$16), IF(F$14&gt;1, N(MOD($C162-F$15, F$14)&lt;1), 1/F$14)*PI()*F$9/4*(F$7^2*MIN(F$10, $D161)+(F$7^2-F$8^2)*MIN(F$12, F$42))/IF($B$4, 25.4^3, 1), 0), 0)</f>
        <v>0</v>
      </c>
      <c r="I162" s="55" t="n">
        <f aca="false">IFERROR(IF(AND($C162&gt;=G$15, $C162&lt;=G$16), IF(G$14&gt;1, N(MOD($C162-G$15, G$14)&lt;1), 1/G$14)*PI()*G$9/4*(G$7^2*MIN(G$10, $D161)+(G$7^2-G$8^2)*MIN(G$12, G$42))/IF($B$4, 25.4^3, 1), 0), 0)</f>
        <v>0</v>
      </c>
      <c r="J162" s="55" t="n">
        <f aca="false">IFERROR(IF(AND($C162&gt;=H$15, $C162&lt;=H$16), IF(H$14&gt;1, N(MOD($C162-H$15, H$14)&lt;1), 1/H$14)*PI()*H$9/4*(H$7^2*MIN(H$10, $D161)+(H$7^2-H$8^2)*MIN(H$12, H$42))/IF($B$4, 25.4^3, 1), 0), 0)</f>
        <v>0</v>
      </c>
      <c r="K162" s="55" t="n">
        <f aca="false">IFERROR(IF(AND($C162&gt;=I$15, $C162&lt;=I$16), IF(I$14&gt;1, N(MOD($C162-I$15, I$14)&lt;1), 1/I$14)*PI()*I$9/4*(I$7^2*MIN(I$10, $D161)+(I$7^2-I$8^2)*MIN(I$12, I$42))/IF($B$4, 25.4^3, 1), 0), 0)</f>
        <v>0</v>
      </c>
      <c r="L162" s="55" t="n">
        <f aca="false">IFERROR(IF(AND($C162&gt;=J$15, $C162&lt;=J$16), IF(J$14&gt;1, N(MOD($C162-J$15, J$14)&lt;1), 1/J$14)*PI()*J$9/4*(J$7^2*MIN(J$10, $D161)+(J$7^2-J$8^2)*MIN(J$12, J$42))/IF($B$4, 25.4^3, 1), 0), 0)</f>
        <v>0</v>
      </c>
      <c r="M162" s="55" t="n">
        <f aca="false">IFERROR(IF(AND($C162&gt;=K$15, $C162&lt;=K$16), IF(K$14&gt;1, N(MOD($C162-K$15, K$14)&lt;1), 1/K$14)*PI()*K$9/4*(K$7^2*MIN(K$10, $D161)+(K$7^2-K$8^2)*MIN(K$12, K$42))/IF($B$4, 25.4^3, 1), 0), 0)</f>
        <v>0</v>
      </c>
    </row>
    <row r="163" customFormat="false" ht="15" hidden="false" customHeight="false" outlineLevel="0" collapsed="false">
      <c r="C163" s="55" t="n">
        <v>121</v>
      </c>
      <c r="D163" s="55" t="n">
        <f aca="false">MAX((D162*($N$10/IF($B$4, 16.387, 1))+E163-SUM(F163:M163))/($N$10/IF($B$4, 16.387, 1)), 0)</f>
        <v>42.3727026299906</v>
      </c>
      <c r="E163" s="55" t="n">
        <f aca="false">IF(D162&lt;$N$15, $D$40*D162^3+$E$40*D162^2+$F$40*D162+$G$40, 0) * 12^3/60*14.7</f>
        <v>211.639601972128</v>
      </c>
      <c r="F163" s="55" t="n">
        <f aca="false">IFERROR(IF(AND($C163&gt;=D$15, $C163&lt;=D$16), IF(D$14&gt;1, N(MOD($C163-D$15, D$14)&lt;1), 1/D$14)*PI()*D$9/4*(D$7^2*MIN(D$10, $D162)+(D$7^2-D$8^2)*MIN(D$12, D$42))/IF($B$4, 25.4^3, 1), 0), 0)</f>
        <v>0</v>
      </c>
      <c r="G163" s="55" t="n">
        <f aca="false">IFERROR(IF(AND($C163&gt;=E$15, $C163&lt;=E$16), IF(E$14&gt;1, N(MOD($C163-E$15, E$14)&lt;1), 1/E$14)*PI()*E$9/4*(E$7^2*MIN(E$10, $D162)+(E$7^2-E$8^2)*MIN(E$12, E$42))/IF($B$4, 25.4^3, 1), 0), 0)</f>
        <v>0</v>
      </c>
      <c r="H163" s="55" t="n">
        <f aca="false">IFERROR(IF(AND($C163&gt;=F$15, $C163&lt;=F$16), IF(F$14&gt;1, N(MOD($C163-F$15, F$14)&lt;1), 1/F$14)*PI()*F$9/4*(F$7^2*MIN(F$10, $D162)+(F$7^2-F$8^2)*MIN(F$12, F$42))/IF($B$4, 25.4^3, 1), 0), 0)</f>
        <v>0</v>
      </c>
      <c r="I163" s="55" t="n">
        <f aca="false">IFERROR(IF(AND($C163&gt;=G$15, $C163&lt;=G$16), IF(G$14&gt;1, N(MOD($C163-G$15, G$14)&lt;1), 1/G$14)*PI()*G$9/4*(G$7^2*MIN(G$10, $D162)+(G$7^2-G$8^2)*MIN(G$12, G$42))/IF($B$4, 25.4^3, 1), 0), 0)</f>
        <v>0</v>
      </c>
      <c r="J163" s="55" t="n">
        <f aca="false">IFERROR(IF(AND($C163&gt;=H$15, $C163&lt;=H$16), IF(H$14&gt;1, N(MOD($C163-H$15, H$14)&lt;1), 1/H$14)*PI()*H$9/4*(H$7^2*MIN(H$10, $D162)+(H$7^2-H$8^2)*MIN(H$12, H$42))/IF($B$4, 25.4^3, 1), 0), 0)</f>
        <v>0</v>
      </c>
      <c r="K163" s="55" t="n">
        <f aca="false">IFERROR(IF(AND($C163&gt;=I$15, $C163&lt;=I$16), IF(I$14&gt;1, N(MOD($C163-I$15, I$14)&lt;1), 1/I$14)*PI()*I$9/4*(I$7^2*MIN(I$10, $D162)+(I$7^2-I$8^2)*MIN(I$12, I$42))/IF($B$4, 25.4^3, 1), 0), 0)</f>
        <v>0</v>
      </c>
      <c r="L163" s="55" t="n">
        <f aca="false">IFERROR(IF(AND($C163&gt;=J$15, $C163&lt;=J$16), IF(J$14&gt;1, N(MOD($C163-J$15, J$14)&lt;1), 1/J$14)*PI()*J$9/4*(J$7^2*MIN(J$10, $D162)+(J$7^2-J$8^2)*MIN(J$12, J$42))/IF($B$4, 25.4^3, 1), 0), 0)</f>
        <v>0</v>
      </c>
      <c r="M163" s="55" t="n">
        <f aca="false">IFERROR(IF(AND($C163&gt;=K$15, $C163&lt;=K$16), IF(K$14&gt;1, N(MOD($C163-K$15, K$14)&lt;1), 1/K$14)*PI()*K$9/4*(K$7^2*MIN(K$10, $D162)+(K$7^2-K$8^2)*MIN(K$12, K$42))/IF($B$4, 25.4^3, 1), 0), 0)</f>
        <v>0</v>
      </c>
    </row>
    <row r="164" customFormat="false" ht="15" hidden="false" customHeight="false" outlineLevel="0" collapsed="false">
      <c r="C164" s="55" t="n">
        <v>122</v>
      </c>
      <c r="D164" s="55" t="n">
        <f aca="false">MAX((D163*($N$10/IF($B$4, 16.387, 1))+E164-SUM(F164:M164))/($N$10/IF($B$4, 16.387, 1)), 0)</f>
        <v>44.347160208613</v>
      </c>
      <c r="E164" s="55" t="n">
        <f aca="false">IF(D163&lt;$N$15, $D$40*D163^3+$E$40*D163^2+$F$40*D163+$G$40, 0) * 12^3/60*14.7</f>
        <v>207.318045755348</v>
      </c>
      <c r="F164" s="55" t="n">
        <f aca="false">IFERROR(IF(AND($C164&gt;=D$15, $C164&lt;=D$16), IF(D$14&gt;1, N(MOD($C164-D$15, D$14)&lt;1), 1/D$14)*PI()*D$9/4*(D$7^2*MIN(D$10, $D163)+(D$7^2-D$8^2)*MIN(D$12, D$42))/IF($B$4, 25.4^3, 1), 0), 0)</f>
        <v>0</v>
      </c>
      <c r="G164" s="55" t="n">
        <f aca="false">IFERROR(IF(AND($C164&gt;=E$15, $C164&lt;=E$16), IF(E$14&gt;1, N(MOD($C164-E$15, E$14)&lt;1), 1/E$14)*PI()*E$9/4*(E$7^2*MIN(E$10, $D163)+(E$7^2-E$8^2)*MIN(E$12, E$42))/IF($B$4, 25.4^3, 1), 0), 0)</f>
        <v>0</v>
      </c>
      <c r="H164" s="55" t="n">
        <f aca="false">IFERROR(IF(AND($C164&gt;=F$15, $C164&lt;=F$16), IF(F$14&gt;1, N(MOD($C164-F$15, F$14)&lt;1), 1/F$14)*PI()*F$9/4*(F$7^2*MIN(F$10, $D163)+(F$7^2-F$8^2)*MIN(F$12, F$42))/IF($B$4, 25.4^3, 1), 0), 0)</f>
        <v>0</v>
      </c>
      <c r="I164" s="55" t="n">
        <f aca="false">IFERROR(IF(AND($C164&gt;=G$15, $C164&lt;=G$16), IF(G$14&gt;1, N(MOD($C164-G$15, G$14)&lt;1), 1/G$14)*PI()*G$9/4*(G$7^2*MIN(G$10, $D163)+(G$7^2-G$8^2)*MIN(G$12, G$42))/IF($B$4, 25.4^3, 1), 0), 0)</f>
        <v>0</v>
      </c>
      <c r="J164" s="55" t="n">
        <f aca="false">IFERROR(IF(AND($C164&gt;=H$15, $C164&lt;=H$16), IF(H$14&gt;1, N(MOD($C164-H$15, H$14)&lt;1), 1/H$14)*PI()*H$9/4*(H$7^2*MIN(H$10, $D163)+(H$7^2-H$8^2)*MIN(H$12, H$42))/IF($B$4, 25.4^3, 1), 0), 0)</f>
        <v>0</v>
      </c>
      <c r="K164" s="55" t="n">
        <f aca="false">IFERROR(IF(AND($C164&gt;=I$15, $C164&lt;=I$16), IF(I$14&gt;1, N(MOD($C164-I$15, I$14)&lt;1), 1/I$14)*PI()*I$9/4*(I$7^2*MIN(I$10, $D163)+(I$7^2-I$8^2)*MIN(I$12, I$42))/IF($B$4, 25.4^3, 1), 0), 0)</f>
        <v>0</v>
      </c>
      <c r="L164" s="55" t="n">
        <f aca="false">IFERROR(IF(AND($C164&gt;=J$15, $C164&lt;=J$16), IF(J$14&gt;1, N(MOD($C164-J$15, J$14)&lt;1), 1/J$14)*PI()*J$9/4*(J$7^2*MIN(J$10, $D163)+(J$7^2-J$8^2)*MIN(J$12, J$42))/IF($B$4, 25.4^3, 1), 0), 0)</f>
        <v>0</v>
      </c>
      <c r="M164" s="55" t="n">
        <f aca="false">IFERROR(IF(AND($C164&gt;=K$15, $C164&lt;=K$16), IF(K$14&gt;1, N(MOD($C164-K$15, K$14)&lt;1), 1/K$14)*PI()*K$9/4*(K$7^2*MIN(K$10, $D163)+(K$7^2-K$8^2)*MIN(K$12, K$42))/IF($B$4, 25.4^3, 1), 0), 0)</f>
        <v>0</v>
      </c>
    </row>
    <row r="165" customFormat="false" ht="15" hidden="false" customHeight="false" outlineLevel="0" collapsed="false">
      <c r="C165" s="55" t="n">
        <v>123</v>
      </c>
      <c r="D165" s="55" t="n">
        <f aca="false">MAX((D164*($N$10/IF($B$4, 16.387, 1))+E165-SUM(F165:M165))/($N$10/IF($B$4, 16.387, 1)), 0)</f>
        <v>35.3631797850754</v>
      </c>
      <c r="E165" s="55" t="n">
        <f aca="false">IF(D164&lt;$N$15, $D$40*D164^3+$E$40*D164^2+$F$40*D164+$G$40, 0) * 12^3/60*14.7</f>
        <v>203.117937162771</v>
      </c>
      <c r="F165" s="55" t="n">
        <f aca="false">IFERROR(IF(AND($C165&gt;=D$15, $C165&lt;=D$16), IF(D$14&gt;1, N(MOD($C165-D$15, D$14)&lt;1), 1/D$14)*PI()*D$9/4*(D$7^2*MIN(D$10, $D164)+(D$7^2-D$8^2)*MIN(D$12, D$42))/IF($B$4, 25.4^3, 1), 0), 0)</f>
        <v>1146.43588163421</v>
      </c>
      <c r="G165" s="55" t="n">
        <f aca="false">IFERROR(IF(AND($C165&gt;=E$15, $C165&lt;=E$16), IF(E$14&gt;1, N(MOD($C165-E$15, E$14)&lt;1), 1/E$14)*PI()*E$9/4*(E$7^2*MIN(E$10, $D164)+(E$7^2-E$8^2)*MIN(E$12, E$42))/IF($B$4, 25.4^3, 1), 0), 0)</f>
        <v>0</v>
      </c>
      <c r="H165" s="55" t="n">
        <f aca="false">IFERROR(IF(AND($C165&gt;=F$15, $C165&lt;=F$16), IF(F$14&gt;1, N(MOD($C165-F$15, F$14)&lt;1), 1/F$14)*PI()*F$9/4*(F$7^2*MIN(F$10, $D164)+(F$7^2-F$8^2)*MIN(F$12, F$42))/IF($B$4, 25.4^3, 1), 0), 0)</f>
        <v>0</v>
      </c>
      <c r="I165" s="55" t="n">
        <f aca="false">IFERROR(IF(AND($C165&gt;=G$15, $C165&lt;=G$16), IF(G$14&gt;1, N(MOD($C165-G$15, G$14)&lt;1), 1/G$14)*PI()*G$9/4*(G$7^2*MIN(G$10, $D164)+(G$7^2-G$8^2)*MIN(G$12, G$42))/IF($B$4, 25.4^3, 1), 0), 0)</f>
        <v>0</v>
      </c>
      <c r="J165" s="55" t="n">
        <f aca="false">IFERROR(IF(AND($C165&gt;=H$15, $C165&lt;=H$16), IF(H$14&gt;1, N(MOD($C165-H$15, H$14)&lt;1), 1/H$14)*PI()*H$9/4*(H$7^2*MIN(H$10, $D164)+(H$7^2-H$8^2)*MIN(H$12, H$42))/IF($B$4, 25.4^3, 1), 0), 0)</f>
        <v>0</v>
      </c>
      <c r="K165" s="55" t="n">
        <f aca="false">IFERROR(IF(AND($C165&gt;=I$15, $C165&lt;=I$16), IF(I$14&gt;1, N(MOD($C165-I$15, I$14)&lt;1), 1/I$14)*PI()*I$9/4*(I$7^2*MIN(I$10, $D164)+(I$7^2-I$8^2)*MIN(I$12, I$42))/IF($B$4, 25.4^3, 1), 0), 0)</f>
        <v>0</v>
      </c>
      <c r="L165" s="55" t="n">
        <f aca="false">IFERROR(IF(AND($C165&gt;=J$15, $C165&lt;=J$16), IF(J$14&gt;1, N(MOD($C165-J$15, J$14)&lt;1), 1/J$14)*PI()*J$9/4*(J$7^2*MIN(J$10, $D164)+(J$7^2-J$8^2)*MIN(J$12, J$42))/IF($B$4, 25.4^3, 1), 0), 0)</f>
        <v>0</v>
      </c>
      <c r="M165" s="55" t="n">
        <f aca="false">IFERROR(IF(AND($C165&gt;=K$15, $C165&lt;=K$16), IF(K$14&gt;1, N(MOD($C165-K$15, K$14)&lt;1), 1/K$14)*PI()*K$9/4*(K$7^2*MIN(K$10, $D164)+(K$7^2-K$8^2)*MIN(K$12, K$42))/IF($B$4, 25.4^3, 1), 0), 0)</f>
        <v>0</v>
      </c>
    </row>
    <row r="166" customFormat="false" ht="15" hidden="false" customHeight="false" outlineLevel="0" collapsed="false">
      <c r="C166" s="55" t="n">
        <v>124</v>
      </c>
      <c r="D166" s="55" t="n">
        <f aca="false">MAX((D165*($N$10/IF($B$4, 16.387, 1))+E166-SUM(F166:M166))/($N$10/IF($B$4, 16.387, 1)), 0)</f>
        <v>37.4816826980195</v>
      </c>
      <c r="E166" s="55" t="n">
        <f aca="false">IF(D165&lt;$N$15, $D$40*D165^3+$E$40*D165^2+$F$40*D165+$G$40, 0) * 12^3/60*14.7</f>
        <v>222.44280585913</v>
      </c>
      <c r="F166" s="55" t="n">
        <f aca="false">IFERROR(IF(AND($C166&gt;=D$15, $C166&lt;=D$16), IF(D$14&gt;1, N(MOD($C166-D$15, D$14)&lt;1), 1/D$14)*PI()*D$9/4*(D$7^2*MIN(D$10, $D165)+(D$7^2-D$8^2)*MIN(D$12, D$42))/IF($B$4, 25.4^3, 1), 0), 0)</f>
        <v>0</v>
      </c>
      <c r="G166" s="55" t="n">
        <f aca="false">IFERROR(IF(AND($C166&gt;=E$15, $C166&lt;=E$16), IF(E$14&gt;1, N(MOD($C166-E$15, E$14)&lt;1), 1/E$14)*PI()*E$9/4*(E$7^2*MIN(E$10, $D165)+(E$7^2-E$8^2)*MIN(E$12, E$42))/IF($B$4, 25.4^3, 1), 0), 0)</f>
        <v>0</v>
      </c>
      <c r="H166" s="55" t="n">
        <f aca="false">IFERROR(IF(AND($C166&gt;=F$15, $C166&lt;=F$16), IF(F$14&gt;1, N(MOD($C166-F$15, F$14)&lt;1), 1/F$14)*PI()*F$9/4*(F$7^2*MIN(F$10, $D165)+(F$7^2-F$8^2)*MIN(F$12, F$42))/IF($B$4, 25.4^3, 1), 0), 0)</f>
        <v>0</v>
      </c>
      <c r="I166" s="55" t="n">
        <f aca="false">IFERROR(IF(AND($C166&gt;=G$15, $C166&lt;=G$16), IF(G$14&gt;1, N(MOD($C166-G$15, G$14)&lt;1), 1/G$14)*PI()*G$9/4*(G$7^2*MIN(G$10, $D165)+(G$7^2-G$8^2)*MIN(G$12, G$42))/IF($B$4, 25.4^3, 1), 0), 0)</f>
        <v>0</v>
      </c>
      <c r="J166" s="55" t="n">
        <f aca="false">IFERROR(IF(AND($C166&gt;=H$15, $C166&lt;=H$16), IF(H$14&gt;1, N(MOD($C166-H$15, H$14)&lt;1), 1/H$14)*PI()*H$9/4*(H$7^2*MIN(H$10, $D165)+(H$7^2-H$8^2)*MIN(H$12, H$42))/IF($B$4, 25.4^3, 1), 0), 0)</f>
        <v>0</v>
      </c>
      <c r="K166" s="55" t="n">
        <f aca="false">IFERROR(IF(AND($C166&gt;=I$15, $C166&lt;=I$16), IF(I$14&gt;1, N(MOD($C166-I$15, I$14)&lt;1), 1/I$14)*PI()*I$9/4*(I$7^2*MIN(I$10, $D165)+(I$7^2-I$8^2)*MIN(I$12, I$42))/IF($B$4, 25.4^3, 1), 0), 0)</f>
        <v>0</v>
      </c>
      <c r="L166" s="55" t="n">
        <f aca="false">IFERROR(IF(AND($C166&gt;=J$15, $C166&lt;=J$16), IF(J$14&gt;1, N(MOD($C166-J$15, J$14)&lt;1), 1/J$14)*PI()*J$9/4*(J$7^2*MIN(J$10, $D165)+(J$7^2-J$8^2)*MIN(J$12, J$42))/IF($B$4, 25.4^3, 1), 0), 0)</f>
        <v>0</v>
      </c>
      <c r="M166" s="55" t="n">
        <f aca="false">IFERROR(IF(AND($C166&gt;=K$15, $C166&lt;=K$16), IF(K$14&gt;1, N(MOD($C166-K$15, K$14)&lt;1), 1/K$14)*PI()*K$9/4*(K$7^2*MIN(K$10, $D165)+(K$7^2-K$8^2)*MIN(K$12, K$42))/IF($B$4, 25.4^3, 1), 0), 0)</f>
        <v>0</v>
      </c>
    </row>
    <row r="167" customFormat="false" ht="15" hidden="false" customHeight="false" outlineLevel="0" collapsed="false">
      <c r="C167" s="55" t="n">
        <v>125</v>
      </c>
      <c r="D167" s="55" t="n">
        <f aca="false">MAX((D166*($N$10/IF($B$4, 16.387, 1))+E167-SUM(F167:M167))/($N$10/IF($B$4, 16.387, 1)), 0)</f>
        <v>39.5564260699961</v>
      </c>
      <c r="E167" s="55" t="n">
        <f aca="false">IF(D166&lt;$N$15, $D$40*D166^3+$E$40*D166^2+$F$40*D166+$G$40, 0) * 12^3/60*14.7</f>
        <v>217.848054057539</v>
      </c>
      <c r="F167" s="55" t="n">
        <f aca="false">IFERROR(IF(AND($C167&gt;=D$15, $C167&lt;=D$16), IF(D$14&gt;1, N(MOD($C167-D$15, D$14)&lt;1), 1/D$14)*PI()*D$9/4*(D$7^2*MIN(D$10, $D166)+(D$7^2-D$8^2)*MIN(D$12, D$42))/IF($B$4, 25.4^3, 1), 0), 0)</f>
        <v>0</v>
      </c>
      <c r="G167" s="55" t="n">
        <f aca="false">IFERROR(IF(AND($C167&gt;=E$15, $C167&lt;=E$16), IF(E$14&gt;1, N(MOD($C167-E$15, E$14)&lt;1), 1/E$14)*PI()*E$9/4*(E$7^2*MIN(E$10, $D166)+(E$7^2-E$8^2)*MIN(E$12, E$42))/IF($B$4, 25.4^3, 1), 0), 0)</f>
        <v>0</v>
      </c>
      <c r="H167" s="55" t="n">
        <f aca="false">IFERROR(IF(AND($C167&gt;=F$15, $C167&lt;=F$16), IF(F$14&gt;1, N(MOD($C167-F$15, F$14)&lt;1), 1/F$14)*PI()*F$9/4*(F$7^2*MIN(F$10, $D166)+(F$7^2-F$8^2)*MIN(F$12, F$42))/IF($B$4, 25.4^3, 1), 0), 0)</f>
        <v>0</v>
      </c>
      <c r="I167" s="55" t="n">
        <f aca="false">IFERROR(IF(AND($C167&gt;=G$15, $C167&lt;=G$16), IF(G$14&gt;1, N(MOD($C167-G$15, G$14)&lt;1), 1/G$14)*PI()*G$9/4*(G$7^2*MIN(G$10, $D166)+(G$7^2-G$8^2)*MIN(G$12, G$42))/IF($B$4, 25.4^3, 1), 0), 0)</f>
        <v>0</v>
      </c>
      <c r="J167" s="55" t="n">
        <f aca="false">IFERROR(IF(AND($C167&gt;=H$15, $C167&lt;=H$16), IF(H$14&gt;1, N(MOD($C167-H$15, H$14)&lt;1), 1/H$14)*PI()*H$9/4*(H$7^2*MIN(H$10, $D166)+(H$7^2-H$8^2)*MIN(H$12, H$42))/IF($B$4, 25.4^3, 1), 0), 0)</f>
        <v>0</v>
      </c>
      <c r="K167" s="55" t="n">
        <f aca="false">IFERROR(IF(AND($C167&gt;=I$15, $C167&lt;=I$16), IF(I$14&gt;1, N(MOD($C167-I$15, I$14)&lt;1), 1/I$14)*PI()*I$9/4*(I$7^2*MIN(I$10, $D166)+(I$7^2-I$8^2)*MIN(I$12, I$42))/IF($B$4, 25.4^3, 1), 0), 0)</f>
        <v>0</v>
      </c>
      <c r="L167" s="55" t="n">
        <f aca="false">IFERROR(IF(AND($C167&gt;=J$15, $C167&lt;=J$16), IF(J$14&gt;1, N(MOD($C167-J$15, J$14)&lt;1), 1/J$14)*PI()*J$9/4*(J$7^2*MIN(J$10, $D166)+(J$7^2-J$8^2)*MIN(J$12, J$42))/IF($B$4, 25.4^3, 1), 0), 0)</f>
        <v>0</v>
      </c>
      <c r="M167" s="55" t="n">
        <f aca="false">IFERROR(IF(AND($C167&gt;=K$15, $C167&lt;=K$16), IF(K$14&gt;1, N(MOD($C167-K$15, K$14)&lt;1), 1/K$14)*PI()*K$9/4*(K$7^2*MIN(K$10, $D166)+(K$7^2-K$8^2)*MIN(K$12, K$42))/IF($B$4, 25.4^3, 1), 0), 0)</f>
        <v>0</v>
      </c>
    </row>
    <row r="168" customFormat="false" ht="15" hidden="false" customHeight="false" outlineLevel="0" collapsed="false">
      <c r="C168" s="55" t="n">
        <v>126</v>
      </c>
      <c r="D168" s="55" t="n">
        <f aca="false">MAX((D167*($N$10/IF($B$4, 16.387, 1))+E168-SUM(F168:M168))/($N$10/IF($B$4, 16.387, 1)), 0)</f>
        <v>41.5884640354824</v>
      </c>
      <c r="E168" s="55" t="n">
        <f aca="false">IF(D167&lt;$N$15, $D$40*D167^3+$E$40*D167^2+$F$40*D167+$G$40, 0) * 12^3/60*14.7</f>
        <v>213.363986376059</v>
      </c>
      <c r="F168" s="55" t="n">
        <f aca="false">IFERROR(IF(AND($C168&gt;=D$15, $C168&lt;=D$16), IF(D$14&gt;1, N(MOD($C168-D$15, D$14)&lt;1), 1/D$14)*PI()*D$9/4*(D$7^2*MIN(D$10, $D167)+(D$7^2-D$8^2)*MIN(D$12, D$42))/IF($B$4, 25.4^3, 1), 0), 0)</f>
        <v>0</v>
      </c>
      <c r="G168" s="55" t="n">
        <f aca="false">IFERROR(IF(AND($C168&gt;=E$15, $C168&lt;=E$16), IF(E$14&gt;1, N(MOD($C168-E$15, E$14)&lt;1), 1/E$14)*PI()*E$9/4*(E$7^2*MIN(E$10, $D167)+(E$7^2-E$8^2)*MIN(E$12, E$42))/IF($B$4, 25.4^3, 1), 0), 0)</f>
        <v>0</v>
      </c>
      <c r="H168" s="55" t="n">
        <f aca="false">IFERROR(IF(AND($C168&gt;=F$15, $C168&lt;=F$16), IF(F$14&gt;1, N(MOD($C168-F$15, F$14)&lt;1), 1/F$14)*PI()*F$9/4*(F$7^2*MIN(F$10, $D167)+(F$7^2-F$8^2)*MIN(F$12, F$42))/IF($B$4, 25.4^3, 1), 0), 0)</f>
        <v>0</v>
      </c>
      <c r="I168" s="55" t="n">
        <f aca="false">IFERROR(IF(AND($C168&gt;=G$15, $C168&lt;=G$16), IF(G$14&gt;1, N(MOD($C168-G$15, G$14)&lt;1), 1/G$14)*PI()*G$9/4*(G$7^2*MIN(G$10, $D167)+(G$7^2-G$8^2)*MIN(G$12, G$42))/IF($B$4, 25.4^3, 1), 0), 0)</f>
        <v>0</v>
      </c>
      <c r="J168" s="55" t="n">
        <f aca="false">IFERROR(IF(AND($C168&gt;=H$15, $C168&lt;=H$16), IF(H$14&gt;1, N(MOD($C168-H$15, H$14)&lt;1), 1/H$14)*PI()*H$9/4*(H$7^2*MIN(H$10, $D167)+(H$7^2-H$8^2)*MIN(H$12, H$42))/IF($B$4, 25.4^3, 1), 0), 0)</f>
        <v>0</v>
      </c>
      <c r="K168" s="55" t="n">
        <f aca="false">IFERROR(IF(AND($C168&gt;=I$15, $C168&lt;=I$16), IF(I$14&gt;1, N(MOD($C168-I$15, I$14)&lt;1), 1/I$14)*PI()*I$9/4*(I$7^2*MIN(I$10, $D167)+(I$7^2-I$8^2)*MIN(I$12, I$42))/IF($B$4, 25.4^3, 1), 0), 0)</f>
        <v>0</v>
      </c>
      <c r="L168" s="55" t="n">
        <f aca="false">IFERROR(IF(AND($C168&gt;=J$15, $C168&lt;=J$16), IF(J$14&gt;1, N(MOD($C168-J$15, J$14)&lt;1), 1/J$14)*PI()*J$9/4*(J$7^2*MIN(J$10, $D167)+(J$7^2-J$8^2)*MIN(J$12, J$42))/IF($B$4, 25.4^3, 1), 0), 0)</f>
        <v>0</v>
      </c>
      <c r="M168" s="55" t="n">
        <f aca="false">IFERROR(IF(AND($C168&gt;=K$15, $C168&lt;=K$16), IF(K$14&gt;1, N(MOD($C168-K$15, K$14)&lt;1), 1/K$14)*PI()*K$9/4*(K$7^2*MIN(K$10, $D167)+(K$7^2-K$8^2)*MIN(K$12, K$42))/IF($B$4, 25.4^3, 1), 0), 0)</f>
        <v>0</v>
      </c>
    </row>
    <row r="169" customFormat="false" ht="15" hidden="false" customHeight="false" outlineLevel="0" collapsed="false">
      <c r="C169" s="55" t="n">
        <v>127</v>
      </c>
      <c r="D169" s="55" t="n">
        <f aca="false">MAX((D168*($N$10/IF($B$4, 16.387, 1))+E169-SUM(F169:M169))/($N$10/IF($B$4, 16.387, 1)), 0)</f>
        <v>43.5789006941364</v>
      </c>
      <c r="E169" s="55" t="n">
        <f aca="false">IF(D168&lt;$N$15, $D$40*D168^3+$E$40*D168^2+$F$40*D168+$G$40, 0) * 12^3/60*14.7</f>
        <v>208.995849158674</v>
      </c>
      <c r="F169" s="55" t="n">
        <f aca="false">IFERROR(IF(AND($C169&gt;=D$15, $C169&lt;=D$16), IF(D$14&gt;1, N(MOD($C169-D$15, D$14)&lt;1), 1/D$14)*PI()*D$9/4*(D$7^2*MIN(D$10, $D168)+(D$7^2-D$8^2)*MIN(D$12, D$42))/IF($B$4, 25.4^3, 1), 0), 0)</f>
        <v>0</v>
      </c>
      <c r="G169" s="55" t="n">
        <f aca="false">IFERROR(IF(AND($C169&gt;=E$15, $C169&lt;=E$16), IF(E$14&gt;1, N(MOD($C169-E$15, E$14)&lt;1), 1/E$14)*PI()*E$9/4*(E$7^2*MIN(E$10, $D168)+(E$7^2-E$8^2)*MIN(E$12, E$42))/IF($B$4, 25.4^3, 1), 0), 0)</f>
        <v>0</v>
      </c>
      <c r="H169" s="55" t="n">
        <f aca="false">IFERROR(IF(AND($C169&gt;=F$15, $C169&lt;=F$16), IF(F$14&gt;1, N(MOD($C169-F$15, F$14)&lt;1), 1/F$14)*PI()*F$9/4*(F$7^2*MIN(F$10, $D168)+(F$7^2-F$8^2)*MIN(F$12, F$42))/IF($B$4, 25.4^3, 1), 0), 0)</f>
        <v>0</v>
      </c>
      <c r="I169" s="55" t="n">
        <f aca="false">IFERROR(IF(AND($C169&gt;=G$15, $C169&lt;=G$16), IF(G$14&gt;1, N(MOD($C169-G$15, G$14)&lt;1), 1/G$14)*PI()*G$9/4*(G$7^2*MIN(G$10, $D168)+(G$7^2-G$8^2)*MIN(G$12, G$42))/IF($B$4, 25.4^3, 1), 0), 0)</f>
        <v>0</v>
      </c>
      <c r="J169" s="55" t="n">
        <f aca="false">IFERROR(IF(AND($C169&gt;=H$15, $C169&lt;=H$16), IF(H$14&gt;1, N(MOD($C169-H$15, H$14)&lt;1), 1/H$14)*PI()*H$9/4*(H$7^2*MIN(H$10, $D168)+(H$7^2-H$8^2)*MIN(H$12, H$42))/IF($B$4, 25.4^3, 1), 0), 0)</f>
        <v>0</v>
      </c>
      <c r="K169" s="55" t="n">
        <f aca="false">IFERROR(IF(AND($C169&gt;=I$15, $C169&lt;=I$16), IF(I$14&gt;1, N(MOD($C169-I$15, I$14)&lt;1), 1/I$14)*PI()*I$9/4*(I$7^2*MIN(I$10, $D168)+(I$7^2-I$8^2)*MIN(I$12, I$42))/IF($B$4, 25.4^3, 1), 0), 0)</f>
        <v>0</v>
      </c>
      <c r="L169" s="55" t="n">
        <f aca="false">IFERROR(IF(AND($C169&gt;=J$15, $C169&lt;=J$16), IF(J$14&gt;1, N(MOD($C169-J$15, J$14)&lt;1), 1/J$14)*PI()*J$9/4*(J$7^2*MIN(J$10, $D168)+(J$7^2-J$8^2)*MIN(J$12, J$42))/IF($B$4, 25.4^3, 1), 0), 0)</f>
        <v>0</v>
      </c>
      <c r="M169" s="55" t="n">
        <f aca="false">IFERROR(IF(AND($C169&gt;=K$15, $C169&lt;=K$16), IF(K$14&gt;1, N(MOD($C169-K$15, K$14)&lt;1), 1/K$14)*PI()*K$9/4*(K$7^2*MIN(K$10, $D168)+(K$7^2-K$8^2)*MIN(K$12, K$42))/IF($B$4, 25.4^3, 1), 0), 0)</f>
        <v>0</v>
      </c>
    </row>
    <row r="170" customFormat="false" ht="15" hidden="false" customHeight="false" outlineLevel="0" collapsed="false">
      <c r="C170" s="55" t="n">
        <v>128</v>
      </c>
      <c r="D170" s="55" t="n">
        <f aca="false">MAX((D169*($N$10/IF($B$4, 16.387, 1))+E170-SUM(F170:M170))/($N$10/IF($B$4, 16.387, 1)), 0)</f>
        <v>34.6104427850842</v>
      </c>
      <c r="E170" s="55" t="n">
        <f aca="false">IF(D169&lt;$N$15, $D$40*D169^3+$E$40*D169^2+$F$40*D169+$G$40, 0) * 12^3/60*14.7</f>
        <v>204.74780118373</v>
      </c>
      <c r="F170" s="55" t="n">
        <f aca="false">IFERROR(IF(AND($C170&gt;=D$15, $C170&lt;=D$16), IF(D$14&gt;1, N(MOD($C170-D$15, D$14)&lt;1), 1/D$14)*PI()*D$9/4*(D$7^2*MIN(D$10, $D169)+(D$7^2-D$8^2)*MIN(D$12, D$42))/IF($B$4, 25.4^3, 1), 0), 0)</f>
        <v>1146.43588163421</v>
      </c>
      <c r="G170" s="55" t="n">
        <f aca="false">IFERROR(IF(AND($C170&gt;=E$15, $C170&lt;=E$16), IF(E$14&gt;1, N(MOD($C170-E$15, E$14)&lt;1), 1/E$14)*PI()*E$9/4*(E$7^2*MIN(E$10, $D169)+(E$7^2-E$8^2)*MIN(E$12, E$42))/IF($B$4, 25.4^3, 1), 0), 0)</f>
        <v>0</v>
      </c>
      <c r="H170" s="55" t="n">
        <f aca="false">IFERROR(IF(AND($C170&gt;=F$15, $C170&lt;=F$16), IF(F$14&gt;1, N(MOD($C170-F$15, F$14)&lt;1), 1/F$14)*PI()*F$9/4*(F$7^2*MIN(F$10, $D169)+(F$7^2-F$8^2)*MIN(F$12, F$42))/IF($B$4, 25.4^3, 1), 0), 0)</f>
        <v>0</v>
      </c>
      <c r="I170" s="55" t="n">
        <f aca="false">IFERROR(IF(AND($C170&gt;=G$15, $C170&lt;=G$16), IF(G$14&gt;1, N(MOD($C170-G$15, G$14)&lt;1), 1/G$14)*PI()*G$9/4*(G$7^2*MIN(G$10, $D169)+(G$7^2-G$8^2)*MIN(G$12, G$42))/IF($B$4, 25.4^3, 1), 0), 0)</f>
        <v>0</v>
      </c>
      <c r="J170" s="55" t="n">
        <f aca="false">IFERROR(IF(AND($C170&gt;=H$15, $C170&lt;=H$16), IF(H$14&gt;1, N(MOD($C170-H$15, H$14)&lt;1), 1/H$14)*PI()*H$9/4*(H$7^2*MIN(H$10, $D169)+(H$7^2-H$8^2)*MIN(H$12, H$42))/IF($B$4, 25.4^3, 1), 0), 0)</f>
        <v>0</v>
      </c>
      <c r="K170" s="55" t="n">
        <f aca="false">IFERROR(IF(AND($C170&gt;=I$15, $C170&lt;=I$16), IF(I$14&gt;1, N(MOD($C170-I$15, I$14)&lt;1), 1/I$14)*PI()*I$9/4*(I$7^2*MIN(I$10, $D169)+(I$7^2-I$8^2)*MIN(I$12, I$42))/IF($B$4, 25.4^3, 1), 0), 0)</f>
        <v>0</v>
      </c>
      <c r="L170" s="55" t="n">
        <f aca="false">IFERROR(IF(AND($C170&gt;=J$15, $C170&lt;=J$16), IF(J$14&gt;1, N(MOD($C170-J$15, J$14)&lt;1), 1/J$14)*PI()*J$9/4*(J$7^2*MIN(J$10, $D169)+(J$7^2-J$8^2)*MIN(J$12, J$42))/IF($B$4, 25.4^3, 1), 0), 0)</f>
        <v>0</v>
      </c>
      <c r="M170" s="55" t="n">
        <f aca="false">IFERROR(IF(AND($C170&gt;=K$15, $C170&lt;=K$16), IF(K$14&gt;1, N(MOD($C170-K$15, K$14)&lt;1), 1/K$14)*PI()*K$9/4*(K$7^2*MIN(K$10, $D169)+(K$7^2-K$8^2)*MIN(K$12, K$42))/IF($B$4, 25.4^3, 1), 0), 0)</f>
        <v>0</v>
      </c>
    </row>
    <row r="171" customFormat="false" ht="15" hidden="false" customHeight="false" outlineLevel="0" collapsed="false">
      <c r="C171" s="55" t="n">
        <v>129</v>
      </c>
      <c r="D171" s="55" t="n">
        <f aca="false">MAX((D170*($N$10/IF($B$4, 16.387, 1))+E171-SUM(F171:M171))/($N$10/IF($B$4, 16.387, 1)), 0)</f>
        <v>36.7445148086079</v>
      </c>
      <c r="E171" s="55" t="n">
        <f aca="false">IF(D170&lt;$N$15, $D$40*D170^3+$E$40*D170^2+$F$40*D170+$G$40, 0) * 12^3/60*14.7</f>
        <v>224.07756246999</v>
      </c>
      <c r="F171" s="55" t="n">
        <f aca="false">IFERROR(IF(AND($C171&gt;=D$15, $C171&lt;=D$16), IF(D$14&gt;1, N(MOD($C171-D$15, D$14)&lt;1), 1/D$14)*PI()*D$9/4*(D$7^2*MIN(D$10, $D170)+(D$7^2-D$8^2)*MIN(D$12, D$42))/IF($B$4, 25.4^3, 1), 0), 0)</f>
        <v>0</v>
      </c>
      <c r="G171" s="55" t="n">
        <f aca="false">IFERROR(IF(AND($C171&gt;=E$15, $C171&lt;=E$16), IF(E$14&gt;1, N(MOD($C171-E$15, E$14)&lt;1), 1/E$14)*PI()*E$9/4*(E$7^2*MIN(E$10, $D170)+(E$7^2-E$8^2)*MIN(E$12, E$42))/IF($B$4, 25.4^3, 1), 0), 0)</f>
        <v>0</v>
      </c>
      <c r="H171" s="55" t="n">
        <f aca="false">IFERROR(IF(AND($C171&gt;=F$15, $C171&lt;=F$16), IF(F$14&gt;1, N(MOD($C171-F$15, F$14)&lt;1), 1/F$14)*PI()*F$9/4*(F$7^2*MIN(F$10, $D170)+(F$7^2-F$8^2)*MIN(F$12, F$42))/IF($B$4, 25.4^3, 1), 0), 0)</f>
        <v>0</v>
      </c>
      <c r="I171" s="55" t="n">
        <f aca="false">IFERROR(IF(AND($C171&gt;=G$15, $C171&lt;=G$16), IF(G$14&gt;1, N(MOD($C171-G$15, G$14)&lt;1), 1/G$14)*PI()*G$9/4*(G$7^2*MIN(G$10, $D170)+(G$7^2-G$8^2)*MIN(G$12, G$42))/IF($B$4, 25.4^3, 1), 0), 0)</f>
        <v>0</v>
      </c>
      <c r="J171" s="55" t="n">
        <f aca="false">IFERROR(IF(AND($C171&gt;=H$15, $C171&lt;=H$16), IF(H$14&gt;1, N(MOD($C171-H$15, H$14)&lt;1), 1/H$14)*PI()*H$9/4*(H$7^2*MIN(H$10, $D170)+(H$7^2-H$8^2)*MIN(H$12, H$42))/IF($B$4, 25.4^3, 1), 0), 0)</f>
        <v>0</v>
      </c>
      <c r="K171" s="55" t="n">
        <f aca="false">IFERROR(IF(AND($C171&gt;=I$15, $C171&lt;=I$16), IF(I$14&gt;1, N(MOD($C171-I$15, I$14)&lt;1), 1/I$14)*PI()*I$9/4*(I$7^2*MIN(I$10, $D170)+(I$7^2-I$8^2)*MIN(I$12, I$42))/IF($B$4, 25.4^3, 1), 0), 0)</f>
        <v>0</v>
      </c>
      <c r="L171" s="55" t="n">
        <f aca="false">IFERROR(IF(AND($C171&gt;=J$15, $C171&lt;=J$16), IF(J$14&gt;1, N(MOD($C171-J$15, J$14)&lt;1), 1/J$14)*PI()*J$9/4*(J$7^2*MIN(J$10, $D170)+(J$7^2-J$8^2)*MIN(J$12, J$42))/IF($B$4, 25.4^3, 1), 0), 0)</f>
        <v>0</v>
      </c>
      <c r="M171" s="55" t="n">
        <f aca="false">IFERROR(IF(AND($C171&gt;=K$15, $C171&lt;=K$16), IF(K$14&gt;1, N(MOD($C171-K$15, K$14)&lt;1), 1/K$14)*PI()*K$9/4*(K$7^2*MIN(K$10, $D170)+(K$7^2-K$8^2)*MIN(K$12, K$42))/IF($B$4, 25.4^3, 1), 0), 0)</f>
        <v>0</v>
      </c>
    </row>
    <row r="172" customFormat="false" ht="15" hidden="false" customHeight="false" outlineLevel="0" collapsed="false">
      <c r="C172" s="55" t="n">
        <v>130</v>
      </c>
      <c r="D172" s="55" t="n">
        <f aca="false">MAX((D171*($N$10/IF($B$4, 16.387, 1))+E172-SUM(F172:M172))/($N$10/IF($B$4, 16.387, 1)), 0)</f>
        <v>38.8344719087187</v>
      </c>
      <c r="E172" s="55" t="n">
        <f aca="false">IF(D171&lt;$N$15, $D$40*D171^3+$E$40*D171^2+$F$40*D171+$G$40, 0) * 12^3/60*14.7</f>
        <v>219.445495511634</v>
      </c>
      <c r="F172" s="55" t="n">
        <f aca="false">IFERROR(IF(AND($C172&gt;=D$15, $C172&lt;=D$16), IF(D$14&gt;1, N(MOD($C172-D$15, D$14)&lt;1), 1/D$14)*PI()*D$9/4*(D$7^2*MIN(D$10, $D171)+(D$7^2-D$8^2)*MIN(D$12, D$42))/IF($B$4, 25.4^3, 1), 0), 0)</f>
        <v>0</v>
      </c>
      <c r="G172" s="55" t="n">
        <f aca="false">IFERROR(IF(AND($C172&gt;=E$15, $C172&lt;=E$16), IF(E$14&gt;1, N(MOD($C172-E$15, E$14)&lt;1), 1/E$14)*PI()*E$9/4*(E$7^2*MIN(E$10, $D171)+(E$7^2-E$8^2)*MIN(E$12, E$42))/IF($B$4, 25.4^3, 1), 0), 0)</f>
        <v>0</v>
      </c>
      <c r="H172" s="55" t="n">
        <f aca="false">IFERROR(IF(AND($C172&gt;=F$15, $C172&lt;=F$16), IF(F$14&gt;1, N(MOD($C172-F$15, F$14)&lt;1), 1/F$14)*PI()*F$9/4*(F$7^2*MIN(F$10, $D171)+(F$7^2-F$8^2)*MIN(F$12, F$42))/IF($B$4, 25.4^3, 1), 0), 0)</f>
        <v>0</v>
      </c>
      <c r="I172" s="55" t="n">
        <f aca="false">IFERROR(IF(AND($C172&gt;=G$15, $C172&lt;=G$16), IF(G$14&gt;1, N(MOD($C172-G$15, G$14)&lt;1), 1/G$14)*PI()*G$9/4*(G$7^2*MIN(G$10, $D171)+(G$7^2-G$8^2)*MIN(G$12, G$42))/IF($B$4, 25.4^3, 1), 0), 0)</f>
        <v>0</v>
      </c>
      <c r="J172" s="55" t="n">
        <f aca="false">IFERROR(IF(AND($C172&gt;=H$15, $C172&lt;=H$16), IF(H$14&gt;1, N(MOD($C172-H$15, H$14)&lt;1), 1/H$14)*PI()*H$9/4*(H$7^2*MIN(H$10, $D171)+(H$7^2-H$8^2)*MIN(H$12, H$42))/IF($B$4, 25.4^3, 1), 0), 0)</f>
        <v>0</v>
      </c>
      <c r="K172" s="55" t="n">
        <f aca="false">IFERROR(IF(AND($C172&gt;=I$15, $C172&lt;=I$16), IF(I$14&gt;1, N(MOD($C172-I$15, I$14)&lt;1), 1/I$14)*PI()*I$9/4*(I$7^2*MIN(I$10, $D171)+(I$7^2-I$8^2)*MIN(I$12, I$42))/IF($B$4, 25.4^3, 1), 0), 0)</f>
        <v>0</v>
      </c>
      <c r="L172" s="55" t="n">
        <f aca="false">IFERROR(IF(AND($C172&gt;=J$15, $C172&lt;=J$16), IF(J$14&gt;1, N(MOD($C172-J$15, J$14)&lt;1), 1/J$14)*PI()*J$9/4*(J$7^2*MIN(J$10, $D171)+(J$7^2-J$8^2)*MIN(J$12, J$42))/IF($B$4, 25.4^3, 1), 0), 0)</f>
        <v>0</v>
      </c>
      <c r="M172" s="55" t="n">
        <f aca="false">IFERROR(IF(AND($C172&gt;=K$15, $C172&lt;=K$16), IF(K$14&gt;1, N(MOD($C172-K$15, K$14)&lt;1), 1/K$14)*PI()*K$9/4*(K$7^2*MIN(K$10, $D171)+(K$7^2-K$8^2)*MIN(K$12, K$42))/IF($B$4, 25.4^3, 1), 0), 0)</f>
        <v>0</v>
      </c>
    </row>
    <row r="173" customFormat="false" ht="15" hidden="false" customHeight="false" outlineLevel="0" collapsed="false">
      <c r="C173" s="55" t="n">
        <v>131</v>
      </c>
      <c r="D173" s="55" t="n">
        <f aca="false">MAX((D172*($N$10/IF($B$4, 16.387, 1))+E173-SUM(F173:M173))/($N$10/IF($B$4, 16.387, 1)), 0)</f>
        <v>40.8813480425477</v>
      </c>
      <c r="E173" s="55" t="n">
        <f aca="false">IF(D172&lt;$N$15, $D$40*D172^3+$E$40*D172^2+$F$40*D172+$G$40, 0) * 12^3/60*14.7</f>
        <v>214.921994052049</v>
      </c>
      <c r="F173" s="55" t="n">
        <f aca="false">IFERROR(IF(AND($C173&gt;=D$15, $C173&lt;=D$16), IF(D$14&gt;1, N(MOD($C173-D$15, D$14)&lt;1), 1/D$14)*PI()*D$9/4*(D$7^2*MIN(D$10, $D172)+(D$7^2-D$8^2)*MIN(D$12, D$42))/IF($B$4, 25.4^3, 1), 0), 0)</f>
        <v>0</v>
      </c>
      <c r="G173" s="55" t="n">
        <f aca="false">IFERROR(IF(AND($C173&gt;=E$15, $C173&lt;=E$16), IF(E$14&gt;1, N(MOD($C173-E$15, E$14)&lt;1), 1/E$14)*PI()*E$9/4*(E$7^2*MIN(E$10, $D172)+(E$7^2-E$8^2)*MIN(E$12, E$42))/IF($B$4, 25.4^3, 1), 0), 0)</f>
        <v>0</v>
      </c>
      <c r="H173" s="55" t="n">
        <f aca="false">IFERROR(IF(AND($C173&gt;=F$15, $C173&lt;=F$16), IF(F$14&gt;1, N(MOD($C173-F$15, F$14)&lt;1), 1/F$14)*PI()*F$9/4*(F$7^2*MIN(F$10, $D172)+(F$7^2-F$8^2)*MIN(F$12, F$42))/IF($B$4, 25.4^3, 1), 0), 0)</f>
        <v>0</v>
      </c>
      <c r="I173" s="55" t="n">
        <f aca="false">IFERROR(IF(AND($C173&gt;=G$15, $C173&lt;=G$16), IF(G$14&gt;1, N(MOD($C173-G$15, G$14)&lt;1), 1/G$14)*PI()*G$9/4*(G$7^2*MIN(G$10, $D172)+(G$7^2-G$8^2)*MIN(G$12, G$42))/IF($B$4, 25.4^3, 1), 0), 0)</f>
        <v>0</v>
      </c>
      <c r="J173" s="55" t="n">
        <f aca="false">IFERROR(IF(AND($C173&gt;=H$15, $C173&lt;=H$16), IF(H$14&gt;1, N(MOD($C173-H$15, H$14)&lt;1), 1/H$14)*PI()*H$9/4*(H$7^2*MIN(H$10, $D172)+(H$7^2-H$8^2)*MIN(H$12, H$42))/IF($B$4, 25.4^3, 1), 0), 0)</f>
        <v>0</v>
      </c>
      <c r="K173" s="55" t="n">
        <f aca="false">IFERROR(IF(AND($C173&gt;=I$15, $C173&lt;=I$16), IF(I$14&gt;1, N(MOD($C173-I$15, I$14)&lt;1), 1/I$14)*PI()*I$9/4*(I$7^2*MIN(I$10, $D172)+(I$7^2-I$8^2)*MIN(I$12, I$42))/IF($B$4, 25.4^3, 1), 0), 0)</f>
        <v>0</v>
      </c>
      <c r="L173" s="55" t="n">
        <f aca="false">IFERROR(IF(AND($C173&gt;=J$15, $C173&lt;=J$16), IF(J$14&gt;1, N(MOD($C173-J$15, J$14)&lt;1), 1/J$14)*PI()*J$9/4*(J$7^2*MIN(J$10, $D172)+(J$7^2-J$8^2)*MIN(J$12, J$42))/IF($B$4, 25.4^3, 1), 0), 0)</f>
        <v>0</v>
      </c>
      <c r="M173" s="55" t="n">
        <f aca="false">IFERROR(IF(AND($C173&gt;=K$15, $C173&lt;=K$16), IF(K$14&gt;1, N(MOD($C173-K$15, K$14)&lt;1), 1/K$14)*PI()*K$9/4*(K$7^2*MIN(K$10, $D172)+(K$7^2-K$8^2)*MIN(K$12, K$42))/IF($B$4, 25.4^3, 1), 0), 0)</f>
        <v>0</v>
      </c>
    </row>
    <row r="174" customFormat="false" ht="15" hidden="false" customHeight="false" outlineLevel="0" collapsed="false">
      <c r="C174" s="55" t="n">
        <v>132</v>
      </c>
      <c r="D174" s="55" t="n">
        <f aca="false">MAX((D173*($N$10/IF($B$4, 16.387, 1))+E174-SUM(F174:M174))/($N$10/IF($B$4, 16.387, 1)), 0)</f>
        <v>42.8862310442383</v>
      </c>
      <c r="E174" s="55" t="n">
        <f aca="false">IF(D173&lt;$N$15, $D$40*D173^3+$E$40*D173^2+$F$40*D173+$G$40, 0) * 12^3/60*14.7</f>
        <v>210.512715177504</v>
      </c>
      <c r="F174" s="55" t="n">
        <f aca="false">IFERROR(IF(AND($C174&gt;=D$15, $C174&lt;=D$16), IF(D$14&gt;1, N(MOD($C174-D$15, D$14)&lt;1), 1/D$14)*PI()*D$9/4*(D$7^2*MIN(D$10, $D173)+(D$7^2-D$8^2)*MIN(D$12, D$42))/IF($B$4, 25.4^3, 1), 0), 0)</f>
        <v>0</v>
      </c>
      <c r="G174" s="55" t="n">
        <f aca="false">IFERROR(IF(AND($C174&gt;=E$15, $C174&lt;=E$16), IF(E$14&gt;1, N(MOD($C174-E$15, E$14)&lt;1), 1/E$14)*PI()*E$9/4*(E$7^2*MIN(E$10, $D173)+(E$7^2-E$8^2)*MIN(E$12, E$42))/IF($B$4, 25.4^3, 1), 0), 0)</f>
        <v>0</v>
      </c>
      <c r="H174" s="55" t="n">
        <f aca="false">IFERROR(IF(AND($C174&gt;=F$15, $C174&lt;=F$16), IF(F$14&gt;1, N(MOD($C174-F$15, F$14)&lt;1), 1/F$14)*PI()*F$9/4*(F$7^2*MIN(F$10, $D173)+(F$7^2-F$8^2)*MIN(F$12, F$42))/IF($B$4, 25.4^3, 1), 0), 0)</f>
        <v>0</v>
      </c>
      <c r="I174" s="55" t="n">
        <f aca="false">IFERROR(IF(AND($C174&gt;=G$15, $C174&lt;=G$16), IF(G$14&gt;1, N(MOD($C174-G$15, G$14)&lt;1), 1/G$14)*PI()*G$9/4*(G$7^2*MIN(G$10, $D173)+(G$7^2-G$8^2)*MIN(G$12, G$42))/IF($B$4, 25.4^3, 1), 0), 0)</f>
        <v>0</v>
      </c>
      <c r="J174" s="55" t="n">
        <f aca="false">IFERROR(IF(AND($C174&gt;=H$15, $C174&lt;=H$16), IF(H$14&gt;1, N(MOD($C174-H$15, H$14)&lt;1), 1/H$14)*PI()*H$9/4*(H$7^2*MIN(H$10, $D173)+(H$7^2-H$8^2)*MIN(H$12, H$42))/IF($B$4, 25.4^3, 1), 0), 0)</f>
        <v>0</v>
      </c>
      <c r="K174" s="55" t="n">
        <f aca="false">IFERROR(IF(AND($C174&gt;=I$15, $C174&lt;=I$16), IF(I$14&gt;1, N(MOD($C174-I$15, I$14)&lt;1), 1/I$14)*PI()*I$9/4*(I$7^2*MIN(I$10, $D173)+(I$7^2-I$8^2)*MIN(I$12, I$42))/IF($B$4, 25.4^3, 1), 0), 0)</f>
        <v>0</v>
      </c>
      <c r="L174" s="55" t="n">
        <f aca="false">IFERROR(IF(AND($C174&gt;=J$15, $C174&lt;=J$16), IF(J$14&gt;1, N(MOD($C174-J$15, J$14)&lt;1), 1/J$14)*PI()*J$9/4*(J$7^2*MIN(J$10, $D173)+(J$7^2-J$8^2)*MIN(J$12, J$42))/IF($B$4, 25.4^3, 1), 0), 0)</f>
        <v>0</v>
      </c>
      <c r="M174" s="55" t="n">
        <f aca="false">IFERROR(IF(AND($C174&gt;=K$15, $C174&lt;=K$16), IF(K$14&gt;1, N(MOD($C174-K$15, K$14)&lt;1), 1/K$14)*PI()*K$9/4*(K$7^2*MIN(K$10, $D173)+(K$7^2-K$8^2)*MIN(K$12, K$42))/IF($B$4, 25.4^3, 1), 0), 0)</f>
        <v>0</v>
      </c>
    </row>
    <row r="175" customFormat="false" ht="15" hidden="false" customHeight="false" outlineLevel="0" collapsed="false">
      <c r="C175" s="55" t="n">
        <v>133</v>
      </c>
      <c r="D175" s="55" t="n">
        <f aca="false">MAX((D174*($N$10/IF($B$4, 16.387, 1))+E175-SUM(F175:M175))/($N$10/IF($B$4, 16.387, 1)), 0)</f>
        <v>33.9318148824845</v>
      </c>
      <c r="E175" s="55" t="n">
        <f aca="false">IF(D174&lt;$N$15, $D$40*D174^3+$E$40*D174^2+$F$40*D174+$G$40, 0) * 12^3/60*14.7</f>
        <v>206.22218465007</v>
      </c>
      <c r="F175" s="55" t="n">
        <f aca="false">IFERROR(IF(AND($C175&gt;=D$15, $C175&lt;=D$16), IF(D$14&gt;1, N(MOD($C175-D$15, D$14)&lt;1), 1/D$14)*PI()*D$9/4*(D$7^2*MIN(D$10, $D174)+(D$7^2-D$8^2)*MIN(D$12, D$42))/IF($B$4, 25.4^3, 1), 0), 0)</f>
        <v>1146.43588163421</v>
      </c>
      <c r="G175" s="55" t="n">
        <f aca="false">IFERROR(IF(AND($C175&gt;=E$15, $C175&lt;=E$16), IF(E$14&gt;1, N(MOD($C175-E$15, E$14)&lt;1), 1/E$14)*PI()*E$9/4*(E$7^2*MIN(E$10, $D174)+(E$7^2-E$8^2)*MIN(E$12, E$42))/IF($B$4, 25.4^3, 1), 0), 0)</f>
        <v>0</v>
      </c>
      <c r="H175" s="55" t="n">
        <f aca="false">IFERROR(IF(AND($C175&gt;=F$15, $C175&lt;=F$16), IF(F$14&gt;1, N(MOD($C175-F$15, F$14)&lt;1), 1/F$14)*PI()*F$9/4*(F$7^2*MIN(F$10, $D174)+(F$7^2-F$8^2)*MIN(F$12, F$42))/IF($B$4, 25.4^3, 1), 0), 0)</f>
        <v>0</v>
      </c>
      <c r="I175" s="55" t="n">
        <f aca="false">IFERROR(IF(AND($C175&gt;=G$15, $C175&lt;=G$16), IF(G$14&gt;1, N(MOD($C175-G$15, G$14)&lt;1), 1/G$14)*PI()*G$9/4*(G$7^2*MIN(G$10, $D174)+(G$7^2-G$8^2)*MIN(G$12, G$42))/IF($B$4, 25.4^3, 1), 0), 0)</f>
        <v>0</v>
      </c>
      <c r="J175" s="55" t="n">
        <f aca="false">IFERROR(IF(AND($C175&gt;=H$15, $C175&lt;=H$16), IF(H$14&gt;1, N(MOD($C175-H$15, H$14)&lt;1), 1/H$14)*PI()*H$9/4*(H$7^2*MIN(H$10, $D174)+(H$7^2-H$8^2)*MIN(H$12, H$42))/IF($B$4, 25.4^3, 1), 0), 0)</f>
        <v>0</v>
      </c>
      <c r="K175" s="55" t="n">
        <f aca="false">IFERROR(IF(AND($C175&gt;=I$15, $C175&lt;=I$16), IF(I$14&gt;1, N(MOD($C175-I$15, I$14)&lt;1), 1/I$14)*PI()*I$9/4*(I$7^2*MIN(I$10, $D174)+(I$7^2-I$8^2)*MIN(I$12, I$42))/IF($B$4, 25.4^3, 1), 0), 0)</f>
        <v>0</v>
      </c>
      <c r="L175" s="55" t="n">
        <f aca="false">IFERROR(IF(AND($C175&gt;=J$15, $C175&lt;=J$16), IF(J$14&gt;1, N(MOD($C175-J$15, J$14)&lt;1), 1/J$14)*PI()*J$9/4*(J$7^2*MIN(J$10, $D174)+(J$7^2-J$8^2)*MIN(J$12, J$42))/IF($B$4, 25.4^3, 1), 0), 0)</f>
        <v>0</v>
      </c>
      <c r="M175" s="55" t="n">
        <f aca="false">IFERROR(IF(AND($C175&gt;=K$15, $C175&lt;=K$16), IF(K$14&gt;1, N(MOD($C175-K$15, K$14)&lt;1), 1/K$14)*PI()*K$9/4*(K$7^2*MIN(K$10, $D174)+(K$7^2-K$8^2)*MIN(K$12, K$42))/IF($B$4, 25.4^3, 1), 0), 0)</f>
        <v>0</v>
      </c>
    </row>
    <row r="176" customFormat="false" ht="15" hidden="false" customHeight="false" outlineLevel="0" collapsed="false">
      <c r="C176" s="55" t="n">
        <v>134</v>
      </c>
      <c r="D176" s="55" t="n">
        <f aca="false">MAX((D175*($N$10/IF($B$4, 16.387, 1))+E176-SUM(F176:M176))/($N$10/IF($B$4, 16.387, 1)), 0)</f>
        <v>36.0799271077867</v>
      </c>
      <c r="E176" s="55" t="n">
        <f aca="false">IF(D175&lt;$N$15, $D$40*D175^3+$E$40*D175^2+$F$40*D175+$G$40, 0) * 12^3/60*14.7</f>
        <v>225.551783656724</v>
      </c>
      <c r="F176" s="55" t="n">
        <f aca="false">IFERROR(IF(AND($C176&gt;=D$15, $C176&lt;=D$16), IF(D$14&gt;1, N(MOD($C176-D$15, D$14)&lt;1), 1/D$14)*PI()*D$9/4*(D$7^2*MIN(D$10, $D175)+(D$7^2-D$8^2)*MIN(D$12, D$42))/IF($B$4, 25.4^3, 1), 0), 0)</f>
        <v>0</v>
      </c>
      <c r="G176" s="55" t="n">
        <f aca="false">IFERROR(IF(AND($C176&gt;=E$15, $C176&lt;=E$16), IF(E$14&gt;1, N(MOD($C176-E$15, E$14)&lt;1), 1/E$14)*PI()*E$9/4*(E$7^2*MIN(E$10, $D175)+(E$7^2-E$8^2)*MIN(E$12, E$42))/IF($B$4, 25.4^3, 1), 0), 0)</f>
        <v>0</v>
      </c>
      <c r="H176" s="55" t="n">
        <f aca="false">IFERROR(IF(AND($C176&gt;=F$15, $C176&lt;=F$16), IF(F$14&gt;1, N(MOD($C176-F$15, F$14)&lt;1), 1/F$14)*PI()*F$9/4*(F$7^2*MIN(F$10, $D175)+(F$7^2-F$8^2)*MIN(F$12, F$42))/IF($B$4, 25.4^3, 1), 0), 0)</f>
        <v>0</v>
      </c>
      <c r="I176" s="55" t="n">
        <f aca="false">IFERROR(IF(AND($C176&gt;=G$15, $C176&lt;=G$16), IF(G$14&gt;1, N(MOD($C176-G$15, G$14)&lt;1), 1/G$14)*PI()*G$9/4*(G$7^2*MIN(G$10, $D175)+(G$7^2-G$8^2)*MIN(G$12, G$42))/IF($B$4, 25.4^3, 1), 0), 0)</f>
        <v>0</v>
      </c>
      <c r="J176" s="55" t="n">
        <f aca="false">IFERROR(IF(AND($C176&gt;=H$15, $C176&lt;=H$16), IF(H$14&gt;1, N(MOD($C176-H$15, H$14)&lt;1), 1/H$14)*PI()*H$9/4*(H$7^2*MIN(H$10, $D175)+(H$7^2-H$8^2)*MIN(H$12, H$42))/IF($B$4, 25.4^3, 1), 0), 0)</f>
        <v>0</v>
      </c>
      <c r="K176" s="55" t="n">
        <f aca="false">IFERROR(IF(AND($C176&gt;=I$15, $C176&lt;=I$16), IF(I$14&gt;1, N(MOD($C176-I$15, I$14)&lt;1), 1/I$14)*PI()*I$9/4*(I$7^2*MIN(I$10, $D175)+(I$7^2-I$8^2)*MIN(I$12, I$42))/IF($B$4, 25.4^3, 1), 0), 0)</f>
        <v>0</v>
      </c>
      <c r="L176" s="55" t="n">
        <f aca="false">IFERROR(IF(AND($C176&gt;=J$15, $C176&lt;=J$16), IF(J$14&gt;1, N(MOD($C176-J$15, J$14)&lt;1), 1/J$14)*PI()*J$9/4*(J$7^2*MIN(J$10, $D175)+(J$7^2-J$8^2)*MIN(J$12, J$42))/IF($B$4, 25.4^3, 1), 0), 0)</f>
        <v>0</v>
      </c>
      <c r="M176" s="55" t="n">
        <f aca="false">IFERROR(IF(AND($C176&gt;=K$15, $C176&lt;=K$16), IF(K$14&gt;1, N(MOD($C176-K$15, K$14)&lt;1), 1/K$14)*PI()*K$9/4*(K$7^2*MIN(K$10, $D175)+(K$7^2-K$8^2)*MIN(K$12, K$42))/IF($B$4, 25.4^3, 1), 0), 0)</f>
        <v>0</v>
      </c>
    </row>
    <row r="177" customFormat="false" ht="15" hidden="false" customHeight="false" outlineLevel="0" collapsed="false">
      <c r="C177" s="55" t="n">
        <v>135</v>
      </c>
      <c r="D177" s="55" t="n">
        <f aca="false">MAX((D176*($N$10/IF($B$4, 16.387, 1))+E177-SUM(F177:M177))/($N$10/IF($B$4, 16.387, 1)), 0)</f>
        <v>38.1836130668307</v>
      </c>
      <c r="E177" s="55" t="n">
        <f aca="false">IF(D176&lt;$N$15, $D$40*D176^3+$E$40*D176^2+$F$40*D176+$G$40, 0) * 12^3/60*14.7</f>
        <v>220.887025699623</v>
      </c>
      <c r="F177" s="55" t="n">
        <f aca="false">IFERROR(IF(AND($C177&gt;=D$15, $C177&lt;=D$16), IF(D$14&gt;1, N(MOD($C177-D$15, D$14)&lt;1), 1/D$14)*PI()*D$9/4*(D$7^2*MIN(D$10, $D176)+(D$7^2-D$8^2)*MIN(D$12, D$42))/IF($B$4, 25.4^3, 1), 0), 0)</f>
        <v>0</v>
      </c>
      <c r="G177" s="55" t="n">
        <f aca="false">IFERROR(IF(AND($C177&gt;=E$15, $C177&lt;=E$16), IF(E$14&gt;1, N(MOD($C177-E$15, E$14)&lt;1), 1/E$14)*PI()*E$9/4*(E$7^2*MIN(E$10, $D176)+(E$7^2-E$8^2)*MIN(E$12, E$42))/IF($B$4, 25.4^3, 1), 0), 0)</f>
        <v>0</v>
      </c>
      <c r="H177" s="55" t="n">
        <f aca="false">IFERROR(IF(AND($C177&gt;=F$15, $C177&lt;=F$16), IF(F$14&gt;1, N(MOD($C177-F$15, F$14)&lt;1), 1/F$14)*PI()*F$9/4*(F$7^2*MIN(F$10, $D176)+(F$7^2-F$8^2)*MIN(F$12, F$42))/IF($B$4, 25.4^3, 1), 0), 0)</f>
        <v>0</v>
      </c>
      <c r="I177" s="55" t="n">
        <f aca="false">IFERROR(IF(AND($C177&gt;=G$15, $C177&lt;=G$16), IF(G$14&gt;1, N(MOD($C177-G$15, G$14)&lt;1), 1/G$14)*PI()*G$9/4*(G$7^2*MIN(G$10, $D176)+(G$7^2-G$8^2)*MIN(G$12, G$42))/IF($B$4, 25.4^3, 1), 0), 0)</f>
        <v>0</v>
      </c>
      <c r="J177" s="55" t="n">
        <f aca="false">IFERROR(IF(AND($C177&gt;=H$15, $C177&lt;=H$16), IF(H$14&gt;1, N(MOD($C177-H$15, H$14)&lt;1), 1/H$14)*PI()*H$9/4*(H$7^2*MIN(H$10, $D176)+(H$7^2-H$8^2)*MIN(H$12, H$42))/IF($B$4, 25.4^3, 1), 0), 0)</f>
        <v>0</v>
      </c>
      <c r="K177" s="55" t="n">
        <f aca="false">IFERROR(IF(AND($C177&gt;=I$15, $C177&lt;=I$16), IF(I$14&gt;1, N(MOD($C177-I$15, I$14)&lt;1), 1/I$14)*PI()*I$9/4*(I$7^2*MIN(I$10, $D176)+(I$7^2-I$8^2)*MIN(I$12, I$42))/IF($B$4, 25.4^3, 1), 0), 0)</f>
        <v>0</v>
      </c>
      <c r="L177" s="55" t="n">
        <f aca="false">IFERROR(IF(AND($C177&gt;=J$15, $C177&lt;=J$16), IF(J$14&gt;1, N(MOD($C177-J$15, J$14)&lt;1), 1/J$14)*PI()*J$9/4*(J$7^2*MIN(J$10, $D176)+(J$7^2-J$8^2)*MIN(J$12, J$42))/IF($B$4, 25.4^3, 1), 0), 0)</f>
        <v>0</v>
      </c>
      <c r="M177" s="55" t="n">
        <f aca="false">IFERROR(IF(AND($C177&gt;=K$15, $C177&lt;=K$16), IF(K$14&gt;1, N(MOD($C177-K$15, K$14)&lt;1), 1/K$14)*PI()*K$9/4*(K$7^2*MIN(K$10, $D176)+(K$7^2-K$8^2)*MIN(K$12, K$42))/IF($B$4, 25.4^3, 1), 0), 0)</f>
        <v>0</v>
      </c>
    </row>
    <row r="178" customFormat="false" ht="15" hidden="false" customHeight="false" outlineLevel="0" collapsed="false">
      <c r="C178" s="55" t="n">
        <v>136</v>
      </c>
      <c r="D178" s="55" t="n">
        <f aca="false">MAX((D177*($N$10/IF($B$4, 16.387, 1))+E178-SUM(F178:M178))/($N$10/IF($B$4, 16.387, 1)), 0)</f>
        <v>40.2438874034546</v>
      </c>
      <c r="E178" s="55" t="n">
        <f aca="false">IF(D177&lt;$N$15, $D$40*D177^3+$E$40*D177^2+$F$40*D177+$G$40, 0) * 12^3/60*14.7</f>
        <v>216.328805345507</v>
      </c>
      <c r="F178" s="55" t="n">
        <f aca="false">IFERROR(IF(AND($C178&gt;=D$15, $C178&lt;=D$16), IF(D$14&gt;1, N(MOD($C178-D$15, D$14)&lt;1), 1/D$14)*PI()*D$9/4*(D$7^2*MIN(D$10, $D177)+(D$7^2-D$8^2)*MIN(D$12, D$42))/IF($B$4, 25.4^3, 1), 0), 0)</f>
        <v>0</v>
      </c>
      <c r="G178" s="55" t="n">
        <f aca="false">IFERROR(IF(AND($C178&gt;=E$15, $C178&lt;=E$16), IF(E$14&gt;1, N(MOD($C178-E$15, E$14)&lt;1), 1/E$14)*PI()*E$9/4*(E$7^2*MIN(E$10, $D177)+(E$7^2-E$8^2)*MIN(E$12, E$42))/IF($B$4, 25.4^3, 1), 0), 0)</f>
        <v>0</v>
      </c>
      <c r="H178" s="55" t="n">
        <f aca="false">IFERROR(IF(AND($C178&gt;=F$15, $C178&lt;=F$16), IF(F$14&gt;1, N(MOD($C178-F$15, F$14)&lt;1), 1/F$14)*PI()*F$9/4*(F$7^2*MIN(F$10, $D177)+(F$7^2-F$8^2)*MIN(F$12, F$42))/IF($B$4, 25.4^3, 1), 0), 0)</f>
        <v>0</v>
      </c>
      <c r="I178" s="55" t="n">
        <f aca="false">IFERROR(IF(AND($C178&gt;=G$15, $C178&lt;=G$16), IF(G$14&gt;1, N(MOD($C178-G$15, G$14)&lt;1), 1/G$14)*PI()*G$9/4*(G$7^2*MIN(G$10, $D177)+(G$7^2-G$8^2)*MIN(G$12, G$42))/IF($B$4, 25.4^3, 1), 0), 0)</f>
        <v>0</v>
      </c>
      <c r="J178" s="55" t="n">
        <f aca="false">IFERROR(IF(AND($C178&gt;=H$15, $C178&lt;=H$16), IF(H$14&gt;1, N(MOD($C178-H$15, H$14)&lt;1), 1/H$14)*PI()*H$9/4*(H$7^2*MIN(H$10, $D177)+(H$7^2-H$8^2)*MIN(H$12, H$42))/IF($B$4, 25.4^3, 1), 0), 0)</f>
        <v>0</v>
      </c>
      <c r="K178" s="55" t="n">
        <f aca="false">IFERROR(IF(AND($C178&gt;=I$15, $C178&lt;=I$16), IF(I$14&gt;1, N(MOD($C178-I$15, I$14)&lt;1), 1/I$14)*PI()*I$9/4*(I$7^2*MIN(I$10, $D177)+(I$7^2-I$8^2)*MIN(I$12, I$42))/IF($B$4, 25.4^3, 1), 0), 0)</f>
        <v>0</v>
      </c>
      <c r="L178" s="55" t="n">
        <f aca="false">IFERROR(IF(AND($C178&gt;=J$15, $C178&lt;=J$16), IF(J$14&gt;1, N(MOD($C178-J$15, J$14)&lt;1), 1/J$14)*PI()*J$9/4*(J$7^2*MIN(J$10, $D177)+(J$7^2-J$8^2)*MIN(J$12, J$42))/IF($B$4, 25.4^3, 1), 0), 0)</f>
        <v>0</v>
      </c>
      <c r="M178" s="55" t="n">
        <f aca="false">IFERROR(IF(AND($C178&gt;=K$15, $C178&lt;=K$16), IF(K$14&gt;1, N(MOD($C178-K$15, K$14)&lt;1), 1/K$14)*PI()*K$9/4*(K$7^2*MIN(K$10, $D177)+(K$7^2-K$8^2)*MIN(K$12, K$42))/IF($B$4, 25.4^3, 1), 0), 0)</f>
        <v>0</v>
      </c>
    </row>
    <row r="179" customFormat="false" ht="15" hidden="false" customHeight="false" outlineLevel="0" collapsed="false">
      <c r="C179" s="55" t="n">
        <v>137</v>
      </c>
      <c r="D179" s="55" t="n">
        <f aca="false">MAX((D178*($N$10/IF($B$4, 16.387, 1))+E179-SUM(F179:M179))/($N$10/IF($B$4, 16.387, 1)), 0)</f>
        <v>42.261822269106</v>
      </c>
      <c r="E179" s="55" t="n">
        <f aca="false">IF(D178&lt;$N$15, $D$40*D178^3+$E$40*D178^2+$F$40*D178+$G$40, 0) * 12^3/60*14.7</f>
        <v>211.883160893403</v>
      </c>
      <c r="F179" s="55" t="n">
        <f aca="false">IFERROR(IF(AND($C179&gt;=D$15, $C179&lt;=D$16), IF(D$14&gt;1, N(MOD($C179-D$15, D$14)&lt;1), 1/D$14)*PI()*D$9/4*(D$7^2*MIN(D$10, $D178)+(D$7^2-D$8^2)*MIN(D$12, D$42))/IF($B$4, 25.4^3, 1), 0), 0)</f>
        <v>0</v>
      </c>
      <c r="G179" s="55" t="n">
        <f aca="false">IFERROR(IF(AND($C179&gt;=E$15, $C179&lt;=E$16), IF(E$14&gt;1, N(MOD($C179-E$15, E$14)&lt;1), 1/E$14)*PI()*E$9/4*(E$7^2*MIN(E$10, $D178)+(E$7^2-E$8^2)*MIN(E$12, E$42))/IF($B$4, 25.4^3, 1), 0), 0)</f>
        <v>0</v>
      </c>
      <c r="H179" s="55" t="n">
        <f aca="false">IFERROR(IF(AND($C179&gt;=F$15, $C179&lt;=F$16), IF(F$14&gt;1, N(MOD($C179-F$15, F$14)&lt;1), 1/F$14)*PI()*F$9/4*(F$7^2*MIN(F$10, $D178)+(F$7^2-F$8^2)*MIN(F$12, F$42))/IF($B$4, 25.4^3, 1), 0), 0)</f>
        <v>0</v>
      </c>
      <c r="I179" s="55" t="n">
        <f aca="false">IFERROR(IF(AND($C179&gt;=G$15, $C179&lt;=G$16), IF(G$14&gt;1, N(MOD($C179-G$15, G$14)&lt;1), 1/G$14)*PI()*G$9/4*(G$7^2*MIN(G$10, $D178)+(G$7^2-G$8^2)*MIN(G$12, G$42))/IF($B$4, 25.4^3, 1), 0), 0)</f>
        <v>0</v>
      </c>
      <c r="J179" s="55" t="n">
        <f aca="false">IFERROR(IF(AND($C179&gt;=H$15, $C179&lt;=H$16), IF(H$14&gt;1, N(MOD($C179-H$15, H$14)&lt;1), 1/H$14)*PI()*H$9/4*(H$7^2*MIN(H$10, $D178)+(H$7^2-H$8^2)*MIN(H$12, H$42))/IF($B$4, 25.4^3, 1), 0), 0)</f>
        <v>0</v>
      </c>
      <c r="K179" s="55" t="n">
        <f aca="false">IFERROR(IF(AND($C179&gt;=I$15, $C179&lt;=I$16), IF(I$14&gt;1, N(MOD($C179-I$15, I$14)&lt;1), 1/I$14)*PI()*I$9/4*(I$7^2*MIN(I$10, $D178)+(I$7^2-I$8^2)*MIN(I$12, I$42))/IF($B$4, 25.4^3, 1), 0), 0)</f>
        <v>0</v>
      </c>
      <c r="L179" s="55" t="n">
        <f aca="false">IFERROR(IF(AND($C179&gt;=J$15, $C179&lt;=J$16), IF(J$14&gt;1, N(MOD($C179-J$15, J$14)&lt;1), 1/J$14)*PI()*J$9/4*(J$7^2*MIN(J$10, $D178)+(J$7^2-J$8^2)*MIN(J$12, J$42))/IF($B$4, 25.4^3, 1), 0), 0)</f>
        <v>0</v>
      </c>
      <c r="M179" s="55" t="n">
        <f aca="false">IFERROR(IF(AND($C179&gt;=K$15, $C179&lt;=K$16), IF(K$14&gt;1, N(MOD($C179-K$15, K$14)&lt;1), 1/K$14)*PI()*K$9/4*(K$7^2*MIN(K$10, $D178)+(K$7^2-K$8^2)*MIN(K$12, K$42))/IF($B$4, 25.4^3, 1), 0), 0)</f>
        <v>0</v>
      </c>
    </row>
    <row r="180" customFormat="false" ht="15" hidden="false" customHeight="false" outlineLevel="0" collapsed="false">
      <c r="C180" s="55" t="n">
        <v>138</v>
      </c>
      <c r="D180" s="55" t="n">
        <f aca="false">MAX((D179*($N$10/IF($B$4, 16.387, 1))+E180-SUM(F180:M180))/($N$10/IF($B$4, 16.387, 1)), 0)</f>
        <v>33.3200992005066</v>
      </c>
      <c r="E180" s="55" t="n">
        <f aca="false">IF(D179&lt;$N$15, $D$40*D179^3+$E$40*D179^2+$F$40*D179+$G$40, 0) * 12^3/60*14.7</f>
        <v>207.554959431277</v>
      </c>
      <c r="F180" s="55" t="n">
        <f aca="false">IFERROR(IF(AND($C180&gt;=D$15, $C180&lt;=D$16), IF(D$14&gt;1, N(MOD($C180-D$15, D$14)&lt;1), 1/D$14)*PI()*D$9/4*(D$7^2*MIN(D$10, $D179)+(D$7^2-D$8^2)*MIN(D$12, D$42))/IF($B$4, 25.4^3, 1), 0), 0)</f>
        <v>1146.43588163421</v>
      </c>
      <c r="G180" s="55" t="n">
        <f aca="false">IFERROR(IF(AND($C180&gt;=E$15, $C180&lt;=E$16), IF(E$14&gt;1, N(MOD($C180-E$15, E$14)&lt;1), 1/E$14)*PI()*E$9/4*(E$7^2*MIN(E$10, $D179)+(E$7^2-E$8^2)*MIN(E$12, E$42))/IF($B$4, 25.4^3, 1), 0), 0)</f>
        <v>0</v>
      </c>
      <c r="H180" s="55" t="n">
        <f aca="false">IFERROR(IF(AND($C180&gt;=F$15, $C180&lt;=F$16), IF(F$14&gt;1, N(MOD($C180-F$15, F$14)&lt;1), 1/F$14)*PI()*F$9/4*(F$7^2*MIN(F$10, $D179)+(F$7^2-F$8^2)*MIN(F$12, F$42))/IF($B$4, 25.4^3, 1), 0), 0)</f>
        <v>0</v>
      </c>
      <c r="I180" s="55" t="n">
        <f aca="false">IFERROR(IF(AND($C180&gt;=G$15, $C180&lt;=G$16), IF(G$14&gt;1, N(MOD($C180-G$15, G$14)&lt;1), 1/G$14)*PI()*G$9/4*(G$7^2*MIN(G$10, $D179)+(G$7^2-G$8^2)*MIN(G$12, G$42))/IF($B$4, 25.4^3, 1), 0), 0)</f>
        <v>0</v>
      </c>
      <c r="J180" s="55" t="n">
        <f aca="false">IFERROR(IF(AND($C180&gt;=H$15, $C180&lt;=H$16), IF(H$14&gt;1, N(MOD($C180-H$15, H$14)&lt;1), 1/H$14)*PI()*H$9/4*(H$7^2*MIN(H$10, $D179)+(H$7^2-H$8^2)*MIN(H$12, H$42))/IF($B$4, 25.4^3, 1), 0), 0)</f>
        <v>0</v>
      </c>
      <c r="K180" s="55" t="n">
        <f aca="false">IFERROR(IF(AND($C180&gt;=I$15, $C180&lt;=I$16), IF(I$14&gt;1, N(MOD($C180-I$15, I$14)&lt;1), 1/I$14)*PI()*I$9/4*(I$7^2*MIN(I$10, $D179)+(I$7^2-I$8^2)*MIN(I$12, I$42))/IF($B$4, 25.4^3, 1), 0), 0)</f>
        <v>0</v>
      </c>
      <c r="L180" s="55" t="n">
        <f aca="false">IFERROR(IF(AND($C180&gt;=J$15, $C180&lt;=J$16), IF(J$14&gt;1, N(MOD($C180-J$15, J$14)&lt;1), 1/J$14)*PI()*J$9/4*(J$7^2*MIN(J$10, $D179)+(J$7^2-J$8^2)*MIN(J$12, J$42))/IF($B$4, 25.4^3, 1), 0), 0)</f>
        <v>0</v>
      </c>
      <c r="M180" s="55" t="n">
        <f aca="false">IFERROR(IF(AND($C180&gt;=K$15, $C180&lt;=K$16), IF(K$14&gt;1, N(MOD($C180-K$15, K$14)&lt;1), 1/K$14)*PI()*K$9/4*(K$7^2*MIN(K$10, $D179)+(K$7^2-K$8^2)*MIN(K$12, K$42))/IF($B$4, 25.4^3, 1), 0), 0)</f>
        <v>0</v>
      </c>
    </row>
    <row r="181" customFormat="false" ht="15" hidden="false" customHeight="false" outlineLevel="0" collapsed="false">
      <c r="C181" s="55" t="n">
        <v>139</v>
      </c>
      <c r="D181" s="55" t="n">
        <f aca="false">MAX((D180*($N$10/IF($B$4, 16.387, 1))+E181-SUM(F181:M181))/($N$10/IF($B$4, 16.387, 1)), 0)</f>
        <v>35.4808679415437</v>
      </c>
      <c r="E181" s="55" t="n">
        <f aca="false">IF(D180&lt;$N$15, $D$40*D180^3+$E$40*D180^2+$F$40*D180+$G$40, 0) * 12^3/60*14.7</f>
        <v>226.880717808898</v>
      </c>
      <c r="F181" s="55" t="n">
        <f aca="false">IFERROR(IF(AND($C181&gt;=D$15, $C181&lt;=D$16), IF(D$14&gt;1, N(MOD($C181-D$15, D$14)&lt;1), 1/D$14)*PI()*D$9/4*(D$7^2*MIN(D$10, $D180)+(D$7^2-D$8^2)*MIN(D$12, D$42))/IF($B$4, 25.4^3, 1), 0), 0)</f>
        <v>0</v>
      </c>
      <c r="G181" s="55" t="n">
        <f aca="false">IFERROR(IF(AND($C181&gt;=E$15, $C181&lt;=E$16), IF(E$14&gt;1, N(MOD($C181-E$15, E$14)&lt;1), 1/E$14)*PI()*E$9/4*(E$7^2*MIN(E$10, $D180)+(E$7^2-E$8^2)*MIN(E$12, E$42))/IF($B$4, 25.4^3, 1), 0), 0)</f>
        <v>0</v>
      </c>
      <c r="H181" s="55" t="n">
        <f aca="false">IFERROR(IF(AND($C181&gt;=F$15, $C181&lt;=F$16), IF(F$14&gt;1, N(MOD($C181-F$15, F$14)&lt;1), 1/F$14)*PI()*F$9/4*(F$7^2*MIN(F$10, $D180)+(F$7^2-F$8^2)*MIN(F$12, F$42))/IF($B$4, 25.4^3, 1), 0), 0)</f>
        <v>0</v>
      </c>
      <c r="I181" s="55" t="n">
        <f aca="false">IFERROR(IF(AND($C181&gt;=G$15, $C181&lt;=G$16), IF(G$14&gt;1, N(MOD($C181-G$15, G$14)&lt;1), 1/G$14)*PI()*G$9/4*(G$7^2*MIN(G$10, $D180)+(G$7^2-G$8^2)*MIN(G$12, G$42))/IF($B$4, 25.4^3, 1), 0), 0)</f>
        <v>0</v>
      </c>
      <c r="J181" s="55" t="n">
        <f aca="false">IFERROR(IF(AND($C181&gt;=H$15, $C181&lt;=H$16), IF(H$14&gt;1, N(MOD($C181-H$15, H$14)&lt;1), 1/H$14)*PI()*H$9/4*(H$7^2*MIN(H$10, $D180)+(H$7^2-H$8^2)*MIN(H$12, H$42))/IF($B$4, 25.4^3, 1), 0), 0)</f>
        <v>0</v>
      </c>
      <c r="K181" s="55" t="n">
        <f aca="false">IFERROR(IF(AND($C181&gt;=I$15, $C181&lt;=I$16), IF(I$14&gt;1, N(MOD($C181-I$15, I$14)&lt;1), 1/I$14)*PI()*I$9/4*(I$7^2*MIN(I$10, $D180)+(I$7^2-I$8^2)*MIN(I$12, I$42))/IF($B$4, 25.4^3, 1), 0), 0)</f>
        <v>0</v>
      </c>
      <c r="L181" s="55" t="n">
        <f aca="false">IFERROR(IF(AND($C181&gt;=J$15, $C181&lt;=J$16), IF(J$14&gt;1, N(MOD($C181-J$15, J$14)&lt;1), 1/J$14)*PI()*J$9/4*(J$7^2*MIN(J$10, $D180)+(J$7^2-J$8^2)*MIN(J$12, J$42))/IF($B$4, 25.4^3, 1), 0), 0)</f>
        <v>0</v>
      </c>
      <c r="M181" s="55" t="n">
        <f aca="false">IFERROR(IF(AND($C181&gt;=K$15, $C181&lt;=K$16), IF(K$14&gt;1, N(MOD($C181-K$15, K$14)&lt;1), 1/K$14)*PI()*K$9/4*(K$7^2*MIN(K$10, $D180)+(K$7^2-K$8^2)*MIN(K$12, K$42))/IF($B$4, 25.4^3, 1), 0), 0)</f>
        <v>0</v>
      </c>
    </row>
    <row r="182" customFormat="false" ht="15" hidden="false" customHeight="false" outlineLevel="0" collapsed="false">
      <c r="C182" s="55" t="n">
        <v>140</v>
      </c>
      <c r="D182" s="55" t="n">
        <f aca="false">MAX((D181*($N$10/IF($B$4, 16.387, 1))+E182-SUM(F182:M182))/($N$10/IF($B$4, 16.387, 1)), 0)</f>
        <v>37.5969373311649</v>
      </c>
      <c r="E182" s="55" t="n">
        <f aca="false">IF(D181&lt;$N$15, $D$40*D181^3+$E$40*D181^2+$F$40*D181+$G$40, 0) * 12^3/60*14.7</f>
        <v>222.187285910218</v>
      </c>
      <c r="F182" s="55" t="n">
        <f aca="false">IFERROR(IF(AND($C182&gt;=D$15, $C182&lt;=D$16), IF(D$14&gt;1, N(MOD($C182-D$15, D$14)&lt;1), 1/D$14)*PI()*D$9/4*(D$7^2*MIN(D$10, $D181)+(D$7^2-D$8^2)*MIN(D$12, D$42))/IF($B$4, 25.4^3, 1), 0), 0)</f>
        <v>0</v>
      </c>
      <c r="G182" s="55" t="n">
        <f aca="false">IFERROR(IF(AND($C182&gt;=E$15, $C182&lt;=E$16), IF(E$14&gt;1, N(MOD($C182-E$15, E$14)&lt;1), 1/E$14)*PI()*E$9/4*(E$7^2*MIN(E$10, $D181)+(E$7^2-E$8^2)*MIN(E$12, E$42))/IF($B$4, 25.4^3, 1), 0), 0)</f>
        <v>0</v>
      </c>
      <c r="H182" s="55" t="n">
        <f aca="false">IFERROR(IF(AND($C182&gt;=F$15, $C182&lt;=F$16), IF(F$14&gt;1, N(MOD($C182-F$15, F$14)&lt;1), 1/F$14)*PI()*F$9/4*(F$7^2*MIN(F$10, $D181)+(F$7^2-F$8^2)*MIN(F$12, F$42))/IF($B$4, 25.4^3, 1), 0), 0)</f>
        <v>0</v>
      </c>
      <c r="I182" s="55" t="n">
        <f aca="false">IFERROR(IF(AND($C182&gt;=G$15, $C182&lt;=G$16), IF(G$14&gt;1, N(MOD($C182-G$15, G$14)&lt;1), 1/G$14)*PI()*G$9/4*(G$7^2*MIN(G$10, $D181)+(G$7^2-G$8^2)*MIN(G$12, G$42))/IF($B$4, 25.4^3, 1), 0), 0)</f>
        <v>0</v>
      </c>
      <c r="J182" s="55" t="n">
        <f aca="false">IFERROR(IF(AND($C182&gt;=H$15, $C182&lt;=H$16), IF(H$14&gt;1, N(MOD($C182-H$15, H$14)&lt;1), 1/H$14)*PI()*H$9/4*(H$7^2*MIN(H$10, $D181)+(H$7^2-H$8^2)*MIN(H$12, H$42))/IF($B$4, 25.4^3, 1), 0), 0)</f>
        <v>0</v>
      </c>
      <c r="K182" s="55" t="n">
        <f aca="false">IFERROR(IF(AND($C182&gt;=I$15, $C182&lt;=I$16), IF(I$14&gt;1, N(MOD($C182-I$15, I$14)&lt;1), 1/I$14)*PI()*I$9/4*(I$7^2*MIN(I$10, $D181)+(I$7^2-I$8^2)*MIN(I$12, I$42))/IF($B$4, 25.4^3, 1), 0), 0)</f>
        <v>0</v>
      </c>
      <c r="L182" s="55" t="n">
        <f aca="false">IFERROR(IF(AND($C182&gt;=J$15, $C182&lt;=J$16), IF(J$14&gt;1, N(MOD($C182-J$15, J$14)&lt;1), 1/J$14)*PI()*J$9/4*(J$7^2*MIN(J$10, $D181)+(J$7^2-J$8^2)*MIN(J$12, J$42))/IF($B$4, 25.4^3, 1), 0), 0)</f>
        <v>0</v>
      </c>
      <c r="M182" s="55" t="n">
        <f aca="false">IFERROR(IF(AND($C182&gt;=K$15, $C182&lt;=K$16), IF(K$14&gt;1, N(MOD($C182-K$15, K$14)&lt;1), 1/K$14)*PI()*K$9/4*(K$7^2*MIN(K$10, $D181)+(K$7^2-K$8^2)*MIN(K$12, K$42))/IF($B$4, 25.4^3, 1), 0), 0)</f>
        <v>0</v>
      </c>
    </row>
    <row r="183" customFormat="false" ht="15" hidden="false" customHeight="false" outlineLevel="0" collapsed="false">
      <c r="C183" s="55" t="n">
        <v>141</v>
      </c>
      <c r="D183" s="55" t="n">
        <f aca="false">MAX((D182*($N$10/IF($B$4, 16.387, 1))+E183-SUM(F183:M183))/($N$10/IF($B$4, 16.387, 1)), 0)</f>
        <v>39.6693036772058</v>
      </c>
      <c r="E183" s="55" t="n">
        <f aca="false">IF(D182&lt;$N$15, $D$40*D182^3+$E$40*D182^2+$F$40*D182+$G$40, 0) * 12^3/60*14.7</f>
        <v>217.598466334295</v>
      </c>
      <c r="F183" s="55" t="n">
        <f aca="false">IFERROR(IF(AND($C183&gt;=D$15, $C183&lt;=D$16), IF(D$14&gt;1, N(MOD($C183-D$15, D$14)&lt;1), 1/D$14)*PI()*D$9/4*(D$7^2*MIN(D$10, $D182)+(D$7^2-D$8^2)*MIN(D$12, D$42))/IF($B$4, 25.4^3, 1), 0), 0)</f>
        <v>0</v>
      </c>
      <c r="G183" s="55" t="n">
        <f aca="false">IFERROR(IF(AND($C183&gt;=E$15, $C183&lt;=E$16), IF(E$14&gt;1, N(MOD($C183-E$15, E$14)&lt;1), 1/E$14)*PI()*E$9/4*(E$7^2*MIN(E$10, $D182)+(E$7^2-E$8^2)*MIN(E$12, E$42))/IF($B$4, 25.4^3, 1), 0), 0)</f>
        <v>0</v>
      </c>
      <c r="H183" s="55" t="n">
        <f aca="false">IFERROR(IF(AND($C183&gt;=F$15, $C183&lt;=F$16), IF(F$14&gt;1, N(MOD($C183-F$15, F$14)&lt;1), 1/F$14)*PI()*F$9/4*(F$7^2*MIN(F$10, $D182)+(F$7^2-F$8^2)*MIN(F$12, F$42))/IF($B$4, 25.4^3, 1), 0), 0)</f>
        <v>0</v>
      </c>
      <c r="I183" s="55" t="n">
        <f aca="false">IFERROR(IF(AND($C183&gt;=G$15, $C183&lt;=G$16), IF(G$14&gt;1, N(MOD($C183-G$15, G$14)&lt;1), 1/G$14)*PI()*G$9/4*(G$7^2*MIN(G$10, $D182)+(G$7^2-G$8^2)*MIN(G$12, G$42))/IF($B$4, 25.4^3, 1), 0), 0)</f>
        <v>0</v>
      </c>
      <c r="J183" s="55" t="n">
        <f aca="false">IFERROR(IF(AND($C183&gt;=H$15, $C183&lt;=H$16), IF(H$14&gt;1, N(MOD($C183-H$15, H$14)&lt;1), 1/H$14)*PI()*H$9/4*(H$7^2*MIN(H$10, $D182)+(H$7^2-H$8^2)*MIN(H$12, H$42))/IF($B$4, 25.4^3, 1), 0), 0)</f>
        <v>0</v>
      </c>
      <c r="K183" s="55" t="n">
        <f aca="false">IFERROR(IF(AND($C183&gt;=I$15, $C183&lt;=I$16), IF(I$14&gt;1, N(MOD($C183-I$15, I$14)&lt;1), 1/I$14)*PI()*I$9/4*(I$7^2*MIN(I$10, $D182)+(I$7^2-I$8^2)*MIN(I$12, I$42))/IF($B$4, 25.4^3, 1), 0), 0)</f>
        <v>0</v>
      </c>
      <c r="L183" s="55" t="n">
        <f aca="false">IFERROR(IF(AND($C183&gt;=J$15, $C183&lt;=J$16), IF(J$14&gt;1, N(MOD($C183-J$15, J$14)&lt;1), 1/J$14)*PI()*J$9/4*(J$7^2*MIN(J$10, $D182)+(J$7^2-J$8^2)*MIN(J$12, J$42))/IF($B$4, 25.4^3, 1), 0), 0)</f>
        <v>0</v>
      </c>
      <c r="M183" s="55" t="n">
        <f aca="false">IFERROR(IF(AND($C183&gt;=K$15, $C183&lt;=K$16), IF(K$14&gt;1, N(MOD($C183-K$15, K$14)&lt;1), 1/K$14)*PI()*K$9/4*(K$7^2*MIN(K$10, $D182)+(K$7^2-K$8^2)*MIN(K$12, K$42))/IF($B$4, 25.4^3, 1), 0), 0)</f>
        <v>0</v>
      </c>
    </row>
    <row r="184" customFormat="false" ht="15" hidden="false" customHeight="false" outlineLevel="0" collapsed="false">
      <c r="C184" s="55" t="n">
        <v>142</v>
      </c>
      <c r="D184" s="55" t="n">
        <f aca="false">MAX((D183*($N$10/IF($B$4, 16.387, 1))+E184-SUM(F184:M184))/($N$10/IF($B$4, 16.387, 1)), 0)</f>
        <v>41.6990241519319</v>
      </c>
      <c r="E184" s="55" t="n">
        <f aca="false">IF(D183&lt;$N$15, $D$40*D183^3+$E$40*D183^2+$F$40*D183+$G$40, 0) * 12^3/60*14.7</f>
        <v>213.120649846239</v>
      </c>
      <c r="F184" s="55" t="n">
        <f aca="false">IFERROR(IF(AND($C184&gt;=D$15, $C184&lt;=D$16), IF(D$14&gt;1, N(MOD($C184-D$15, D$14)&lt;1), 1/D$14)*PI()*D$9/4*(D$7^2*MIN(D$10, $D183)+(D$7^2-D$8^2)*MIN(D$12, D$42))/IF($B$4, 25.4^3, 1), 0), 0)</f>
        <v>0</v>
      </c>
      <c r="G184" s="55" t="n">
        <f aca="false">IFERROR(IF(AND($C184&gt;=E$15, $C184&lt;=E$16), IF(E$14&gt;1, N(MOD($C184-E$15, E$14)&lt;1), 1/E$14)*PI()*E$9/4*(E$7^2*MIN(E$10, $D183)+(E$7^2-E$8^2)*MIN(E$12, E$42))/IF($B$4, 25.4^3, 1), 0), 0)</f>
        <v>0</v>
      </c>
      <c r="H184" s="55" t="n">
        <f aca="false">IFERROR(IF(AND($C184&gt;=F$15, $C184&lt;=F$16), IF(F$14&gt;1, N(MOD($C184-F$15, F$14)&lt;1), 1/F$14)*PI()*F$9/4*(F$7^2*MIN(F$10, $D183)+(F$7^2-F$8^2)*MIN(F$12, F$42))/IF($B$4, 25.4^3, 1), 0), 0)</f>
        <v>0</v>
      </c>
      <c r="I184" s="55" t="n">
        <f aca="false">IFERROR(IF(AND($C184&gt;=G$15, $C184&lt;=G$16), IF(G$14&gt;1, N(MOD($C184-G$15, G$14)&lt;1), 1/G$14)*PI()*G$9/4*(G$7^2*MIN(G$10, $D183)+(G$7^2-G$8^2)*MIN(G$12, G$42))/IF($B$4, 25.4^3, 1), 0), 0)</f>
        <v>0</v>
      </c>
      <c r="J184" s="55" t="n">
        <f aca="false">IFERROR(IF(AND($C184&gt;=H$15, $C184&lt;=H$16), IF(H$14&gt;1, N(MOD($C184-H$15, H$14)&lt;1), 1/H$14)*PI()*H$9/4*(H$7^2*MIN(H$10, $D183)+(H$7^2-H$8^2)*MIN(H$12, H$42))/IF($B$4, 25.4^3, 1), 0), 0)</f>
        <v>0</v>
      </c>
      <c r="K184" s="55" t="n">
        <f aca="false">IFERROR(IF(AND($C184&gt;=I$15, $C184&lt;=I$16), IF(I$14&gt;1, N(MOD($C184-I$15, I$14)&lt;1), 1/I$14)*PI()*I$9/4*(I$7^2*MIN(I$10, $D183)+(I$7^2-I$8^2)*MIN(I$12, I$42))/IF($B$4, 25.4^3, 1), 0), 0)</f>
        <v>0</v>
      </c>
      <c r="L184" s="55" t="n">
        <f aca="false">IFERROR(IF(AND($C184&gt;=J$15, $C184&lt;=J$16), IF(J$14&gt;1, N(MOD($C184-J$15, J$14)&lt;1), 1/J$14)*PI()*J$9/4*(J$7^2*MIN(J$10, $D183)+(J$7^2-J$8^2)*MIN(J$12, J$42))/IF($B$4, 25.4^3, 1), 0), 0)</f>
        <v>0</v>
      </c>
      <c r="M184" s="55" t="n">
        <f aca="false">IFERROR(IF(AND($C184&gt;=K$15, $C184&lt;=K$16), IF(K$14&gt;1, N(MOD($C184-K$15, K$14)&lt;1), 1/K$14)*PI()*K$9/4*(K$7^2*MIN(K$10, $D183)+(K$7^2-K$8^2)*MIN(K$12, K$42))/IF($B$4, 25.4^3, 1), 0), 0)</f>
        <v>0</v>
      </c>
    </row>
    <row r="185" customFormat="false" ht="15" hidden="false" customHeight="false" outlineLevel="0" collapsed="false">
      <c r="C185" s="55" t="n">
        <v>143</v>
      </c>
      <c r="D185" s="55" t="n">
        <f aca="false">MAX((D184*($N$10/IF($B$4, 16.387, 1))+E185-SUM(F185:M185))/($N$10/IF($B$4, 16.387, 1)), 0)</f>
        <v>43.6872052921581</v>
      </c>
      <c r="E185" s="55" t="n">
        <f aca="false">IF(D184&lt;$N$15, $D$40*D184^3+$E$40*D184^2+$F$40*D184+$G$40, 0) * 12^3/60*14.7</f>
        <v>208.759019723751</v>
      </c>
      <c r="F185" s="55" t="n">
        <f aca="false">IFERROR(IF(AND($C185&gt;=D$15, $C185&lt;=D$16), IF(D$14&gt;1, N(MOD($C185-D$15, D$14)&lt;1), 1/D$14)*PI()*D$9/4*(D$7^2*MIN(D$10, $D184)+(D$7^2-D$8^2)*MIN(D$12, D$42))/IF($B$4, 25.4^3, 1), 0), 0)</f>
        <v>0</v>
      </c>
      <c r="G185" s="55" t="n">
        <f aca="false">IFERROR(IF(AND($C185&gt;=E$15, $C185&lt;=E$16), IF(E$14&gt;1, N(MOD($C185-E$15, E$14)&lt;1), 1/E$14)*PI()*E$9/4*(E$7^2*MIN(E$10, $D184)+(E$7^2-E$8^2)*MIN(E$12, E$42))/IF($B$4, 25.4^3, 1), 0), 0)</f>
        <v>0</v>
      </c>
      <c r="H185" s="55" t="n">
        <f aca="false">IFERROR(IF(AND($C185&gt;=F$15, $C185&lt;=F$16), IF(F$14&gt;1, N(MOD($C185-F$15, F$14)&lt;1), 1/F$14)*PI()*F$9/4*(F$7^2*MIN(F$10, $D184)+(F$7^2-F$8^2)*MIN(F$12, F$42))/IF($B$4, 25.4^3, 1), 0), 0)</f>
        <v>0</v>
      </c>
      <c r="I185" s="55" t="n">
        <f aca="false">IFERROR(IF(AND($C185&gt;=G$15, $C185&lt;=G$16), IF(G$14&gt;1, N(MOD($C185-G$15, G$14)&lt;1), 1/G$14)*PI()*G$9/4*(G$7^2*MIN(G$10, $D184)+(G$7^2-G$8^2)*MIN(G$12, G$42))/IF($B$4, 25.4^3, 1), 0), 0)</f>
        <v>0</v>
      </c>
      <c r="J185" s="55" t="n">
        <f aca="false">IFERROR(IF(AND($C185&gt;=H$15, $C185&lt;=H$16), IF(H$14&gt;1, N(MOD($C185-H$15, H$14)&lt;1), 1/H$14)*PI()*H$9/4*(H$7^2*MIN(H$10, $D184)+(H$7^2-H$8^2)*MIN(H$12, H$42))/IF($B$4, 25.4^3, 1), 0), 0)</f>
        <v>0</v>
      </c>
      <c r="K185" s="55" t="n">
        <f aca="false">IFERROR(IF(AND($C185&gt;=I$15, $C185&lt;=I$16), IF(I$14&gt;1, N(MOD($C185-I$15, I$14)&lt;1), 1/I$14)*PI()*I$9/4*(I$7^2*MIN(I$10, $D184)+(I$7^2-I$8^2)*MIN(I$12, I$42))/IF($B$4, 25.4^3, 1), 0), 0)</f>
        <v>0</v>
      </c>
      <c r="L185" s="55" t="n">
        <f aca="false">IFERROR(IF(AND($C185&gt;=J$15, $C185&lt;=J$16), IF(J$14&gt;1, N(MOD($C185-J$15, J$14)&lt;1), 1/J$14)*PI()*J$9/4*(J$7^2*MIN(J$10, $D184)+(J$7^2-J$8^2)*MIN(J$12, J$42))/IF($B$4, 25.4^3, 1), 0), 0)</f>
        <v>0</v>
      </c>
      <c r="M185" s="55" t="n">
        <f aca="false">IFERROR(IF(AND($C185&gt;=K$15, $C185&lt;=K$16), IF(K$14&gt;1, N(MOD($C185-K$15, K$14)&lt;1), 1/K$14)*PI()*K$9/4*(K$7^2*MIN(K$10, $D184)+(K$7^2-K$8^2)*MIN(K$12, K$42))/IF($B$4, 25.4^3, 1), 0), 0)</f>
        <v>0</v>
      </c>
    </row>
    <row r="186" customFormat="false" ht="15" hidden="false" customHeight="false" outlineLevel="0" collapsed="false">
      <c r="C186" s="55" t="n">
        <v>144</v>
      </c>
      <c r="D186" s="55" t="n">
        <f aca="false">MAX((D185*($N$10/IF($B$4, 16.387, 1))+E186-SUM(F186:M186))/($N$10/IF($B$4, 16.387, 1)), 0)</f>
        <v>45.6349927061708</v>
      </c>
      <c r="E186" s="55" t="n">
        <f aca="false">IF(D185&lt;$N$15, $D$40*D185^3+$E$40*D185^2+$F$40*D185+$G$40, 0) * 12^3/60*14.7</f>
        <v>204.517678471344</v>
      </c>
      <c r="F186" s="55" t="n">
        <f aca="false">IFERROR(IF(AND($C186&gt;=D$15, $C186&lt;=D$16), IF(D$14&gt;1, N(MOD($C186-D$15, D$14)&lt;1), 1/D$14)*PI()*D$9/4*(D$7^2*MIN(D$10, $D185)+(D$7^2-D$8^2)*MIN(D$12, D$42))/IF($B$4, 25.4^3, 1), 0), 0)</f>
        <v>0</v>
      </c>
      <c r="G186" s="55" t="n">
        <f aca="false">IFERROR(IF(AND($C186&gt;=E$15, $C186&lt;=E$16), IF(E$14&gt;1, N(MOD($C186-E$15, E$14)&lt;1), 1/E$14)*PI()*E$9/4*(E$7^2*MIN(E$10, $D185)+(E$7^2-E$8^2)*MIN(E$12, E$42))/IF($B$4, 25.4^3, 1), 0), 0)</f>
        <v>0</v>
      </c>
      <c r="H186" s="55" t="n">
        <f aca="false">IFERROR(IF(AND($C186&gt;=F$15, $C186&lt;=F$16), IF(F$14&gt;1, N(MOD($C186-F$15, F$14)&lt;1), 1/F$14)*PI()*F$9/4*(F$7^2*MIN(F$10, $D185)+(F$7^2-F$8^2)*MIN(F$12, F$42))/IF($B$4, 25.4^3, 1), 0), 0)</f>
        <v>0</v>
      </c>
      <c r="I186" s="55" t="n">
        <f aca="false">IFERROR(IF(AND($C186&gt;=G$15, $C186&lt;=G$16), IF(G$14&gt;1, N(MOD($C186-G$15, G$14)&lt;1), 1/G$14)*PI()*G$9/4*(G$7^2*MIN(G$10, $D185)+(G$7^2-G$8^2)*MIN(G$12, G$42))/IF($B$4, 25.4^3, 1), 0), 0)</f>
        <v>0</v>
      </c>
      <c r="J186" s="55" t="n">
        <f aca="false">IFERROR(IF(AND($C186&gt;=H$15, $C186&lt;=H$16), IF(H$14&gt;1, N(MOD($C186-H$15, H$14)&lt;1), 1/H$14)*PI()*H$9/4*(H$7^2*MIN(H$10, $D185)+(H$7^2-H$8^2)*MIN(H$12, H$42))/IF($B$4, 25.4^3, 1), 0), 0)</f>
        <v>0</v>
      </c>
      <c r="K186" s="55" t="n">
        <f aca="false">IFERROR(IF(AND($C186&gt;=I$15, $C186&lt;=I$16), IF(I$14&gt;1, N(MOD($C186-I$15, I$14)&lt;1), 1/I$14)*PI()*I$9/4*(I$7^2*MIN(I$10, $D185)+(I$7^2-I$8^2)*MIN(I$12, I$42))/IF($B$4, 25.4^3, 1), 0), 0)</f>
        <v>0</v>
      </c>
      <c r="L186" s="55" t="n">
        <f aca="false">IFERROR(IF(AND($C186&gt;=J$15, $C186&lt;=J$16), IF(J$14&gt;1, N(MOD($C186-J$15, J$14)&lt;1), 1/J$14)*PI()*J$9/4*(J$7^2*MIN(J$10, $D185)+(J$7^2-J$8^2)*MIN(J$12, J$42))/IF($B$4, 25.4^3, 1), 0), 0)</f>
        <v>0</v>
      </c>
      <c r="M186" s="55" t="n">
        <f aca="false">IFERROR(IF(AND($C186&gt;=K$15, $C186&lt;=K$16), IF(K$14&gt;1, N(MOD($C186-K$15, K$14)&lt;1), 1/K$14)*PI()*K$9/4*(K$7^2*MIN(K$10, $D185)+(K$7^2-K$8^2)*MIN(K$12, K$42))/IF($B$4, 25.4^3, 1), 0), 0)</f>
        <v>0</v>
      </c>
    </row>
    <row r="187" customFormat="false" ht="15" hidden="false" customHeight="false" outlineLevel="0" collapsed="false">
      <c r="C187" s="55" t="n">
        <v>145</v>
      </c>
      <c r="D187" s="55" t="n">
        <f aca="false">MAX((D186*($N$10/IF($B$4, 16.387, 1))+E187-SUM(F187:M187))/($N$10/IF($B$4, 16.387, 1)), 0)</f>
        <v>47.5435619198635</v>
      </c>
      <c r="E187" s="55" t="n">
        <f aca="false">IF(D186&lt;$N$15, $D$40*D186^3+$E$40*D186^2+$F$40*D186+$G$40, 0) * 12^3/60*14.7</f>
        <v>200.399767437726</v>
      </c>
      <c r="F187" s="55" t="n">
        <f aca="false">IFERROR(IF(AND($C187&gt;=D$15, $C187&lt;=D$16), IF(D$14&gt;1, N(MOD($C187-D$15, D$14)&lt;1), 1/D$14)*PI()*D$9/4*(D$7^2*MIN(D$10, $D186)+(D$7^2-D$8^2)*MIN(D$12, D$42))/IF($B$4, 25.4^3, 1), 0), 0)</f>
        <v>0</v>
      </c>
      <c r="G187" s="55" t="n">
        <f aca="false">IFERROR(IF(AND($C187&gt;=E$15, $C187&lt;=E$16), IF(E$14&gt;1, N(MOD($C187-E$15, E$14)&lt;1), 1/E$14)*PI()*E$9/4*(E$7^2*MIN(E$10, $D186)+(E$7^2-E$8^2)*MIN(E$12, E$42))/IF($B$4, 25.4^3, 1), 0), 0)</f>
        <v>0</v>
      </c>
      <c r="H187" s="55" t="n">
        <f aca="false">IFERROR(IF(AND($C187&gt;=F$15, $C187&lt;=F$16), IF(F$14&gt;1, N(MOD($C187-F$15, F$14)&lt;1), 1/F$14)*PI()*F$9/4*(F$7^2*MIN(F$10, $D186)+(F$7^2-F$8^2)*MIN(F$12, F$42))/IF($B$4, 25.4^3, 1), 0), 0)</f>
        <v>0</v>
      </c>
      <c r="I187" s="55" t="n">
        <f aca="false">IFERROR(IF(AND($C187&gt;=G$15, $C187&lt;=G$16), IF(G$14&gt;1, N(MOD($C187-G$15, G$14)&lt;1), 1/G$14)*PI()*G$9/4*(G$7^2*MIN(G$10, $D186)+(G$7^2-G$8^2)*MIN(G$12, G$42))/IF($B$4, 25.4^3, 1), 0), 0)</f>
        <v>0</v>
      </c>
      <c r="J187" s="55" t="n">
        <f aca="false">IFERROR(IF(AND($C187&gt;=H$15, $C187&lt;=H$16), IF(H$14&gt;1, N(MOD($C187-H$15, H$14)&lt;1), 1/H$14)*PI()*H$9/4*(H$7^2*MIN(H$10, $D186)+(H$7^2-H$8^2)*MIN(H$12, H$42))/IF($B$4, 25.4^3, 1), 0), 0)</f>
        <v>0</v>
      </c>
      <c r="K187" s="55" t="n">
        <f aca="false">IFERROR(IF(AND($C187&gt;=I$15, $C187&lt;=I$16), IF(I$14&gt;1, N(MOD($C187-I$15, I$14)&lt;1), 1/I$14)*PI()*I$9/4*(I$7^2*MIN(I$10, $D186)+(I$7^2-I$8^2)*MIN(I$12, I$42))/IF($B$4, 25.4^3, 1), 0), 0)</f>
        <v>0</v>
      </c>
      <c r="L187" s="55" t="n">
        <f aca="false">IFERROR(IF(AND($C187&gt;=J$15, $C187&lt;=J$16), IF(J$14&gt;1, N(MOD($C187-J$15, J$14)&lt;1), 1/J$14)*PI()*J$9/4*(J$7^2*MIN(J$10, $D186)+(J$7^2-J$8^2)*MIN(J$12, J$42))/IF($B$4, 25.4^3, 1), 0), 0)</f>
        <v>0</v>
      </c>
      <c r="M187" s="55" t="n">
        <f aca="false">IFERROR(IF(AND($C187&gt;=K$15, $C187&lt;=K$16), IF(K$14&gt;1, N(MOD($C187-K$15, K$14)&lt;1), 1/K$14)*PI()*K$9/4*(K$7^2*MIN(K$10, $D186)+(K$7^2-K$8^2)*MIN(K$12, K$42))/IF($B$4, 25.4^3, 1), 0), 0)</f>
        <v>0</v>
      </c>
    </row>
    <row r="188" customFormat="false" ht="15" hidden="false" customHeight="false" outlineLevel="0" collapsed="false">
      <c r="C188" s="55" t="n">
        <v>146</v>
      </c>
      <c r="D188" s="55" t="n">
        <f aca="false">MAX((D187*($N$10/IF($B$4, 16.387, 1))+E188-SUM(F188:M188))/($N$10/IF($B$4, 16.387, 1)), 0)</f>
        <v>49.4141102890702</v>
      </c>
      <c r="E188" s="55" t="n">
        <f aca="false">IF(D187&lt;$N$15, $D$40*D187^3+$E$40*D187^2+$F$40*D187+$G$40, 0) * 12^3/60*14.7</f>
        <v>196.407578766701</v>
      </c>
      <c r="F188" s="55" t="n">
        <f aca="false">IFERROR(IF(AND($C188&gt;=D$15, $C188&lt;=D$16), IF(D$14&gt;1, N(MOD($C188-D$15, D$14)&lt;1), 1/D$14)*PI()*D$9/4*(D$7^2*MIN(D$10, $D187)+(D$7^2-D$8^2)*MIN(D$12, D$42))/IF($B$4, 25.4^3, 1), 0), 0)</f>
        <v>0</v>
      </c>
      <c r="G188" s="55" t="n">
        <f aca="false">IFERROR(IF(AND($C188&gt;=E$15, $C188&lt;=E$16), IF(E$14&gt;1, N(MOD($C188-E$15, E$14)&lt;1), 1/E$14)*PI()*E$9/4*(E$7^2*MIN(E$10, $D187)+(E$7^2-E$8^2)*MIN(E$12, E$42))/IF($B$4, 25.4^3, 1), 0), 0)</f>
        <v>0</v>
      </c>
      <c r="H188" s="55" t="n">
        <f aca="false">IFERROR(IF(AND($C188&gt;=F$15, $C188&lt;=F$16), IF(F$14&gt;1, N(MOD($C188-F$15, F$14)&lt;1), 1/F$14)*PI()*F$9/4*(F$7^2*MIN(F$10, $D187)+(F$7^2-F$8^2)*MIN(F$12, F$42))/IF($B$4, 25.4^3, 1), 0), 0)</f>
        <v>0</v>
      </c>
      <c r="I188" s="55" t="n">
        <f aca="false">IFERROR(IF(AND($C188&gt;=G$15, $C188&lt;=G$16), IF(G$14&gt;1, N(MOD($C188-G$15, G$14)&lt;1), 1/G$14)*PI()*G$9/4*(G$7^2*MIN(G$10, $D187)+(G$7^2-G$8^2)*MIN(G$12, G$42))/IF($B$4, 25.4^3, 1), 0), 0)</f>
        <v>0</v>
      </c>
      <c r="J188" s="55" t="n">
        <f aca="false">IFERROR(IF(AND($C188&gt;=H$15, $C188&lt;=H$16), IF(H$14&gt;1, N(MOD($C188-H$15, H$14)&lt;1), 1/H$14)*PI()*H$9/4*(H$7^2*MIN(H$10, $D187)+(H$7^2-H$8^2)*MIN(H$12, H$42))/IF($B$4, 25.4^3, 1), 0), 0)</f>
        <v>0</v>
      </c>
      <c r="K188" s="55" t="n">
        <f aca="false">IFERROR(IF(AND($C188&gt;=I$15, $C188&lt;=I$16), IF(I$14&gt;1, N(MOD($C188-I$15, I$14)&lt;1), 1/I$14)*PI()*I$9/4*(I$7^2*MIN(I$10, $D187)+(I$7^2-I$8^2)*MIN(I$12, I$42))/IF($B$4, 25.4^3, 1), 0), 0)</f>
        <v>0</v>
      </c>
      <c r="L188" s="55" t="n">
        <f aca="false">IFERROR(IF(AND($C188&gt;=J$15, $C188&lt;=J$16), IF(J$14&gt;1, N(MOD($C188-J$15, J$14)&lt;1), 1/J$14)*PI()*J$9/4*(J$7^2*MIN(J$10, $D187)+(J$7^2-J$8^2)*MIN(J$12, J$42))/IF($B$4, 25.4^3, 1), 0), 0)</f>
        <v>0</v>
      </c>
      <c r="M188" s="55" t="n">
        <f aca="false">IFERROR(IF(AND($C188&gt;=K$15, $C188&lt;=K$16), IF(K$14&gt;1, N(MOD($C188-K$15, K$14)&lt;1), 1/K$14)*PI()*K$9/4*(K$7^2*MIN(K$10, $D187)+(K$7^2-K$8^2)*MIN(K$12, K$42))/IF($B$4, 25.4^3, 1), 0), 0)</f>
        <v>0</v>
      </c>
    </row>
    <row r="189" customFormat="false" ht="15" hidden="false" customHeight="false" outlineLevel="0" collapsed="false">
      <c r="C189" s="55" t="n">
        <v>147</v>
      </c>
      <c r="D189" s="55" t="n">
        <f aca="false">MAX((D188*($N$10/IF($B$4, 16.387, 1))+E189-SUM(F189:M189))/($N$10/IF($B$4, 16.387, 1)), 0)</f>
        <v>51.2478499022631</v>
      </c>
      <c r="E189" s="55" t="n">
        <f aca="false">IF(D188&lt;$N$15, $D$40*D188^3+$E$40*D188^2+$F$40*D188+$G$40, 0) * 12^3/60*14.7</f>
        <v>192.542659385255</v>
      </c>
      <c r="F189" s="55" t="n">
        <f aca="false">IFERROR(IF(AND($C189&gt;=D$15, $C189&lt;=D$16), IF(D$14&gt;1, N(MOD($C189-D$15, D$14)&lt;1), 1/D$14)*PI()*D$9/4*(D$7^2*MIN(D$10, $D188)+(D$7^2-D$8^2)*MIN(D$12, D$42))/IF($B$4, 25.4^3, 1), 0), 0)</f>
        <v>0</v>
      </c>
      <c r="G189" s="55" t="n">
        <f aca="false">IFERROR(IF(AND($C189&gt;=E$15, $C189&lt;=E$16), IF(E$14&gt;1, N(MOD($C189-E$15, E$14)&lt;1), 1/E$14)*PI()*E$9/4*(E$7^2*MIN(E$10, $D188)+(E$7^2-E$8^2)*MIN(E$12, E$42))/IF($B$4, 25.4^3, 1), 0), 0)</f>
        <v>0</v>
      </c>
      <c r="H189" s="55" t="n">
        <f aca="false">IFERROR(IF(AND($C189&gt;=F$15, $C189&lt;=F$16), IF(F$14&gt;1, N(MOD($C189-F$15, F$14)&lt;1), 1/F$14)*PI()*F$9/4*(F$7^2*MIN(F$10, $D188)+(F$7^2-F$8^2)*MIN(F$12, F$42))/IF($B$4, 25.4^3, 1), 0), 0)</f>
        <v>0</v>
      </c>
      <c r="I189" s="55" t="n">
        <f aca="false">IFERROR(IF(AND($C189&gt;=G$15, $C189&lt;=G$16), IF(G$14&gt;1, N(MOD($C189-G$15, G$14)&lt;1), 1/G$14)*PI()*G$9/4*(G$7^2*MIN(G$10, $D188)+(G$7^2-G$8^2)*MIN(G$12, G$42))/IF($B$4, 25.4^3, 1), 0), 0)</f>
        <v>0</v>
      </c>
      <c r="J189" s="55" t="n">
        <f aca="false">IFERROR(IF(AND($C189&gt;=H$15, $C189&lt;=H$16), IF(H$14&gt;1, N(MOD($C189-H$15, H$14)&lt;1), 1/H$14)*PI()*H$9/4*(H$7^2*MIN(H$10, $D188)+(H$7^2-H$8^2)*MIN(H$12, H$42))/IF($B$4, 25.4^3, 1), 0), 0)</f>
        <v>0</v>
      </c>
      <c r="K189" s="55" t="n">
        <f aca="false">IFERROR(IF(AND($C189&gt;=I$15, $C189&lt;=I$16), IF(I$14&gt;1, N(MOD($C189-I$15, I$14)&lt;1), 1/I$14)*PI()*I$9/4*(I$7^2*MIN(I$10, $D188)+(I$7^2-I$8^2)*MIN(I$12, I$42))/IF($B$4, 25.4^3, 1), 0), 0)</f>
        <v>0</v>
      </c>
      <c r="L189" s="55" t="n">
        <f aca="false">IFERROR(IF(AND($C189&gt;=J$15, $C189&lt;=J$16), IF(J$14&gt;1, N(MOD($C189-J$15, J$14)&lt;1), 1/J$14)*PI()*J$9/4*(J$7^2*MIN(J$10, $D188)+(J$7^2-J$8^2)*MIN(J$12, J$42))/IF($B$4, 25.4^3, 1), 0), 0)</f>
        <v>0</v>
      </c>
      <c r="M189" s="55" t="n">
        <f aca="false">IFERROR(IF(AND($C189&gt;=K$15, $C189&lt;=K$16), IF(K$14&gt;1, N(MOD($C189-K$15, K$14)&lt;1), 1/K$14)*PI()*K$9/4*(K$7^2*MIN(K$10, $D188)+(K$7^2-K$8^2)*MIN(K$12, K$42))/IF($B$4, 25.4^3, 1), 0), 0)</f>
        <v>0</v>
      </c>
    </row>
    <row r="190" customFormat="false" ht="15" hidden="false" customHeight="false" outlineLevel="0" collapsed="false">
      <c r="C190" s="55" t="n">
        <v>148</v>
      </c>
      <c r="D190" s="55" t="n">
        <f aca="false">MAX((D189*($N$10/IF($B$4, 16.387, 1))+E190-SUM(F190:M190))/($N$10/IF($B$4, 16.387, 1)), 0)</f>
        <v>53.0460013970428</v>
      </c>
      <c r="E190" s="55" t="n">
        <f aca="false">IF(D189&lt;$N$15, $D$40*D189^3+$E$40*D189^2+$F$40*D189+$G$40, 0) * 12^3/60*14.7</f>
        <v>188.805906951874</v>
      </c>
      <c r="F190" s="55" t="n">
        <f aca="false">IFERROR(IF(AND($C190&gt;=D$15, $C190&lt;=D$16), IF(D$14&gt;1, N(MOD($C190-D$15, D$14)&lt;1), 1/D$14)*PI()*D$9/4*(D$7^2*MIN(D$10, $D189)+(D$7^2-D$8^2)*MIN(D$12, D$42))/IF($B$4, 25.4^3, 1), 0), 0)</f>
        <v>0</v>
      </c>
      <c r="G190" s="55" t="n">
        <f aca="false">IFERROR(IF(AND($C190&gt;=E$15, $C190&lt;=E$16), IF(E$14&gt;1, N(MOD($C190-E$15, E$14)&lt;1), 1/E$14)*PI()*E$9/4*(E$7^2*MIN(E$10, $D189)+(E$7^2-E$8^2)*MIN(E$12, E$42))/IF($B$4, 25.4^3, 1), 0), 0)</f>
        <v>0</v>
      </c>
      <c r="H190" s="55" t="n">
        <f aca="false">IFERROR(IF(AND($C190&gt;=F$15, $C190&lt;=F$16), IF(F$14&gt;1, N(MOD($C190-F$15, F$14)&lt;1), 1/F$14)*PI()*F$9/4*(F$7^2*MIN(F$10, $D189)+(F$7^2-F$8^2)*MIN(F$12, F$42))/IF($B$4, 25.4^3, 1), 0), 0)</f>
        <v>0</v>
      </c>
      <c r="I190" s="55" t="n">
        <f aca="false">IFERROR(IF(AND($C190&gt;=G$15, $C190&lt;=G$16), IF(G$14&gt;1, N(MOD($C190-G$15, G$14)&lt;1), 1/G$14)*PI()*G$9/4*(G$7^2*MIN(G$10, $D189)+(G$7^2-G$8^2)*MIN(G$12, G$42))/IF($B$4, 25.4^3, 1), 0), 0)</f>
        <v>0</v>
      </c>
      <c r="J190" s="55" t="n">
        <f aca="false">IFERROR(IF(AND($C190&gt;=H$15, $C190&lt;=H$16), IF(H$14&gt;1, N(MOD($C190-H$15, H$14)&lt;1), 1/H$14)*PI()*H$9/4*(H$7^2*MIN(H$10, $D189)+(H$7^2-H$8^2)*MIN(H$12, H$42))/IF($B$4, 25.4^3, 1), 0), 0)</f>
        <v>0</v>
      </c>
      <c r="K190" s="55" t="n">
        <f aca="false">IFERROR(IF(AND($C190&gt;=I$15, $C190&lt;=I$16), IF(I$14&gt;1, N(MOD($C190-I$15, I$14)&lt;1), 1/I$14)*PI()*I$9/4*(I$7^2*MIN(I$10, $D189)+(I$7^2-I$8^2)*MIN(I$12, I$42))/IF($B$4, 25.4^3, 1), 0), 0)</f>
        <v>0</v>
      </c>
      <c r="L190" s="55" t="n">
        <f aca="false">IFERROR(IF(AND($C190&gt;=J$15, $C190&lt;=J$16), IF(J$14&gt;1, N(MOD($C190-J$15, J$14)&lt;1), 1/J$14)*PI()*J$9/4*(J$7^2*MIN(J$10, $D189)+(J$7^2-J$8^2)*MIN(J$12, J$42))/IF($B$4, 25.4^3, 1), 0), 0)</f>
        <v>0</v>
      </c>
      <c r="M190" s="55" t="n">
        <f aca="false">IFERROR(IF(AND($C190&gt;=K$15, $C190&lt;=K$16), IF(K$14&gt;1, N(MOD($C190-K$15, K$14)&lt;1), 1/K$14)*PI()*K$9/4*(K$7^2*MIN(K$10, $D189)+(K$7^2-K$8^2)*MIN(K$12, K$42))/IF($B$4, 25.4^3, 1), 0), 0)</f>
        <v>0</v>
      </c>
    </row>
    <row r="191" customFormat="false" ht="15" hidden="false" customHeight="false" outlineLevel="0" collapsed="false">
      <c r="C191" s="55" t="n">
        <v>149</v>
      </c>
      <c r="D191" s="55" t="n">
        <f aca="false">MAX((D190*($N$10/IF($B$4, 16.387, 1))+E191-SUM(F191:M191))/($N$10/IF($B$4, 16.387, 1)), 0)</f>
        <v>54.8097886147599</v>
      </c>
      <c r="E191" s="55" t="n">
        <f aca="false">IF(D190&lt;$N$15, $D$40*D190^3+$E$40*D190^2+$F$40*D190+$G$40, 0) * 12^3/60*14.7</f>
        <v>185.197657860297</v>
      </c>
      <c r="F191" s="55" t="n">
        <f aca="false">IFERROR(IF(AND($C191&gt;=D$15, $C191&lt;=D$16), IF(D$14&gt;1, N(MOD($C191-D$15, D$14)&lt;1), 1/D$14)*PI()*D$9/4*(D$7^2*MIN(D$10, $D190)+(D$7^2-D$8^2)*MIN(D$12, D$42))/IF($B$4, 25.4^3, 1), 0), 0)</f>
        <v>0</v>
      </c>
      <c r="G191" s="55" t="n">
        <f aca="false">IFERROR(IF(AND($C191&gt;=E$15, $C191&lt;=E$16), IF(E$14&gt;1, N(MOD($C191-E$15, E$14)&lt;1), 1/E$14)*PI()*E$9/4*(E$7^2*MIN(E$10, $D190)+(E$7^2-E$8^2)*MIN(E$12, E$42))/IF($B$4, 25.4^3, 1), 0), 0)</f>
        <v>0</v>
      </c>
      <c r="H191" s="55" t="n">
        <f aca="false">IFERROR(IF(AND($C191&gt;=F$15, $C191&lt;=F$16), IF(F$14&gt;1, N(MOD($C191-F$15, F$14)&lt;1), 1/F$14)*PI()*F$9/4*(F$7^2*MIN(F$10, $D190)+(F$7^2-F$8^2)*MIN(F$12, F$42))/IF($B$4, 25.4^3, 1), 0), 0)</f>
        <v>0</v>
      </c>
      <c r="I191" s="55" t="n">
        <f aca="false">IFERROR(IF(AND($C191&gt;=G$15, $C191&lt;=G$16), IF(G$14&gt;1, N(MOD($C191-G$15, G$14)&lt;1), 1/G$14)*PI()*G$9/4*(G$7^2*MIN(G$10, $D190)+(G$7^2-G$8^2)*MIN(G$12, G$42))/IF($B$4, 25.4^3, 1), 0), 0)</f>
        <v>0</v>
      </c>
      <c r="J191" s="55" t="n">
        <f aca="false">IFERROR(IF(AND($C191&gt;=H$15, $C191&lt;=H$16), IF(H$14&gt;1, N(MOD($C191-H$15, H$14)&lt;1), 1/H$14)*PI()*H$9/4*(H$7^2*MIN(H$10, $D190)+(H$7^2-H$8^2)*MIN(H$12, H$42))/IF($B$4, 25.4^3, 1), 0), 0)</f>
        <v>0</v>
      </c>
      <c r="K191" s="55" t="n">
        <f aca="false">IFERROR(IF(AND($C191&gt;=I$15, $C191&lt;=I$16), IF(I$14&gt;1, N(MOD($C191-I$15, I$14)&lt;1), 1/I$14)*PI()*I$9/4*(I$7^2*MIN(I$10, $D190)+(I$7^2-I$8^2)*MIN(I$12, I$42))/IF($B$4, 25.4^3, 1), 0), 0)</f>
        <v>0</v>
      </c>
      <c r="L191" s="55" t="n">
        <f aca="false">IFERROR(IF(AND($C191&gt;=J$15, $C191&lt;=J$16), IF(J$14&gt;1, N(MOD($C191-J$15, J$14)&lt;1), 1/J$14)*PI()*J$9/4*(J$7^2*MIN(J$10, $D190)+(J$7^2-J$8^2)*MIN(J$12, J$42))/IF($B$4, 25.4^3, 1), 0), 0)</f>
        <v>0</v>
      </c>
      <c r="M191" s="55" t="n">
        <f aca="false">IFERROR(IF(AND($C191&gt;=K$15, $C191&lt;=K$16), IF(K$14&gt;1, N(MOD($C191-K$15, K$14)&lt;1), 1/K$14)*PI()*K$9/4*(K$7^2*MIN(K$10, $D190)+(K$7^2-K$8^2)*MIN(K$12, K$42))/IF($B$4, 25.4^3, 1), 0), 0)</f>
        <v>0</v>
      </c>
    </row>
    <row r="192" customFormat="false" ht="15" hidden="false" customHeight="false" outlineLevel="0" collapsed="false">
      <c r="C192" s="55" t="n">
        <v>150</v>
      </c>
      <c r="D192" s="55" t="n">
        <f aca="false">MAX((D191*($N$10/IF($B$4, 16.387, 1))+E192-SUM(F192:M192))/($N$10/IF($B$4, 16.387, 1)), 0)</f>
        <v>56.5404340197635</v>
      </c>
      <c r="E192" s="55" t="n">
        <f aca="false">IF(D191&lt;$N$15, $D$40*D191^3+$E$40*D191^2+$F$40*D191+$G$40, 0) * 12^3/60*14.7</f>
        <v>181.717767525377</v>
      </c>
      <c r="F192" s="55" t="n">
        <f aca="false">IFERROR(IF(AND($C192&gt;=D$15, $C192&lt;=D$16), IF(D$14&gt;1, N(MOD($C192-D$15, D$14)&lt;1), 1/D$14)*PI()*D$9/4*(D$7^2*MIN(D$10, $D191)+(D$7^2-D$8^2)*MIN(D$12, D$42))/IF($B$4, 25.4^3, 1), 0), 0)</f>
        <v>0</v>
      </c>
      <c r="G192" s="55" t="n">
        <f aca="false">IFERROR(IF(AND($C192&gt;=E$15, $C192&lt;=E$16), IF(E$14&gt;1, N(MOD($C192-E$15, E$14)&lt;1), 1/E$14)*PI()*E$9/4*(E$7^2*MIN(E$10, $D191)+(E$7^2-E$8^2)*MIN(E$12, E$42))/IF($B$4, 25.4^3, 1), 0), 0)</f>
        <v>0</v>
      </c>
      <c r="H192" s="55" t="n">
        <f aca="false">IFERROR(IF(AND($C192&gt;=F$15, $C192&lt;=F$16), IF(F$14&gt;1, N(MOD($C192-F$15, F$14)&lt;1), 1/F$14)*PI()*F$9/4*(F$7^2*MIN(F$10, $D191)+(F$7^2-F$8^2)*MIN(F$12, F$42))/IF($B$4, 25.4^3, 1), 0), 0)</f>
        <v>0</v>
      </c>
      <c r="I192" s="55" t="n">
        <f aca="false">IFERROR(IF(AND($C192&gt;=G$15, $C192&lt;=G$16), IF(G$14&gt;1, N(MOD($C192-G$15, G$14)&lt;1), 1/G$14)*PI()*G$9/4*(G$7^2*MIN(G$10, $D191)+(G$7^2-G$8^2)*MIN(G$12, G$42))/IF($B$4, 25.4^3, 1), 0), 0)</f>
        <v>0</v>
      </c>
      <c r="J192" s="55" t="n">
        <f aca="false">IFERROR(IF(AND($C192&gt;=H$15, $C192&lt;=H$16), IF(H$14&gt;1, N(MOD($C192-H$15, H$14)&lt;1), 1/H$14)*PI()*H$9/4*(H$7^2*MIN(H$10, $D191)+(H$7^2-H$8^2)*MIN(H$12, H$42))/IF($B$4, 25.4^3, 1), 0), 0)</f>
        <v>0</v>
      </c>
      <c r="K192" s="55" t="n">
        <f aca="false">IFERROR(IF(AND($C192&gt;=I$15, $C192&lt;=I$16), IF(I$14&gt;1, N(MOD($C192-I$15, I$14)&lt;1), 1/I$14)*PI()*I$9/4*(I$7^2*MIN(I$10, $D191)+(I$7^2-I$8^2)*MIN(I$12, I$42))/IF($B$4, 25.4^3, 1), 0), 0)</f>
        <v>0</v>
      </c>
      <c r="L192" s="55" t="n">
        <f aca="false">IFERROR(IF(AND($C192&gt;=J$15, $C192&lt;=J$16), IF(J$14&gt;1, N(MOD($C192-J$15, J$14)&lt;1), 1/J$14)*PI()*J$9/4*(J$7^2*MIN(J$10, $D191)+(J$7^2-J$8^2)*MIN(J$12, J$42))/IF($B$4, 25.4^3, 1), 0), 0)</f>
        <v>0</v>
      </c>
      <c r="M192" s="55" t="n">
        <f aca="false">IFERROR(IF(AND($C192&gt;=K$15, $C192&lt;=K$16), IF(K$14&gt;1, N(MOD($C192-K$15, K$14)&lt;1), 1/K$14)*PI()*K$9/4*(K$7^2*MIN(K$10, $D191)+(K$7^2-K$8^2)*MIN(K$12, K$42))/IF($B$4, 25.4^3, 1), 0), 0)</f>
        <v>0</v>
      </c>
    </row>
  </sheetData>
  <sheetProtection sheet="true" objects="true" scenarios="true" formatCells="false" formatColumns="false" formatRows="false"/>
  <mergeCells count="1">
    <mergeCell ref="N12:O12"/>
  </mergeCells>
  <conditionalFormatting sqref="D7:K10 D12:K12 D14:K16">
    <cfRule type="expression" priority="2" aboveAverage="0" equalAverage="0" bottom="0" percent="0" rank="0" text="" dxfId="0">
      <formula>AND(COUNTBLANK(D$7:D$16)&lt;10, ISBLANK(D7))</formula>
    </cfRule>
    <cfRule type="cellIs" priority="3" operator="lessThan" aboveAverage="0" equalAverage="0" bottom="0" percent="0" rank="0" text="" dxfId="1">
      <formula>0</formula>
    </cfRule>
  </conditionalFormatting>
  <conditionalFormatting sqref="N16:N17">
    <cfRule type="cellIs" priority="4" operator="lessThanOrEqual" aboveAverage="0" equalAverage="0" bottom="0" percent="0" rank="0" text="" dxfId="2">
      <formula>$I$40</formula>
    </cfRule>
  </conditionalFormatting>
  <conditionalFormatting sqref="N7:Q9">
    <cfRule type="expression" priority="5" aboveAverage="0" equalAverage="0" bottom="0" percent="0" rank="0" text="" dxfId="3">
      <formula>AND(COUNTBLANK(N$7:N$9)&lt;3, ISBLANK(N7))</formula>
    </cfRule>
  </conditionalFormatting>
  <conditionalFormatting sqref="D7:K10 D12:K12 D14:K16 N7:Q9 N14:N15">
    <cfRule type="expression" priority="6" aboveAverage="0" equalAverage="0" bottom="0" percent="0" rank="0" text="" dxfId="4">
      <formula>ISTEXT(D7)</formula>
    </cfRule>
  </conditionalFormatting>
  <conditionalFormatting sqref="D8:K8">
    <cfRule type="cellIs" priority="7" operator="greaterThan" aboveAverage="0" equalAverage="0" bottom="0" percent="0" rank="0" text="" dxfId="5">
      <formula>D7</formula>
    </cfRule>
  </conditionalFormatting>
  <dataValidations count="1">
    <dataValidation allowBlank="true" operator="between" showDropDown="false" showErrorMessage="true" showInputMessage="true" sqref="N12:O12" type="list">
      <formula1>"No Compressor,1.1 Pump,Viair 90C"</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false"/>
  </sheetPr>
  <dimension ref="C2:R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7.15"/>
    <col collapsed="false" customWidth="true" hidden="false" outlineLevel="0" max="2" min="2" style="18" width="3.29"/>
    <col collapsed="false" customWidth="true" hidden="false" outlineLevel="0" max="3" min="3" style="18" width="12.86"/>
    <col collapsed="false" customWidth="true" hidden="false" outlineLevel="0" max="4" min="4" style="18" width="9.14"/>
    <col collapsed="false" customWidth="true" hidden="false" outlineLevel="0" max="5" min="5" style="18" width="14.7"/>
    <col collapsed="false" customWidth="true" hidden="false" outlineLevel="0" max="6" min="6" style="18" width="12.86"/>
    <col collapsed="false" customWidth="true" hidden="false" outlineLevel="0" max="7" min="7" style="18" width="9.14"/>
    <col collapsed="false" customWidth="true" hidden="false" outlineLevel="0" max="8" min="8" style="18" width="3.14"/>
    <col collapsed="false" customWidth="true" hidden="false" outlineLevel="0" max="9" min="9" style="18" width="22.43"/>
    <col collapsed="false" customWidth="true" hidden="false" outlineLevel="0" max="10" min="10" style="18" width="3.14"/>
    <col collapsed="false" customWidth="true" hidden="false" outlineLevel="0" max="1025" min="11" style="18" width="9.14"/>
  </cols>
  <sheetData>
    <row r="2" customFormat="false" ht="31.15" hidden="false" customHeight="false" outlineLevel="0" collapsed="false">
      <c r="C2" s="19" t="s">
        <v>209</v>
      </c>
    </row>
    <row r="3" customFormat="false" ht="14.45" hidden="false" customHeight="false" outlineLevel="0" collapsed="false">
      <c r="K3" s="158" t="s">
        <v>88</v>
      </c>
      <c r="M3" s="159" t="n">
        <f aca="false">TRUE()</f>
        <v>1</v>
      </c>
      <c r="N3" s="160"/>
      <c r="O3" s="161" t="n">
        <f aca="false">TRUE()</f>
        <v>1</v>
      </c>
      <c r="P3" s="162"/>
    </row>
    <row r="4" customFormat="false" ht="18.75" hidden="false" customHeight="true" outlineLevel="0" collapsed="false">
      <c r="C4" s="101" t="s">
        <v>87</v>
      </c>
      <c r="D4" s="101"/>
      <c r="F4" s="101" t="s">
        <v>88</v>
      </c>
      <c r="G4" s="101"/>
      <c r="I4" s="163" t="s">
        <v>210</v>
      </c>
    </row>
    <row r="5" customFormat="false" ht="15" hidden="false" customHeight="true" outlineLevel="0" collapsed="false">
      <c r="C5" s="65" t="s">
        <v>211</v>
      </c>
      <c r="D5" s="96" t="n">
        <v>40</v>
      </c>
      <c r="F5" s="65" t="s">
        <v>5</v>
      </c>
      <c r="G5" s="96" t="n">
        <v>120</v>
      </c>
      <c r="I5" s="163"/>
    </row>
    <row r="6" customFormat="false" ht="15" hidden="false" customHeight="false" outlineLevel="0" collapsed="false">
      <c r="C6" s="65" t="s">
        <v>212</v>
      </c>
      <c r="D6" s="96" t="n">
        <v>90</v>
      </c>
      <c r="F6" s="65" t="s">
        <v>213</v>
      </c>
      <c r="G6" s="96" t="n">
        <v>10</v>
      </c>
      <c r="I6" s="163"/>
    </row>
    <row r="7" customFormat="false" ht="15" hidden="false" customHeight="false" outlineLevel="0" collapsed="false">
      <c r="C7" s="65" t="s">
        <v>5</v>
      </c>
      <c r="D7" s="96" t="n">
        <v>100</v>
      </c>
      <c r="F7" s="65" t="s">
        <v>214</v>
      </c>
      <c r="G7" s="96" t="n">
        <v>100</v>
      </c>
      <c r="I7" s="163"/>
    </row>
    <row r="8" customFormat="false" ht="15" hidden="false" customHeight="false" outlineLevel="0" collapsed="false">
      <c r="C8" s="65" t="s">
        <v>213</v>
      </c>
      <c r="D8" s="96" t="n">
        <v>20</v>
      </c>
      <c r="F8" s="65" t="s">
        <v>215</v>
      </c>
      <c r="G8" s="96" t="n">
        <v>50</v>
      </c>
      <c r="I8" s="163"/>
    </row>
    <row r="9" customFormat="false" ht="15" hidden="false" customHeight="true" outlineLevel="0" collapsed="false">
      <c r="C9" s="65" t="s">
        <v>214</v>
      </c>
      <c r="D9" s="96" t="n">
        <v>100</v>
      </c>
      <c r="F9" s="65" t="s">
        <v>216</v>
      </c>
      <c r="G9" s="128" t="n">
        <v>95</v>
      </c>
      <c r="H9" s="55" t="n">
        <f aca="false">RADIANS(G9)</f>
        <v>1.65806278939461</v>
      </c>
    </row>
    <row r="10" customFormat="false" ht="15" hidden="false" customHeight="true" outlineLevel="0" collapsed="false">
      <c r="C10" s="65" t="s">
        <v>215</v>
      </c>
      <c r="D10" s="96" t="n">
        <v>50</v>
      </c>
      <c r="F10" s="65" t="s">
        <v>217</v>
      </c>
      <c r="G10" s="128" t="n">
        <v>-10</v>
      </c>
      <c r="H10" s="55" t="n">
        <f aca="false">RADIANS(G10)</f>
        <v>-0.174532925199433</v>
      </c>
      <c r="I10" s="163" t="s">
        <v>218</v>
      </c>
    </row>
    <row r="11" customFormat="false" ht="15" hidden="false" customHeight="false" outlineLevel="0" collapsed="false">
      <c r="I11" s="163"/>
    </row>
    <row r="12" customFormat="false" ht="15" hidden="false" customHeight="false" outlineLevel="0" collapsed="false">
      <c r="C12" s="65" t="s">
        <v>216</v>
      </c>
      <c r="D12" s="164" t="n">
        <f aca="false">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v>
      </c>
      <c r="F12" s="65" t="s">
        <v>211</v>
      </c>
      <c r="G12" s="85" t="n">
        <f aca="false">-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v>
      </c>
      <c r="I12" s="163"/>
    </row>
    <row r="13" customFormat="false" ht="15" hidden="false" customHeight="false" outlineLevel="0" collapsed="false">
      <c r="C13" s="65" t="s">
        <v>217</v>
      </c>
      <c r="D13" s="164" t="n">
        <f aca="false">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5.79072567018706</v>
      </c>
      <c r="F13" s="65" t="s">
        <v>212</v>
      </c>
      <c r="G13" s="85" t="n">
        <f aca="false">G5*SIN(H9)+G6*COS(H9)-SQRT(G7^2-(G12+G5*COS(H9)-G6*SIN(H9))^2)</f>
        <v>18.8937690278621</v>
      </c>
      <c r="I13" s="163"/>
    </row>
    <row r="30" customFormat="false" ht="15" hidden="false" customHeight="true" outlineLevel="0" collapsed="false">
      <c r="K30" s="165" t="s">
        <v>219</v>
      </c>
      <c r="L30" s="165"/>
      <c r="M30" s="165"/>
      <c r="N30" s="165"/>
      <c r="O30" s="165"/>
      <c r="P30" s="165"/>
      <c r="Q30" s="165"/>
      <c r="R30" s="165"/>
    </row>
    <row r="31" customFormat="false" ht="15" hidden="false" customHeight="false" outlineLevel="0" collapsed="false">
      <c r="K31" s="18" t="s">
        <v>220</v>
      </c>
    </row>
    <row r="32" customFormat="false" ht="15" hidden="false" customHeight="false" outlineLevel="0" collapsed="false">
      <c r="K32" s="18" t="s">
        <v>221</v>
      </c>
    </row>
    <row r="33" customFormat="false" ht="15" hidden="false" customHeight="false" outlineLevel="0" collapsed="false">
      <c r="K33" s="55" t="s">
        <v>211</v>
      </c>
      <c r="L33" s="55" t="s">
        <v>212</v>
      </c>
      <c r="M33" s="55" t="s">
        <v>5</v>
      </c>
      <c r="N33" s="55" t="s">
        <v>213</v>
      </c>
      <c r="O33" s="55" t="s">
        <v>222</v>
      </c>
      <c r="P33" s="55" t="s">
        <v>223</v>
      </c>
      <c r="Q33" s="55" t="s">
        <v>140</v>
      </c>
      <c r="R33" s="55" t="s">
        <v>224</v>
      </c>
    </row>
    <row r="34" customFormat="false" ht="14.45" hidden="false" customHeight="false" outlineLevel="0" collapsed="false">
      <c r="K34" s="166" t="n">
        <f aca="false">IF($K$3="Forward", D5, G12)</f>
        <v>27.0797103280189</v>
      </c>
      <c r="L34" s="166" t="n">
        <f aca="false">IF($K$3="Forward", D6, G13)</f>
        <v>18.8937690278621</v>
      </c>
      <c r="M34" s="166" t="n">
        <f aca="false">IF($K$3="Forward", D7, G5)</f>
        <v>120</v>
      </c>
      <c r="N34" s="166" t="n">
        <f aca="false">IF($K$3="Forward", D8, G6)</f>
        <v>10</v>
      </c>
      <c r="O34" s="166" t="n">
        <f aca="false">RADIANS(IF($K$3="Forward", D12, G9))</f>
        <v>1.65806278939461</v>
      </c>
      <c r="P34" s="166" t="n">
        <f aca="false">RADIANS(IF($K$3="Forward", D13, G10))</f>
        <v>-0.174532925199433</v>
      </c>
      <c r="Q34" s="166" t="n">
        <f aca="false">IF($K$3="Forward", D9, G7)</f>
        <v>100</v>
      </c>
      <c r="R34" s="166" t="n">
        <f aca="false">Q34+IF($K$3="Forward", D10, G8)</f>
        <v>150</v>
      </c>
    </row>
    <row r="35" customFormat="false" ht="14.45" hidden="false" customHeight="false" outlineLevel="0" collapsed="false">
      <c r="K35" s="55" t="n">
        <v>0</v>
      </c>
      <c r="L35" s="55" t="n">
        <v>0</v>
      </c>
      <c r="M35" s="55" t="n">
        <f aca="false">IF($M$3, 1.5*$M$34*COS(O34), 0)</f>
        <v>-15.6880336945785</v>
      </c>
      <c r="N35" s="55" t="n">
        <f aca="false">IF($M$3, 1.5*$M$34*SIN(O34), 0)</f>
        <v>179.315045656514</v>
      </c>
      <c r="O35" s="55"/>
      <c r="P35" s="55"/>
      <c r="Q35" s="55"/>
      <c r="R35" s="55"/>
    </row>
    <row r="36" customFormat="false" ht="14.45" hidden="false" customHeight="false" outlineLevel="0" collapsed="false">
      <c r="K36" s="55" t="n">
        <f aca="false">IF($M$3, $M$34*COS(O34), 0)</f>
        <v>-10.458689129719</v>
      </c>
      <c r="L36" s="55" t="n">
        <f aca="false">IF($M$3, $M$34*SIN(O34), 0)</f>
        <v>119.543363771009</v>
      </c>
      <c r="M36" s="55" t="n">
        <f aca="false">IF($M$3, K36-$N$34*SIN(O34), 0)</f>
        <v>-20.4206361106364</v>
      </c>
      <c r="N36" s="55" t="n">
        <f aca="false">IF($M$3, L36+$N$34*COS(O34), 0)</f>
        <v>118.671806343533</v>
      </c>
      <c r="O36" s="55"/>
      <c r="P36" s="55"/>
      <c r="Q36" s="55"/>
      <c r="R36" s="55"/>
    </row>
    <row r="37" customFormat="false" ht="14.45" hidden="false" customHeight="false" outlineLevel="0" collapsed="false">
      <c r="K37" s="166" t="n">
        <f aca="false">IF($M$3, -$K$34, 0)</f>
        <v>-27.0797103280189</v>
      </c>
      <c r="L37" s="166" t="n">
        <f aca="false">IF($M$3, $L$34, 0)</f>
        <v>18.8937690278621</v>
      </c>
      <c r="M37" s="55" t="n">
        <f aca="false">IF($M$3, K37+(M36-K37)*0.9, 0)</f>
        <v>-21.0865435323747</v>
      </c>
      <c r="N37" s="55" t="n">
        <f aca="false">IF($M$3, L37+(N36-L37)*0.9, 0)</f>
        <v>108.694002611966</v>
      </c>
      <c r="O37" s="55"/>
      <c r="P37" s="166" t="n">
        <f aca="false">IF(OR($M$3, $O$3), -K34, 0)</f>
        <v>-27.0797103280189</v>
      </c>
      <c r="Q37" s="166" t="n">
        <f aca="false">IF(OR($M$3, $O$3), L34, 0)</f>
        <v>18.8937690278621</v>
      </c>
      <c r="R37" s="55"/>
    </row>
    <row r="38" customFormat="false" ht="14.45" hidden="false" customHeight="false" outlineLevel="0" collapsed="false">
      <c r="K38" s="55" t="n">
        <v>0</v>
      </c>
      <c r="L38" s="55" t="n">
        <v>0</v>
      </c>
      <c r="M38" s="55" t="n">
        <f aca="false">IF($O$3, 1.5*$M$34*COS(P34), 0)</f>
        <v>177.265395542197</v>
      </c>
      <c r="N38" s="55" t="n">
        <f aca="false">IF($O$3, 1.5*$M$34*SIN(P34), 0)</f>
        <v>-31.2566719800475</v>
      </c>
      <c r="O38" s="55"/>
      <c r="P38" s="55"/>
      <c r="Q38" s="55"/>
      <c r="R38" s="55"/>
    </row>
    <row r="39" customFormat="false" ht="15" hidden="false" customHeight="false" outlineLevel="0" collapsed="false">
      <c r="K39" s="55" t="n">
        <f aca="false">IF($O$3, $M$34*COS(P34), 0)</f>
        <v>118.176930361465</v>
      </c>
      <c r="L39" s="55" t="n">
        <f aca="false">IF($O$3, $M$34*SIN(P34), 0)</f>
        <v>-20.8377813200316</v>
      </c>
      <c r="M39" s="55" t="n">
        <f aca="false">IF($O$3, K39-$N$34*SIN(P34), 0)</f>
        <v>119.913412138134</v>
      </c>
      <c r="N39" s="55" t="n">
        <f aca="false">IF($O$3, L39+$N$34*COS(P34), 0)</f>
        <v>-10.9897037899096</v>
      </c>
      <c r="O39" s="55"/>
      <c r="P39" s="55"/>
      <c r="Q39" s="55"/>
      <c r="R39" s="55"/>
    </row>
    <row r="40" customFormat="false" ht="15" hidden="false" customHeight="false" outlineLevel="0" collapsed="false">
      <c r="K40" s="166" t="n">
        <f aca="false">IF($O$3, -$K$34, 0)</f>
        <v>-27.0797103280189</v>
      </c>
      <c r="L40" s="166" t="n">
        <f aca="false">IF($O$3, $L$34, 0)</f>
        <v>18.8937690278621</v>
      </c>
      <c r="M40" s="55" t="n">
        <f aca="false">IF($O$3, K40+(M39-K40)*($Q$34/$R$34)*0.9, 0)</f>
        <v>61.116163151673</v>
      </c>
      <c r="N40" s="55" t="n">
        <f aca="false">IF($O$3, L40+(N39-L40)*($Q$34/$R$34)*0.9, 0)</f>
        <v>0.963685337199102</v>
      </c>
      <c r="O40" s="55"/>
      <c r="P40" s="55"/>
      <c r="Q40" s="55"/>
      <c r="R40" s="55"/>
    </row>
    <row r="41" customFormat="false" ht="15" hidden="false" customHeight="false" outlineLevel="0" collapsed="false">
      <c r="K41" s="55" t="n">
        <v>0</v>
      </c>
      <c r="L41" s="55" t="n">
        <f aca="false">MIN(K35:N40)*1.1</f>
        <v>-34.3823391780522</v>
      </c>
      <c r="M41" s="55" t="n">
        <f aca="false">MAX(K35:N40)*1.1</f>
        <v>197.246550222166</v>
      </c>
      <c r="N41" s="55" t="n">
        <f aca="false">M41/1.1</f>
        <v>179.315045656514</v>
      </c>
      <c r="O41" s="55"/>
      <c r="P41" s="55"/>
      <c r="Q41" s="55"/>
      <c r="R41" s="55"/>
    </row>
  </sheetData>
  <sheetProtection sheet="true" objects="true" scenarios="true" formatCells="false" formatColumns="false" formatRows="false"/>
  <mergeCells count="5">
    <mergeCell ref="C4:D4"/>
    <mergeCell ref="F4:G4"/>
    <mergeCell ref="I4:I8"/>
    <mergeCell ref="I10:I13"/>
    <mergeCell ref="K30:R30"/>
  </mergeCells>
  <conditionalFormatting sqref="D5:D10 G5:G8">
    <cfRule type="cellIs" priority="2" operator="lessThan" aboveAverage="0" equalAverage="0" bottom="0" percent="0" rank="0" text="" dxfId="0">
      <formula>0</formula>
    </cfRule>
  </conditionalFormatting>
  <conditionalFormatting sqref="D7 G5">
    <cfRule type="cellIs" priority="3" operator="equal" aboveAverage="0" equalAverage="0" bottom="0" percent="0" rank="0" text="" dxfId="1">
      <formula>0</formula>
    </cfRule>
  </conditionalFormatting>
  <conditionalFormatting sqref="D5:D10 G5:G10">
    <cfRule type="expression" priority="4" aboveAverage="0" equalAverage="0" bottom="0" percent="0" rank="0" text="" dxfId="2">
      <formula>ISTEXT(D5)</formula>
    </cfRule>
  </conditionalFormatting>
  <conditionalFormatting sqref="D5:D10 G5:G10 K3">
    <cfRule type="expression" priority="5" aboveAverage="0" equalAverage="0" bottom="0" percent="0" rank="0" text="" dxfId="3">
      <formula>LEN(TRIM(D5))=0</formula>
    </cfRule>
  </conditionalFormatting>
  <conditionalFormatting sqref="D5:D10">
    <cfRule type="expression" priority="6" aboveAverage="0" equalAverage="0" bottom="0" percent="0" rank="0" text="" dxfId="4">
      <formula>ISERROR($D$12:$D$13)</formula>
    </cfRule>
  </conditionalFormatting>
  <conditionalFormatting sqref="G9:G10">
    <cfRule type="cellIs" priority="7" operator="notBetween" aboveAverage="0" equalAverage="0" bottom="0" percent="0" rank="0" text="" dxfId="5">
      <formula>180</formula>
      <formula>-90</formula>
    </cfRule>
  </conditionalFormatting>
  <conditionalFormatting sqref="G5:G10">
    <cfRule type="expression" priority="8" aboveAverage="0" equalAverage="0" bottom="0" percent="0" rank="0" text="" dxfId="6">
      <formula>ISERROR($G$12:$G$13)</formula>
    </cfRule>
  </conditionalFormatting>
  <dataValidations count="1">
    <dataValidation allowBlank="true" operator="between" showDropDown="false" showErrorMessage="true" showInputMessage="false" sqref="K3" type="list">
      <formula1>"Forward,Reverse"</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V126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1" activeCellId="0" sqref="A1"/>
    </sheetView>
  </sheetViews>
  <sheetFormatPr defaultRowHeight="15" zeroHeight="false" outlineLevelRow="0" outlineLevelCol="0"/>
  <cols>
    <col collapsed="false" customWidth="true" hidden="false" outlineLevel="0" max="1" min="1" style="167" width="10.85"/>
    <col collapsed="false" customWidth="true" hidden="false" outlineLevel="0" max="2" min="2" style="167" width="10.58"/>
    <col collapsed="false" customWidth="true" hidden="false" outlineLevel="0" max="3" min="3" style="167" width="9.14"/>
    <col collapsed="false" customWidth="true" hidden="false" outlineLevel="0" max="4" min="4" style="167" width="24.71"/>
    <col collapsed="false" customWidth="true" hidden="false" outlineLevel="0" max="28" min="5" style="167" width="8.42"/>
    <col collapsed="false" customWidth="true" hidden="false" outlineLevel="0" max="1025" min="29" style="167" width="14.01"/>
  </cols>
  <sheetData>
    <row r="1" customFormat="false" ht="14.25" hidden="false" customHeight="true" outlineLevel="0" collapsed="false">
      <c r="A1" s="167" t="s">
        <v>225</v>
      </c>
      <c r="B1" s="167" t="s">
        <v>226</v>
      </c>
      <c r="C1" s="167" t="s">
        <v>227</v>
      </c>
      <c r="E1" s="167" t="s">
        <v>228</v>
      </c>
      <c r="F1" s="167" t="s">
        <v>229</v>
      </c>
      <c r="G1" s="167" t="s">
        <v>230</v>
      </c>
      <c r="H1" s="167" t="s">
        <v>231</v>
      </c>
      <c r="I1" s="167" t="s">
        <v>232</v>
      </c>
      <c r="J1" s="167" t="s">
        <v>233</v>
      </c>
      <c r="K1" s="167" t="s">
        <v>234</v>
      </c>
      <c r="L1" s="167" t="s">
        <v>235</v>
      </c>
    </row>
    <row r="2" customFormat="false" ht="14.25" hidden="false" customHeight="true" outlineLevel="0" collapsed="false">
      <c r="A2" s="167" t="s">
        <v>156</v>
      </c>
      <c r="B2" s="167" t="s">
        <v>236</v>
      </c>
      <c r="C2" s="167" t="n">
        <v>-1</v>
      </c>
      <c r="D2" s="167" t="str">
        <f aca="false">A2&amp;" "&amp;B2&amp;" "&amp;C2</f>
        <v>1/2" Hex AM 9015 -1</v>
      </c>
      <c r="E2" s="167" t="n">
        <v>1</v>
      </c>
      <c r="F2" s="167" t="n">
        <v>1</v>
      </c>
      <c r="G2" s="167" t="n">
        <v>1</v>
      </c>
      <c r="H2" s="167" t="n">
        <v>1</v>
      </c>
      <c r="I2" s="167" t="n">
        <v>1</v>
      </c>
    </row>
    <row r="3" customFormat="false" ht="14.25" hidden="false" customHeight="true" outlineLevel="0" collapsed="false">
      <c r="A3" s="167" t="s">
        <v>156</v>
      </c>
      <c r="B3" s="167" t="s">
        <v>237</v>
      </c>
      <c r="C3" s="167" t="n">
        <v>-1</v>
      </c>
      <c r="D3" s="167" t="str">
        <f aca="false">A3&amp;" "&amp;B3&amp;" "&amp;C3</f>
        <v>1/2" Hex BB RS-550 -1</v>
      </c>
      <c r="E3" s="167" t="n">
        <v>1</v>
      </c>
      <c r="F3" s="167" t="n">
        <v>1</v>
      </c>
      <c r="G3" s="167" t="n">
        <v>1</v>
      </c>
      <c r="H3" s="167" t="n">
        <v>1</v>
      </c>
      <c r="I3" s="167" t="n">
        <v>1</v>
      </c>
      <c r="O3" s="167" t="s">
        <v>238</v>
      </c>
    </row>
    <row r="4" customFormat="false" ht="14.25" hidden="false" customHeight="true" outlineLevel="0" collapsed="false">
      <c r="A4" s="167" t="s">
        <v>156</v>
      </c>
      <c r="B4" s="167" t="s">
        <v>239</v>
      </c>
      <c r="C4" s="167" t="n">
        <v>-1</v>
      </c>
      <c r="D4" s="167" t="str">
        <f aca="false">A4&amp;" "&amp;B4&amp;" "&amp;C4</f>
        <v>1/2" Hex BB RS-775 -1</v>
      </c>
      <c r="E4" s="167" t="n">
        <v>1</v>
      </c>
      <c r="F4" s="167" t="n">
        <v>1</v>
      </c>
      <c r="G4" s="167" t="n">
        <v>1</v>
      </c>
      <c r="H4" s="167" t="n">
        <v>1</v>
      </c>
      <c r="I4" s="167" t="n">
        <v>1</v>
      </c>
      <c r="O4" s="167" t="s">
        <v>156</v>
      </c>
      <c r="P4" s="167" t="n">
        <v>39.99</v>
      </c>
      <c r="Q4" s="167" t="n">
        <f aca="false">Q6+13.99</f>
        <v>31.98</v>
      </c>
      <c r="R4" s="167" t="n">
        <v>0.34</v>
      </c>
      <c r="S4" s="167" t="n">
        <v>0.22</v>
      </c>
      <c r="T4" s="167" t="s">
        <v>240</v>
      </c>
      <c r="U4" s="167" t="s">
        <v>241</v>
      </c>
    </row>
    <row r="5" customFormat="false" ht="14.25" hidden="false" customHeight="true" outlineLevel="0" collapsed="false">
      <c r="A5" s="167" t="s">
        <v>156</v>
      </c>
      <c r="B5" s="167" t="s">
        <v>242</v>
      </c>
      <c r="C5" s="167" t="n">
        <v>-1</v>
      </c>
      <c r="D5" s="167" t="str">
        <f aca="false">A5&amp;" "&amp;B5&amp;" "&amp;C5</f>
        <v>1/2" Hex BAG Motor -1</v>
      </c>
      <c r="E5" s="167" t="n">
        <v>1</v>
      </c>
      <c r="F5" s="167" t="n">
        <v>1</v>
      </c>
      <c r="G5" s="167" t="n">
        <v>1</v>
      </c>
      <c r="H5" s="167" t="n">
        <v>1</v>
      </c>
      <c r="I5" s="167" t="n">
        <v>1</v>
      </c>
      <c r="O5" s="167" t="s">
        <v>243</v>
      </c>
      <c r="P5" s="167" t="n">
        <v>39.99</v>
      </c>
      <c r="Q5" s="167" t="n">
        <f aca="false">Q6+9.99</f>
        <v>27.98</v>
      </c>
      <c r="R5" s="167" t="n">
        <v>0.34</v>
      </c>
      <c r="S5" s="167" t="n">
        <v>0.22</v>
      </c>
      <c r="T5" s="167" t="s">
        <v>244</v>
      </c>
      <c r="U5" s="167" t="s">
        <v>245</v>
      </c>
    </row>
    <row r="6" customFormat="false" ht="14.25" hidden="false" customHeight="true" outlineLevel="0" collapsed="false">
      <c r="A6" s="167" t="s">
        <v>156</v>
      </c>
      <c r="B6" s="167" t="s">
        <v>41</v>
      </c>
      <c r="C6" s="167" t="n">
        <v>-1</v>
      </c>
      <c r="D6" s="167" t="str">
        <f aca="false">A6&amp;" "&amp;B6&amp;" "&amp;C6</f>
        <v>1/2" Hex 775pro -1</v>
      </c>
      <c r="E6" s="167" t="n">
        <v>1</v>
      </c>
      <c r="F6" s="167" t="n">
        <v>1</v>
      </c>
      <c r="G6" s="167" t="n">
        <v>1</v>
      </c>
      <c r="H6" s="167" t="n">
        <v>1</v>
      </c>
      <c r="I6" s="167" t="n">
        <v>1</v>
      </c>
      <c r="O6" s="167" t="s">
        <v>246</v>
      </c>
      <c r="P6" s="167" t="n">
        <v>39.99</v>
      </c>
      <c r="Q6" s="167" t="n">
        <v>17.99</v>
      </c>
      <c r="R6" s="167" t="n">
        <v>0.34</v>
      </c>
      <c r="S6" s="167" t="n">
        <v>0.22</v>
      </c>
      <c r="T6" s="167" t="s">
        <v>247</v>
      </c>
      <c r="U6" s="167" t="s">
        <v>248</v>
      </c>
    </row>
    <row r="7" customFormat="false" ht="14.25" hidden="false" customHeight="true" outlineLevel="0" collapsed="false">
      <c r="A7" s="167" t="s">
        <v>156</v>
      </c>
      <c r="B7" s="167" t="s">
        <v>249</v>
      </c>
      <c r="C7" s="167" t="n">
        <v>-1</v>
      </c>
      <c r="D7" s="167" t="str">
        <f aca="false">A7&amp;" "&amp;B7&amp;" "&amp;C7</f>
        <v>1/2" Hex Mini CIM -1</v>
      </c>
      <c r="E7" s="167" t="n">
        <v>1</v>
      </c>
      <c r="F7" s="167" t="n">
        <v>1</v>
      </c>
      <c r="G7" s="167" t="n">
        <v>1</v>
      </c>
      <c r="H7" s="167" t="n">
        <v>1</v>
      </c>
      <c r="I7" s="167" t="n">
        <v>0</v>
      </c>
      <c r="O7" s="167" t="s">
        <v>250</v>
      </c>
      <c r="P7" s="167" t="n">
        <v>39.99</v>
      </c>
      <c r="Q7" s="167" t="n">
        <f aca="false">Q6+9.99</f>
        <v>27.98</v>
      </c>
      <c r="R7" s="167" t="n">
        <v>0.34</v>
      </c>
      <c r="S7" s="167" t="n">
        <v>0.22</v>
      </c>
      <c r="T7" s="167" t="s">
        <v>251</v>
      </c>
      <c r="U7" s="167" t="s">
        <v>252</v>
      </c>
    </row>
    <row r="8" customFormat="false" ht="14.25" hidden="false" customHeight="true" outlineLevel="0" collapsed="false">
      <c r="A8" s="167" t="s">
        <v>156</v>
      </c>
      <c r="B8" s="167" t="s">
        <v>89</v>
      </c>
      <c r="C8" s="167" t="n">
        <v>-1</v>
      </c>
      <c r="D8" s="167" t="str">
        <f aca="false">A8&amp;" "&amp;B8&amp;" "&amp;C8</f>
        <v>1/2" Hex CIM -1</v>
      </c>
      <c r="E8" s="167" t="n">
        <v>1</v>
      </c>
      <c r="F8" s="167" t="n">
        <v>1</v>
      </c>
      <c r="G8" s="167" t="n">
        <v>1</v>
      </c>
      <c r="H8" s="167" t="n">
        <v>1</v>
      </c>
      <c r="I8" s="167" t="n">
        <v>0</v>
      </c>
      <c r="O8" s="167" t="s">
        <v>253</v>
      </c>
      <c r="P8" s="167" t="n">
        <v>44.99</v>
      </c>
      <c r="Q8" s="167" t="n">
        <v>24.99</v>
      </c>
      <c r="R8" s="167" t="n">
        <v>0.34</v>
      </c>
      <c r="S8" s="167" t="n">
        <v>0.22</v>
      </c>
      <c r="T8" s="167" t="s">
        <v>254</v>
      </c>
      <c r="U8" s="167" t="s">
        <v>255</v>
      </c>
    </row>
    <row r="9" customFormat="false" ht="14.25" hidden="false" customHeight="true" outlineLevel="0" collapsed="false">
      <c r="A9" s="167" t="s">
        <v>156</v>
      </c>
      <c r="B9" s="167" t="s">
        <v>256</v>
      </c>
      <c r="C9" s="167" t="n">
        <v>-1</v>
      </c>
      <c r="D9" s="167" t="str">
        <f aca="false">A9&amp;" "&amp;B9&amp;" "&amp;C9</f>
        <v>1/2" Hex NEO -1</v>
      </c>
      <c r="E9" s="167" t="n">
        <v>1</v>
      </c>
      <c r="F9" s="167" t="n">
        <v>1</v>
      </c>
      <c r="G9" s="167" t="n">
        <v>1</v>
      </c>
      <c r="H9" s="167" t="n">
        <v>1</v>
      </c>
      <c r="I9" s="167" t="n">
        <v>0</v>
      </c>
    </row>
    <row r="10" customFormat="false" ht="14.25" hidden="false" customHeight="true" outlineLevel="0" collapsed="false">
      <c r="A10" s="167" t="s">
        <v>156</v>
      </c>
      <c r="B10" s="167" t="s">
        <v>257</v>
      </c>
      <c r="C10" s="167" t="n">
        <v>-1</v>
      </c>
      <c r="D10" s="167" t="str">
        <f aca="false">A10&amp;" "&amp;B10&amp;" "&amp;C10</f>
        <v>1/2" Hex Falcon 500 -1</v>
      </c>
      <c r="E10" s="167" t="n">
        <v>1</v>
      </c>
      <c r="F10" s="167" t="n">
        <v>1</v>
      </c>
      <c r="G10" s="167" t="n">
        <v>1</v>
      </c>
      <c r="H10" s="167" t="n">
        <v>1</v>
      </c>
      <c r="I10" s="167" t="n">
        <v>0</v>
      </c>
    </row>
    <row r="11" customFormat="false" ht="14.25" hidden="false" customHeight="true" outlineLevel="0" collapsed="false">
      <c r="A11" s="167" t="s">
        <v>243</v>
      </c>
      <c r="B11" s="167" t="s">
        <v>236</v>
      </c>
      <c r="C11" s="167" t="n">
        <v>-1</v>
      </c>
      <c r="D11" s="167" t="str">
        <f aca="false">A11&amp;" "&amp;B11&amp;" "&amp;C11</f>
        <v>1/2" Round AM 9015 -1</v>
      </c>
      <c r="E11" s="167" t="n">
        <v>1</v>
      </c>
      <c r="F11" s="167" t="n">
        <v>1</v>
      </c>
      <c r="G11" s="167" t="n">
        <v>1</v>
      </c>
      <c r="H11" s="167" t="n">
        <v>1</v>
      </c>
      <c r="I11" s="167" t="n">
        <v>1</v>
      </c>
      <c r="O11" s="167" t="s">
        <v>258</v>
      </c>
    </row>
    <row r="12" customFormat="false" ht="14.25" hidden="false" customHeight="true" outlineLevel="0" collapsed="false">
      <c r="A12" s="167" t="s">
        <v>243</v>
      </c>
      <c r="B12" s="167" t="s">
        <v>237</v>
      </c>
      <c r="C12" s="167" t="n">
        <v>-1</v>
      </c>
      <c r="D12" s="167" t="str">
        <f aca="false">A12&amp;" "&amp;B12&amp;" "&amp;C12</f>
        <v>1/2" Round BB RS-550 -1</v>
      </c>
      <c r="E12" s="167" t="n">
        <v>1</v>
      </c>
      <c r="F12" s="167" t="n">
        <v>1</v>
      </c>
      <c r="G12" s="167" t="n">
        <v>1</v>
      </c>
      <c r="H12" s="167" t="n">
        <v>1</v>
      </c>
      <c r="I12" s="167" t="n">
        <v>1</v>
      </c>
      <c r="O12" s="167" t="s">
        <v>236</v>
      </c>
      <c r="P12" s="167" t="n">
        <v>0</v>
      </c>
      <c r="Q12" s="167" t="n">
        <v>12.98</v>
      </c>
      <c r="R12" s="167" t="n">
        <v>0</v>
      </c>
      <c r="S12" s="167" t="n">
        <v>0</v>
      </c>
      <c r="U12" s="167" t="s">
        <v>259</v>
      </c>
    </row>
    <row r="13" customFormat="false" ht="14.25" hidden="false" customHeight="true" outlineLevel="0" collapsed="false">
      <c r="A13" s="167" t="s">
        <v>243</v>
      </c>
      <c r="B13" s="167" t="s">
        <v>239</v>
      </c>
      <c r="C13" s="167" t="n">
        <v>-1</v>
      </c>
      <c r="D13" s="167" t="str">
        <f aca="false">A13&amp;" "&amp;B13&amp;" "&amp;C13</f>
        <v>1/2" Round BB RS-775 -1</v>
      </c>
      <c r="E13" s="167" t="n">
        <v>1</v>
      </c>
      <c r="F13" s="167" t="n">
        <v>1</v>
      </c>
      <c r="G13" s="167" t="n">
        <v>1</v>
      </c>
      <c r="H13" s="167" t="n">
        <v>1</v>
      </c>
      <c r="I13" s="167" t="n">
        <v>1</v>
      </c>
      <c r="O13" s="167" t="s">
        <v>260</v>
      </c>
      <c r="P13" s="167" t="n">
        <v>0</v>
      </c>
      <c r="Q13" s="167" t="n">
        <v>0</v>
      </c>
      <c r="R13" s="167" t="n">
        <v>0</v>
      </c>
      <c r="S13" s="167" t="n">
        <v>0</v>
      </c>
    </row>
    <row r="14" customFormat="false" ht="14.25" hidden="false" customHeight="true" outlineLevel="0" collapsed="false">
      <c r="A14" s="167" t="s">
        <v>243</v>
      </c>
      <c r="B14" s="167" t="s">
        <v>242</v>
      </c>
      <c r="C14" s="167" t="n">
        <v>-1</v>
      </c>
      <c r="D14" s="167" t="str">
        <f aca="false">A14&amp;" "&amp;B14&amp;" "&amp;C14</f>
        <v>1/2" Round BAG Motor -1</v>
      </c>
      <c r="E14" s="167" t="n">
        <v>1</v>
      </c>
      <c r="F14" s="167" t="n">
        <v>1</v>
      </c>
      <c r="G14" s="167" t="n">
        <v>1</v>
      </c>
      <c r="H14" s="167" t="n">
        <v>1</v>
      </c>
      <c r="I14" s="167" t="n">
        <v>1</v>
      </c>
      <c r="O14" s="167" t="s">
        <v>237</v>
      </c>
      <c r="P14" s="167" t="n">
        <v>0</v>
      </c>
      <c r="Q14" s="167" t="n">
        <v>0</v>
      </c>
      <c r="R14" s="167" t="n">
        <v>0</v>
      </c>
      <c r="S14" s="167" t="n">
        <v>0</v>
      </c>
    </row>
    <row r="15" customFormat="false" ht="14.25" hidden="false" customHeight="true" outlineLevel="0" collapsed="false">
      <c r="A15" s="167" t="s">
        <v>243</v>
      </c>
      <c r="B15" s="167" t="s">
        <v>41</v>
      </c>
      <c r="C15" s="167" t="n">
        <v>-1</v>
      </c>
      <c r="D15" s="167" t="str">
        <f aca="false">A15&amp;" "&amp;B15&amp;" "&amp;C15</f>
        <v>1/2" Round 775pro -1</v>
      </c>
      <c r="E15" s="167" t="n">
        <v>1</v>
      </c>
      <c r="F15" s="167" t="n">
        <v>1</v>
      </c>
      <c r="G15" s="167" t="n">
        <v>1</v>
      </c>
      <c r="H15" s="167" t="n">
        <v>1</v>
      </c>
      <c r="I15" s="167" t="n">
        <v>1</v>
      </c>
      <c r="O15" s="167" t="s">
        <v>239</v>
      </c>
      <c r="P15" s="167" t="n">
        <v>0</v>
      </c>
      <c r="Q15" s="167" t="n">
        <v>12.98</v>
      </c>
      <c r="R15" s="167" t="n">
        <v>0</v>
      </c>
      <c r="S15" s="167" t="n">
        <v>0</v>
      </c>
      <c r="U15" s="167" t="s">
        <v>259</v>
      </c>
    </row>
    <row r="16" customFormat="false" ht="14.25" hidden="false" customHeight="true" outlineLevel="0" collapsed="false">
      <c r="A16" s="167" t="s">
        <v>243</v>
      </c>
      <c r="B16" s="167" t="s">
        <v>249</v>
      </c>
      <c r="C16" s="167" t="n">
        <v>-1</v>
      </c>
      <c r="D16" s="167" t="str">
        <f aca="false">A16&amp;" "&amp;B16&amp;" "&amp;C16</f>
        <v>1/2" Round Mini CIM -1</v>
      </c>
      <c r="E16" s="167" t="n">
        <v>1</v>
      </c>
      <c r="F16" s="167" t="n">
        <v>1</v>
      </c>
      <c r="G16" s="167" t="n">
        <v>1</v>
      </c>
      <c r="H16" s="167" t="n">
        <v>1</v>
      </c>
      <c r="I16" s="167" t="n">
        <v>0</v>
      </c>
      <c r="O16" s="167" t="s">
        <v>242</v>
      </c>
      <c r="P16" s="167" t="n">
        <v>0</v>
      </c>
      <c r="Q16" s="167" t="n">
        <v>12.98</v>
      </c>
      <c r="R16" s="167" t="n">
        <v>0</v>
      </c>
      <c r="S16" s="167" t="n">
        <v>0</v>
      </c>
      <c r="U16" s="167" t="s">
        <v>259</v>
      </c>
    </row>
    <row r="17" customFormat="false" ht="14.25" hidden="false" customHeight="true" outlineLevel="0" collapsed="false">
      <c r="A17" s="167" t="s">
        <v>243</v>
      </c>
      <c r="B17" s="167" t="s">
        <v>89</v>
      </c>
      <c r="C17" s="167" t="n">
        <v>-1</v>
      </c>
      <c r="D17" s="167" t="str">
        <f aca="false">A17&amp;" "&amp;B17&amp;" "&amp;C17</f>
        <v>1/2" Round CIM -1</v>
      </c>
      <c r="E17" s="167" t="n">
        <v>1</v>
      </c>
      <c r="F17" s="167" t="n">
        <v>1</v>
      </c>
      <c r="G17" s="167" t="n">
        <v>1</v>
      </c>
      <c r="H17" s="167" t="n">
        <v>1</v>
      </c>
      <c r="I17" s="167" t="n">
        <v>0</v>
      </c>
      <c r="O17" s="167" t="s">
        <v>249</v>
      </c>
      <c r="P17" s="167" t="n">
        <v>4.99</v>
      </c>
      <c r="Q17" s="167" t="n">
        <v>11.98</v>
      </c>
      <c r="R17" s="167" t="n">
        <v>0.7</v>
      </c>
      <c r="S17" s="167" t="n">
        <v>0.7</v>
      </c>
      <c r="T17" s="167" t="s">
        <v>261</v>
      </c>
      <c r="U17" s="167" t="s">
        <v>261</v>
      </c>
    </row>
    <row r="18" customFormat="false" ht="14.25" hidden="false" customHeight="true" outlineLevel="0" collapsed="false">
      <c r="A18" s="167" t="s">
        <v>243</v>
      </c>
      <c r="B18" s="167" t="s">
        <v>256</v>
      </c>
      <c r="C18" s="167" t="n">
        <v>-1</v>
      </c>
      <c r="D18" s="167" t="str">
        <f aca="false">A18&amp;" "&amp;B18&amp;" "&amp;C18</f>
        <v>1/2" Round NEO -1</v>
      </c>
      <c r="E18" s="167" t="n">
        <v>1</v>
      </c>
      <c r="F18" s="167" t="n">
        <v>1</v>
      </c>
      <c r="G18" s="167" t="n">
        <v>1</v>
      </c>
      <c r="H18" s="167" t="n">
        <v>1</v>
      </c>
      <c r="I18" s="167" t="n">
        <v>0</v>
      </c>
      <c r="O18" s="167" t="s">
        <v>89</v>
      </c>
      <c r="P18" s="167" t="n">
        <v>4.99</v>
      </c>
      <c r="Q18" s="167" t="n">
        <v>11.98</v>
      </c>
      <c r="R18" s="167" t="n">
        <v>0.7</v>
      </c>
      <c r="S18" s="167" t="n">
        <v>0.7</v>
      </c>
      <c r="T18" s="167" t="s">
        <v>261</v>
      </c>
      <c r="U18" s="167" t="s">
        <v>261</v>
      </c>
    </row>
    <row r="19" customFormat="false" ht="14.25" hidden="false" customHeight="true" outlineLevel="0" collapsed="false">
      <c r="A19" s="167" t="s">
        <v>243</v>
      </c>
      <c r="B19" s="167" t="s">
        <v>257</v>
      </c>
      <c r="C19" s="167" t="n">
        <v>-1</v>
      </c>
      <c r="D19" s="167" t="str">
        <f aca="false">A19&amp;" "&amp;B19&amp;" "&amp;C19</f>
        <v>1/2" Round Falcon 500 -1</v>
      </c>
      <c r="E19" s="167" t="n">
        <v>1</v>
      </c>
      <c r="F19" s="167" t="n">
        <v>1</v>
      </c>
      <c r="G19" s="167" t="n">
        <v>1</v>
      </c>
      <c r="H19" s="167" t="n">
        <v>1</v>
      </c>
      <c r="I19" s="167" t="n">
        <v>0</v>
      </c>
      <c r="O19" s="167" t="s">
        <v>41</v>
      </c>
      <c r="P19" s="167" t="n">
        <v>0</v>
      </c>
      <c r="Q19" s="167" t="n">
        <v>12.98</v>
      </c>
      <c r="R19" s="167" t="n">
        <v>0</v>
      </c>
      <c r="S19" s="167" t="n">
        <v>0</v>
      </c>
      <c r="U19" s="167" t="s">
        <v>259</v>
      </c>
    </row>
    <row r="20" customFormat="false" ht="14.25" hidden="false" customHeight="true" outlineLevel="0" collapsed="false">
      <c r="A20" s="167" t="s">
        <v>246</v>
      </c>
      <c r="B20" s="167" t="s">
        <v>236</v>
      </c>
      <c r="C20" s="167" t="n">
        <v>-1</v>
      </c>
      <c r="D20" s="167" t="str">
        <f aca="false">A20&amp;" "&amp;B20&amp;" "&amp;C20</f>
        <v>3/8" Hex AM 9015 -1</v>
      </c>
      <c r="E20" s="167" t="n">
        <v>1</v>
      </c>
      <c r="F20" s="167" t="n">
        <v>1</v>
      </c>
      <c r="G20" s="167" t="n">
        <v>1</v>
      </c>
      <c r="H20" s="167" t="n">
        <v>1</v>
      </c>
      <c r="I20" s="167" t="n">
        <v>1</v>
      </c>
      <c r="O20" s="167" t="s">
        <v>256</v>
      </c>
      <c r="P20" s="167" t="n">
        <v>4.99</v>
      </c>
      <c r="Q20" s="167" t="n">
        <v>11.98</v>
      </c>
      <c r="R20" s="167" t="n">
        <v>0.7</v>
      </c>
      <c r="S20" s="167" t="n">
        <v>0.7</v>
      </c>
      <c r="T20" s="167" t="s">
        <v>261</v>
      </c>
      <c r="U20" s="167" t="s">
        <v>261</v>
      </c>
    </row>
    <row r="21" customFormat="false" ht="14.25" hidden="false" customHeight="true" outlineLevel="0" collapsed="false">
      <c r="A21" s="167" t="s">
        <v>246</v>
      </c>
      <c r="B21" s="167" t="s">
        <v>237</v>
      </c>
      <c r="C21" s="167" t="n">
        <v>-1</v>
      </c>
      <c r="D21" s="167" t="str">
        <f aca="false">A21&amp;" "&amp;B21&amp;" "&amp;C21</f>
        <v>3/8" Hex BB RS-550 -1</v>
      </c>
      <c r="E21" s="167" t="n">
        <v>1</v>
      </c>
      <c r="F21" s="167" t="n">
        <v>1</v>
      </c>
      <c r="G21" s="167" t="n">
        <v>1</v>
      </c>
      <c r="H21" s="167" t="n">
        <v>1</v>
      </c>
      <c r="I21" s="167" t="n">
        <v>1</v>
      </c>
      <c r="O21" s="167" t="s">
        <v>257</v>
      </c>
      <c r="P21" s="167" t="n">
        <v>4.99</v>
      </c>
      <c r="Q21" s="167" t="n">
        <v>11.98</v>
      </c>
      <c r="R21" s="167" t="n">
        <v>0.7</v>
      </c>
      <c r="S21" s="167" t="n">
        <v>0.7</v>
      </c>
      <c r="T21" s="167" t="s">
        <v>261</v>
      </c>
      <c r="U21" s="167" t="s">
        <v>261</v>
      </c>
    </row>
    <row r="22" customFormat="false" ht="14.25" hidden="false" customHeight="true" outlineLevel="0" collapsed="false">
      <c r="A22" s="167" t="s">
        <v>246</v>
      </c>
      <c r="B22" s="167" t="s">
        <v>239</v>
      </c>
      <c r="C22" s="167" t="n">
        <v>-1</v>
      </c>
      <c r="D22" s="167" t="str">
        <f aca="false">A22&amp;" "&amp;B22&amp;" "&amp;C22</f>
        <v>3/8" Hex BB RS-775 -1</v>
      </c>
      <c r="E22" s="167" t="n">
        <v>1</v>
      </c>
      <c r="F22" s="167" t="n">
        <v>1</v>
      </c>
      <c r="G22" s="167" t="n">
        <v>1</v>
      </c>
      <c r="H22" s="167" t="n">
        <v>1</v>
      </c>
      <c r="I22" s="167" t="n">
        <v>1</v>
      </c>
    </row>
    <row r="23" customFormat="false" ht="14.25" hidden="false" customHeight="true" outlineLevel="0" collapsed="false">
      <c r="A23" s="167" t="s">
        <v>246</v>
      </c>
      <c r="B23" s="167" t="s">
        <v>242</v>
      </c>
      <c r="C23" s="167" t="n">
        <v>-1</v>
      </c>
      <c r="D23" s="167" t="str">
        <f aca="false">A23&amp;" "&amp;B23&amp;" "&amp;C23</f>
        <v>3/8" Hex BAG Motor -1</v>
      </c>
      <c r="E23" s="167" t="n">
        <v>1</v>
      </c>
      <c r="F23" s="167" t="n">
        <v>1</v>
      </c>
      <c r="G23" s="167" t="n">
        <v>1</v>
      </c>
      <c r="H23" s="167" t="n">
        <v>1</v>
      </c>
      <c r="I23" s="167" t="n">
        <v>1</v>
      </c>
    </row>
    <row r="24" customFormat="false" ht="14.25" hidden="false" customHeight="true" outlineLevel="0" collapsed="false">
      <c r="A24" s="167" t="s">
        <v>246</v>
      </c>
      <c r="B24" s="167" t="s">
        <v>41</v>
      </c>
      <c r="C24" s="167" t="n">
        <v>-1</v>
      </c>
      <c r="D24" s="167" t="str">
        <f aca="false">A24&amp;" "&amp;B24&amp;" "&amp;C24</f>
        <v>3/8" Hex 775pro -1</v>
      </c>
      <c r="E24" s="167" t="n">
        <v>1</v>
      </c>
      <c r="F24" s="167" t="n">
        <v>1</v>
      </c>
      <c r="G24" s="167" t="n">
        <v>1</v>
      </c>
      <c r="H24" s="167" t="n">
        <v>1</v>
      </c>
      <c r="I24" s="167" t="n">
        <v>1</v>
      </c>
      <c r="O24" s="167" t="s">
        <v>262</v>
      </c>
    </row>
    <row r="25" customFormat="false" ht="14.25" hidden="false" customHeight="true" outlineLevel="0" collapsed="false">
      <c r="A25" s="167" t="s">
        <v>246</v>
      </c>
      <c r="B25" s="167" t="s">
        <v>249</v>
      </c>
      <c r="C25" s="167" t="n">
        <v>-1</v>
      </c>
      <c r="D25" s="167" t="str">
        <f aca="false">A25&amp;" "&amp;B25&amp;" "&amp;C25</f>
        <v>3/8" Hex Mini CIM -1</v>
      </c>
      <c r="E25" s="167" t="n">
        <v>1</v>
      </c>
      <c r="F25" s="167" t="n">
        <v>1</v>
      </c>
      <c r="G25" s="167" t="n">
        <v>1</v>
      </c>
      <c r="H25" s="167" t="n">
        <v>1</v>
      </c>
      <c r="I25" s="167" t="n">
        <v>0</v>
      </c>
      <c r="O25" s="167" t="s">
        <v>263</v>
      </c>
      <c r="P25" s="167" t="n">
        <v>0</v>
      </c>
      <c r="Q25" s="167" t="n">
        <v>0</v>
      </c>
      <c r="R25" s="167" t="n">
        <v>0</v>
      </c>
      <c r="S25" s="167" t="n">
        <v>0</v>
      </c>
    </row>
    <row r="26" customFormat="false" ht="14.25" hidden="false" customHeight="true" outlineLevel="0" collapsed="false">
      <c r="A26" s="167" t="s">
        <v>246</v>
      </c>
      <c r="B26" s="167" t="s">
        <v>89</v>
      </c>
      <c r="C26" s="167" t="n">
        <v>-1</v>
      </c>
      <c r="D26" s="167" t="str">
        <f aca="false">A26&amp;" "&amp;B26&amp;" "&amp;C26</f>
        <v>3/8" Hex CIM -1</v>
      </c>
      <c r="E26" s="167" t="n">
        <v>1</v>
      </c>
      <c r="F26" s="167" t="n">
        <v>1</v>
      </c>
      <c r="G26" s="167" t="n">
        <v>1</v>
      </c>
      <c r="H26" s="167" t="n">
        <v>1</v>
      </c>
      <c r="I26" s="167" t="n">
        <v>0</v>
      </c>
      <c r="O26" s="167" t="s">
        <v>264</v>
      </c>
      <c r="P26" s="167" t="n">
        <v>24.98</v>
      </c>
      <c r="Q26" s="167" t="n">
        <v>16.98</v>
      </c>
      <c r="R26" s="167" t="n">
        <v>0.2</v>
      </c>
      <c r="S26" s="167" t="n">
        <v>0.18</v>
      </c>
      <c r="T26" s="167" t="s">
        <v>265</v>
      </c>
      <c r="U26" s="167" t="s">
        <v>266</v>
      </c>
    </row>
    <row r="27" customFormat="false" ht="14.25" hidden="false" customHeight="true" outlineLevel="0" collapsed="false">
      <c r="A27" s="167" t="s">
        <v>246</v>
      </c>
      <c r="B27" s="167" t="s">
        <v>256</v>
      </c>
      <c r="C27" s="167" t="n">
        <v>-1</v>
      </c>
      <c r="D27" s="167" t="str">
        <f aca="false">A27&amp;" "&amp;B27&amp;" "&amp;C27</f>
        <v>3/8" Hex NEO -1</v>
      </c>
      <c r="E27" s="167" t="n">
        <v>1</v>
      </c>
      <c r="F27" s="167" t="n">
        <v>1</v>
      </c>
      <c r="G27" s="167" t="n">
        <v>1</v>
      </c>
      <c r="H27" s="167" t="n">
        <v>1</v>
      </c>
      <c r="I27" s="167" t="n">
        <v>0</v>
      </c>
      <c r="O27" s="167" t="s">
        <v>267</v>
      </c>
      <c r="P27" s="167" t="n">
        <v>24.98</v>
      </c>
      <c r="Q27" s="167" t="n">
        <v>16.98</v>
      </c>
      <c r="R27" s="167" t="n">
        <v>0.2</v>
      </c>
      <c r="S27" s="167" t="n">
        <v>0.18</v>
      </c>
      <c r="T27" s="167" t="s">
        <v>268</v>
      </c>
      <c r="U27" s="167" t="s">
        <v>269</v>
      </c>
    </row>
    <row r="28" customFormat="false" ht="14.25" hidden="false" customHeight="true" outlineLevel="0" collapsed="false">
      <c r="A28" s="167" t="s">
        <v>246</v>
      </c>
      <c r="B28" s="167" t="s">
        <v>257</v>
      </c>
      <c r="C28" s="167" t="n">
        <v>-1</v>
      </c>
      <c r="D28" s="167" t="str">
        <f aca="false">A28&amp;" "&amp;B28&amp;" "&amp;C28</f>
        <v>3/8" Hex Falcon 500 -1</v>
      </c>
      <c r="E28" s="167" t="n">
        <v>1</v>
      </c>
      <c r="F28" s="167" t="n">
        <v>1</v>
      </c>
      <c r="G28" s="167" t="n">
        <v>1</v>
      </c>
      <c r="H28" s="167" t="n">
        <v>1</v>
      </c>
      <c r="I28" s="167" t="n">
        <v>0</v>
      </c>
      <c r="O28" s="167" t="s">
        <v>270</v>
      </c>
      <c r="P28" s="167" t="n">
        <v>24.98</v>
      </c>
      <c r="Q28" s="167" t="n">
        <v>16.98</v>
      </c>
      <c r="R28" s="167" t="n">
        <v>0.2</v>
      </c>
      <c r="S28" s="167" t="n">
        <v>0.18</v>
      </c>
      <c r="T28" s="167" t="s">
        <v>271</v>
      </c>
      <c r="U28" s="167" t="s">
        <v>272</v>
      </c>
    </row>
    <row r="29" customFormat="false" ht="14.25" hidden="false" customHeight="true" outlineLevel="0" collapsed="false">
      <c r="A29" s="167" t="s">
        <v>250</v>
      </c>
      <c r="B29" s="167" t="s">
        <v>236</v>
      </c>
      <c r="C29" s="167" t="n">
        <v>-1</v>
      </c>
      <c r="D29" s="167" t="str">
        <f aca="false">A29&amp;" "&amp;B29&amp;" "&amp;C29</f>
        <v>CIM Motor AM 9015 -1</v>
      </c>
      <c r="E29" s="167" t="n">
        <v>1</v>
      </c>
      <c r="F29" s="167" t="n">
        <v>1</v>
      </c>
      <c r="G29" s="167" t="n">
        <v>1</v>
      </c>
      <c r="H29" s="167" t="n">
        <v>1</v>
      </c>
      <c r="I29" s="167" t="n">
        <v>1</v>
      </c>
      <c r="O29" s="167" t="s">
        <v>273</v>
      </c>
      <c r="P29" s="167" t="n">
        <v>24.98</v>
      </c>
      <c r="Q29" s="167" t="n">
        <v>16.98</v>
      </c>
      <c r="R29" s="167" t="n">
        <v>0.2</v>
      </c>
      <c r="S29" s="167" t="n">
        <v>0.18</v>
      </c>
      <c r="T29" s="167" t="s">
        <v>274</v>
      </c>
      <c r="U29" s="167" t="s">
        <v>275</v>
      </c>
    </row>
    <row r="30" customFormat="false" ht="14.25" hidden="false" customHeight="true" outlineLevel="0" collapsed="false">
      <c r="A30" s="167" t="s">
        <v>250</v>
      </c>
      <c r="B30" s="167" t="s">
        <v>237</v>
      </c>
      <c r="C30" s="167" t="n">
        <v>-1</v>
      </c>
      <c r="D30" s="167" t="str">
        <f aca="false">A30&amp;" "&amp;B30&amp;" "&amp;C30</f>
        <v>CIM Motor BB RS-550 -1</v>
      </c>
      <c r="E30" s="167" t="n">
        <v>1</v>
      </c>
      <c r="F30" s="167" t="n">
        <v>1</v>
      </c>
      <c r="G30" s="167" t="n">
        <v>1</v>
      </c>
      <c r="H30" s="167" t="n">
        <v>1</v>
      </c>
      <c r="I30" s="167" t="n">
        <v>1</v>
      </c>
      <c r="O30" s="167" t="s">
        <v>276</v>
      </c>
      <c r="P30" s="167" t="n">
        <v>24.98</v>
      </c>
      <c r="Q30" s="167" t="n">
        <v>16.98</v>
      </c>
      <c r="R30" s="167" t="n">
        <v>0.2</v>
      </c>
      <c r="S30" s="167" t="n">
        <v>0.18</v>
      </c>
      <c r="T30" s="167" t="s">
        <v>277</v>
      </c>
      <c r="U30" s="167" t="s">
        <v>278</v>
      </c>
    </row>
    <row r="31" customFormat="false" ht="14.25" hidden="false" customHeight="true" outlineLevel="0" collapsed="false">
      <c r="A31" s="167" t="s">
        <v>250</v>
      </c>
      <c r="B31" s="167" t="s">
        <v>239</v>
      </c>
      <c r="C31" s="167" t="n">
        <v>-1</v>
      </c>
      <c r="D31" s="167" t="str">
        <f aca="false">A31&amp;" "&amp;B31&amp;" "&amp;C31</f>
        <v>CIM Motor BB RS-775 -1</v>
      </c>
      <c r="E31" s="167" t="n">
        <v>1</v>
      </c>
      <c r="F31" s="167" t="n">
        <v>1</v>
      </c>
      <c r="G31" s="167" t="n">
        <v>1</v>
      </c>
      <c r="H31" s="167" t="n">
        <v>1</v>
      </c>
      <c r="I31" s="167" t="n">
        <v>1</v>
      </c>
      <c r="O31" s="167" t="s">
        <v>279</v>
      </c>
      <c r="P31" s="167" t="n">
        <v>24.98</v>
      </c>
      <c r="Q31" s="167" t="n">
        <v>16.98</v>
      </c>
      <c r="R31" s="167" t="n">
        <v>0.2</v>
      </c>
      <c r="S31" s="167" t="n">
        <v>0.18</v>
      </c>
      <c r="T31" s="167" t="s">
        <v>280</v>
      </c>
      <c r="U31" s="167" t="s">
        <v>281</v>
      </c>
    </row>
    <row r="32" customFormat="false" ht="14.25" hidden="false" customHeight="true" outlineLevel="0" collapsed="false">
      <c r="A32" s="167" t="s">
        <v>250</v>
      </c>
      <c r="B32" s="167" t="s">
        <v>242</v>
      </c>
      <c r="C32" s="167" t="n">
        <v>-1</v>
      </c>
      <c r="D32" s="167" t="str">
        <f aca="false">A32&amp;" "&amp;B32&amp;" "&amp;C32</f>
        <v>CIM Motor BAG Motor -1</v>
      </c>
      <c r="E32" s="167" t="n">
        <v>1</v>
      </c>
      <c r="F32" s="167" t="n">
        <v>1</v>
      </c>
      <c r="G32" s="167" t="n">
        <v>1</v>
      </c>
      <c r="H32" s="167" t="n">
        <v>1</v>
      </c>
      <c r="I32" s="167" t="n">
        <v>1</v>
      </c>
    </row>
    <row r="33" customFormat="false" ht="14.25" hidden="false" customHeight="true" outlineLevel="0" collapsed="false">
      <c r="A33" s="167" t="s">
        <v>250</v>
      </c>
      <c r="B33" s="167" t="s">
        <v>41</v>
      </c>
      <c r="C33" s="167" t="n">
        <v>-1</v>
      </c>
      <c r="D33" s="167" t="str">
        <f aca="false">A33&amp;" "&amp;B33&amp;" "&amp;C33</f>
        <v>CIM Motor 775pro -1</v>
      </c>
      <c r="E33" s="167" t="n">
        <v>1</v>
      </c>
      <c r="F33" s="167" t="n">
        <v>1</v>
      </c>
      <c r="G33" s="167" t="n">
        <v>1</v>
      </c>
      <c r="H33" s="167" t="n">
        <v>1</v>
      </c>
      <c r="I33" s="167" t="n">
        <v>1</v>
      </c>
    </row>
    <row r="34" customFormat="false" ht="14.25" hidden="false" customHeight="true" outlineLevel="0" collapsed="false">
      <c r="A34" s="167" t="s">
        <v>250</v>
      </c>
      <c r="B34" s="167" t="s">
        <v>249</v>
      </c>
      <c r="C34" s="167" t="n">
        <v>-1</v>
      </c>
      <c r="D34" s="167" t="str">
        <f aca="false">A34&amp;" "&amp;B34&amp;" "&amp;C34</f>
        <v>CIM Motor Mini CIM -1</v>
      </c>
      <c r="E34" s="167" t="n">
        <v>1</v>
      </c>
      <c r="F34" s="167" t="n">
        <v>1</v>
      </c>
      <c r="G34" s="167" t="n">
        <v>1</v>
      </c>
      <c r="H34" s="167" t="n">
        <v>1</v>
      </c>
      <c r="I34" s="167" t="n">
        <v>0</v>
      </c>
      <c r="O34" s="167" t="s">
        <v>282</v>
      </c>
    </row>
    <row r="35" customFormat="false" ht="14.25" hidden="false" customHeight="true" outlineLevel="0" collapsed="false">
      <c r="A35" s="167" t="s">
        <v>250</v>
      </c>
      <c r="B35" s="167" t="s">
        <v>89</v>
      </c>
      <c r="C35" s="167" t="n">
        <v>-1</v>
      </c>
      <c r="D35" s="167" t="str">
        <f aca="false">A35&amp;" "&amp;B35&amp;" "&amp;C35</f>
        <v>CIM Motor CIM -1</v>
      </c>
      <c r="E35" s="167" t="n">
        <v>1</v>
      </c>
      <c r="F35" s="167" t="n">
        <v>1</v>
      </c>
      <c r="G35" s="167" t="n">
        <v>1</v>
      </c>
      <c r="H35" s="167" t="n">
        <v>1</v>
      </c>
      <c r="I35" s="167" t="n">
        <v>0</v>
      </c>
      <c r="O35" s="167" t="s">
        <v>263</v>
      </c>
      <c r="P35" s="167" t="n">
        <v>0</v>
      </c>
      <c r="R35" s="167" t="n">
        <v>0</v>
      </c>
    </row>
    <row r="36" customFormat="false" ht="14.25" hidden="false" customHeight="true" outlineLevel="0" collapsed="false">
      <c r="A36" s="167" t="s">
        <v>250</v>
      </c>
      <c r="B36" s="167" t="s">
        <v>256</v>
      </c>
      <c r="C36" s="167" t="n">
        <v>-1</v>
      </c>
      <c r="D36" s="167" t="str">
        <f aca="false">A36&amp;" "&amp;B36&amp;" "&amp;C36</f>
        <v>CIM Motor NEO -1</v>
      </c>
      <c r="E36" s="167" t="n">
        <v>1</v>
      </c>
      <c r="F36" s="167" t="n">
        <v>1</v>
      </c>
      <c r="G36" s="167" t="n">
        <v>1</v>
      </c>
      <c r="H36" s="167" t="n">
        <v>1</v>
      </c>
      <c r="I36" s="167" t="n">
        <v>0</v>
      </c>
      <c r="O36" s="167" t="s">
        <v>283</v>
      </c>
      <c r="P36" s="167" t="n">
        <v>41.97</v>
      </c>
      <c r="R36" s="167" t="n">
        <v>0.31</v>
      </c>
      <c r="T36" s="167" t="s">
        <v>284</v>
      </c>
      <c r="U36" s="167" t="s">
        <v>284</v>
      </c>
      <c r="V36" s="167" t="s">
        <v>284</v>
      </c>
    </row>
    <row r="37" customFormat="false" ht="14.25" hidden="false" customHeight="true" outlineLevel="0" collapsed="false">
      <c r="A37" s="167" t="s">
        <v>250</v>
      </c>
      <c r="B37" s="167" t="s">
        <v>257</v>
      </c>
      <c r="C37" s="167" t="n">
        <v>-1</v>
      </c>
      <c r="D37" s="167" t="str">
        <f aca="false">A37&amp;" "&amp;B37&amp;" "&amp;C37</f>
        <v>CIM Motor Falcon 500 -1</v>
      </c>
      <c r="E37" s="167" t="n">
        <v>1</v>
      </c>
      <c r="F37" s="167" t="n">
        <v>1</v>
      </c>
      <c r="G37" s="167" t="n">
        <v>1</v>
      </c>
      <c r="H37" s="167" t="n">
        <v>1</v>
      </c>
      <c r="I37" s="167" t="n">
        <v>0</v>
      </c>
      <c r="O37" s="167" t="s">
        <v>285</v>
      </c>
      <c r="P37" s="167" t="n">
        <v>42.97</v>
      </c>
      <c r="R37" s="167" t="n">
        <v>0.31</v>
      </c>
      <c r="T37" s="167" t="s">
        <v>286</v>
      </c>
      <c r="U37" s="167" t="s">
        <v>287</v>
      </c>
      <c r="V37" s="167" t="s">
        <v>288</v>
      </c>
    </row>
    <row r="38" customFormat="false" ht="14.25" hidden="false" customHeight="true" outlineLevel="0" collapsed="false">
      <c r="A38" s="167" t="s">
        <v>253</v>
      </c>
      <c r="B38" s="167" t="s">
        <v>236</v>
      </c>
      <c r="C38" s="167" t="n">
        <v>-1</v>
      </c>
      <c r="D38" s="167" t="str">
        <f aca="false">A38&amp;" "&amp;B38&amp;" "&amp;C38</f>
        <v>Female AM 9015 -1</v>
      </c>
      <c r="E38" s="167" t="n">
        <v>1</v>
      </c>
      <c r="F38" s="167" t="n">
        <v>1</v>
      </c>
      <c r="G38" s="167" t="n">
        <v>1</v>
      </c>
      <c r="H38" s="167" t="n">
        <v>1</v>
      </c>
      <c r="I38" s="167" t="n">
        <v>1</v>
      </c>
      <c r="O38" s="167" t="s">
        <v>289</v>
      </c>
      <c r="P38" s="167" t="n">
        <v>42.97</v>
      </c>
      <c r="R38" s="167" t="n">
        <v>0.31</v>
      </c>
      <c r="T38" s="167" t="s">
        <v>290</v>
      </c>
      <c r="U38" s="167" t="s">
        <v>291</v>
      </c>
      <c r="V38" s="167" t="s">
        <v>292</v>
      </c>
    </row>
    <row r="39" customFormat="false" ht="14.25" hidden="false" customHeight="true" outlineLevel="0" collapsed="false">
      <c r="A39" s="167" t="s">
        <v>253</v>
      </c>
      <c r="B39" s="167" t="s">
        <v>237</v>
      </c>
      <c r="C39" s="167" t="n">
        <v>-1</v>
      </c>
      <c r="D39" s="167" t="str">
        <f aca="false">A39&amp;" "&amp;B39&amp;" "&amp;C39</f>
        <v>Female BB RS-550 -1</v>
      </c>
      <c r="E39" s="167" t="n">
        <v>1</v>
      </c>
      <c r="F39" s="167" t="n">
        <v>1</v>
      </c>
      <c r="G39" s="167" t="n">
        <v>1</v>
      </c>
      <c r="H39" s="167" t="n">
        <v>1</v>
      </c>
      <c r="I39" s="167" t="n">
        <v>1</v>
      </c>
      <c r="O39" s="167" t="s">
        <v>293</v>
      </c>
      <c r="P39" s="167" t="n">
        <v>56.97</v>
      </c>
      <c r="R39" s="167" t="n">
        <v>0.34</v>
      </c>
      <c r="T39" s="167" t="s">
        <v>294</v>
      </c>
      <c r="U39" s="167" t="s">
        <v>294</v>
      </c>
      <c r="V39" s="167" t="s">
        <v>294</v>
      </c>
    </row>
    <row r="40" customFormat="false" ht="14.25" hidden="false" customHeight="true" outlineLevel="0" collapsed="false">
      <c r="A40" s="167" t="s">
        <v>253</v>
      </c>
      <c r="B40" s="167" t="s">
        <v>239</v>
      </c>
      <c r="C40" s="167" t="n">
        <v>-1</v>
      </c>
      <c r="D40" s="167" t="str">
        <f aca="false">A40&amp;" "&amp;B40&amp;" "&amp;C40</f>
        <v>Female BB RS-775 -1</v>
      </c>
      <c r="E40" s="167" t="n">
        <v>1</v>
      </c>
      <c r="F40" s="167" t="n">
        <v>1</v>
      </c>
      <c r="G40" s="167" t="n">
        <v>1</v>
      </c>
      <c r="H40" s="167" t="n">
        <v>1</v>
      </c>
      <c r="I40" s="167" t="n">
        <v>1</v>
      </c>
      <c r="O40" s="167" t="s">
        <v>295</v>
      </c>
      <c r="P40" s="167" t="n">
        <v>57.97</v>
      </c>
      <c r="R40" s="167" t="n">
        <v>0.34</v>
      </c>
      <c r="T40" s="167" t="s">
        <v>296</v>
      </c>
      <c r="U40" s="167" t="s">
        <v>297</v>
      </c>
      <c r="V40" s="167" t="s">
        <v>298</v>
      </c>
    </row>
    <row r="41" customFormat="false" ht="14.25" hidden="false" customHeight="true" outlineLevel="0" collapsed="false">
      <c r="A41" s="167" t="s">
        <v>253</v>
      </c>
      <c r="B41" s="167" t="s">
        <v>242</v>
      </c>
      <c r="C41" s="167" t="n">
        <v>-1</v>
      </c>
      <c r="D41" s="167" t="str">
        <f aca="false">A41&amp;" "&amp;B41&amp;" "&amp;C41</f>
        <v>Female BAG Motor -1</v>
      </c>
      <c r="E41" s="167" t="n">
        <v>1</v>
      </c>
      <c r="F41" s="167" t="n">
        <v>1</v>
      </c>
      <c r="G41" s="167" t="n">
        <v>1</v>
      </c>
      <c r="H41" s="167" t="n">
        <v>1</v>
      </c>
      <c r="I41" s="167" t="n">
        <v>1</v>
      </c>
      <c r="O41" s="167" t="s">
        <v>299</v>
      </c>
      <c r="P41" s="167" t="n">
        <v>57.97</v>
      </c>
      <c r="R41" s="167" t="n">
        <v>0.34</v>
      </c>
      <c r="T41" s="167" t="s">
        <v>300</v>
      </c>
      <c r="U41" s="167" t="s">
        <v>301</v>
      </c>
      <c r="V41" s="167" t="s">
        <v>302</v>
      </c>
    </row>
    <row r="42" customFormat="false" ht="14.25" hidden="false" customHeight="true" outlineLevel="0" collapsed="false">
      <c r="A42" s="167" t="s">
        <v>253</v>
      </c>
      <c r="B42" s="167" t="s">
        <v>41</v>
      </c>
      <c r="C42" s="167" t="n">
        <v>-1</v>
      </c>
      <c r="D42" s="167" t="str">
        <f aca="false">A42&amp;" "&amp;B42&amp;" "&amp;C42</f>
        <v>Female 775pro -1</v>
      </c>
      <c r="E42" s="167" t="n">
        <v>1</v>
      </c>
      <c r="F42" s="167" t="n">
        <v>1</v>
      </c>
      <c r="G42" s="167" t="n">
        <v>1</v>
      </c>
      <c r="H42" s="167" t="n">
        <v>1</v>
      </c>
      <c r="I42" s="167" t="n">
        <v>1</v>
      </c>
      <c r="O42" s="167" t="s">
        <v>282</v>
      </c>
      <c r="P42" s="167" t="n">
        <v>14.98</v>
      </c>
      <c r="R42" s="167" t="n">
        <v>0.2</v>
      </c>
      <c r="T42" s="167" t="s">
        <v>303</v>
      </c>
    </row>
    <row r="43" customFormat="false" ht="14.25" hidden="false" customHeight="true" outlineLevel="0" collapsed="false">
      <c r="A43" s="167" t="s">
        <v>253</v>
      </c>
      <c r="B43" s="167" t="s">
        <v>249</v>
      </c>
      <c r="C43" s="167" t="n">
        <v>-1</v>
      </c>
      <c r="D43" s="167" t="str">
        <f aca="false">A43&amp;" "&amp;B43&amp;" "&amp;C43</f>
        <v>Female Mini CIM -1</v>
      </c>
      <c r="E43" s="167" t="n">
        <v>1</v>
      </c>
      <c r="F43" s="167" t="n">
        <v>1</v>
      </c>
      <c r="G43" s="167" t="n">
        <v>1</v>
      </c>
      <c r="H43" s="167" t="n">
        <v>1</v>
      </c>
      <c r="I43" s="167" t="n">
        <v>0</v>
      </c>
    </row>
    <row r="44" customFormat="false" ht="14.25" hidden="false" customHeight="true" outlineLevel="0" collapsed="false">
      <c r="A44" s="167" t="s">
        <v>253</v>
      </c>
      <c r="B44" s="167" t="s">
        <v>89</v>
      </c>
      <c r="C44" s="167" t="n">
        <v>-1</v>
      </c>
      <c r="D44" s="167" t="str">
        <f aca="false">A44&amp;" "&amp;B44&amp;" "&amp;C44</f>
        <v>Female CIM -1</v>
      </c>
      <c r="E44" s="167" t="n">
        <v>1</v>
      </c>
      <c r="F44" s="167" t="n">
        <v>1</v>
      </c>
      <c r="G44" s="167" t="n">
        <v>1</v>
      </c>
      <c r="H44" s="167" t="n">
        <v>1</v>
      </c>
      <c r="I44" s="167" t="n">
        <v>0</v>
      </c>
    </row>
    <row r="45" customFormat="false" ht="14.25" hidden="false" customHeight="true" outlineLevel="0" collapsed="false">
      <c r="A45" s="167" t="s">
        <v>253</v>
      </c>
      <c r="B45" s="167" t="s">
        <v>256</v>
      </c>
      <c r="C45" s="167" t="n">
        <v>-1</v>
      </c>
      <c r="D45" s="167" t="str">
        <f aca="false">A45&amp;" "&amp;B45&amp;" "&amp;C45</f>
        <v>Female NEO -1</v>
      </c>
      <c r="E45" s="167" t="n">
        <v>1</v>
      </c>
      <c r="F45" s="167" t="n">
        <v>1</v>
      </c>
      <c r="G45" s="167" t="n">
        <v>1</v>
      </c>
      <c r="H45" s="167" t="n">
        <v>1</v>
      </c>
      <c r="I45" s="167" t="n">
        <v>0</v>
      </c>
      <c r="O45" s="167" t="s">
        <v>304</v>
      </c>
    </row>
    <row r="46" customFormat="false" ht="14.25" hidden="false" customHeight="true" outlineLevel="0" collapsed="false">
      <c r="A46" s="167" t="s">
        <v>253</v>
      </c>
      <c r="B46" s="167" t="s">
        <v>257</v>
      </c>
      <c r="C46" s="167" t="n">
        <v>-1</v>
      </c>
      <c r="D46" s="167" t="str">
        <f aca="false">A46&amp;" "&amp;B46&amp;" "&amp;C46</f>
        <v>Female Falcon 500 -1</v>
      </c>
      <c r="E46" s="167" t="n">
        <v>1</v>
      </c>
      <c r="F46" s="167" t="n">
        <v>1</v>
      </c>
      <c r="G46" s="167" t="n">
        <v>1</v>
      </c>
      <c r="H46" s="167" t="n">
        <v>1</v>
      </c>
      <c r="I46" s="167" t="n">
        <v>0</v>
      </c>
      <c r="O46" s="167" t="s">
        <v>79</v>
      </c>
      <c r="P46" s="167" t="n">
        <v>67.95</v>
      </c>
      <c r="R46" s="167" t="n">
        <v>0.28</v>
      </c>
      <c r="T46" s="167" t="s">
        <v>305</v>
      </c>
      <c r="U46" s="167" t="s">
        <v>306</v>
      </c>
      <c r="V46" s="167" t="s">
        <v>307</v>
      </c>
    </row>
    <row r="47" customFormat="false" ht="14.25" hidden="false" customHeight="true" outlineLevel="0" collapsed="false">
      <c r="A47" s="167" t="s">
        <v>156</v>
      </c>
      <c r="B47" s="167" t="s">
        <v>236</v>
      </c>
      <c r="C47" s="167" t="n">
        <v>-3</v>
      </c>
      <c r="D47" s="167" t="str">
        <f aca="false">A47&amp;" "&amp;B47&amp;" "&amp;C47</f>
        <v>1/2" Hex AM 9015 -3</v>
      </c>
      <c r="E47" s="167" t="n">
        <v>1</v>
      </c>
      <c r="I47" s="167" t="n">
        <v>1</v>
      </c>
      <c r="O47" s="167" t="s">
        <v>308</v>
      </c>
      <c r="P47" s="167" t="n">
        <v>0</v>
      </c>
      <c r="R47" s="167" t="n">
        <v>0</v>
      </c>
    </row>
    <row r="48" customFormat="false" ht="14.25" hidden="false" customHeight="true" outlineLevel="0" collapsed="false">
      <c r="A48" s="167" t="s">
        <v>156</v>
      </c>
      <c r="B48" s="167" t="s">
        <v>236</v>
      </c>
      <c r="C48" s="167" t="n">
        <v>-4</v>
      </c>
      <c r="D48" s="167" t="str">
        <f aca="false">A48&amp;" "&amp;B48&amp;" "&amp;C48</f>
        <v>1/2" Hex AM 9015 -4</v>
      </c>
      <c r="E48" s="167" t="n">
        <v>1</v>
      </c>
      <c r="I48" s="167" t="n">
        <v>1</v>
      </c>
    </row>
    <row r="49" customFormat="false" ht="14.25" hidden="false" customHeight="true" outlineLevel="0" collapsed="false">
      <c r="A49" s="167" t="s">
        <v>156</v>
      </c>
      <c r="B49" s="167" t="s">
        <v>236</v>
      </c>
      <c r="C49" s="167" t="n">
        <v>-5</v>
      </c>
      <c r="D49" s="167" t="str">
        <f aca="false">A49&amp;" "&amp;B49&amp;" "&amp;C49</f>
        <v>1/2" Hex AM 9015 -5</v>
      </c>
      <c r="E49" s="167" t="n">
        <v>1</v>
      </c>
      <c r="I49" s="167" t="n">
        <v>1</v>
      </c>
    </row>
    <row r="50" customFormat="false" ht="14.25" hidden="false" customHeight="true" outlineLevel="0" collapsed="false">
      <c r="A50" s="167" t="s">
        <v>156</v>
      </c>
      <c r="B50" s="167" t="s">
        <v>236</v>
      </c>
      <c r="C50" s="167" t="n">
        <v>-7</v>
      </c>
      <c r="D50" s="167" t="str">
        <f aca="false">A50&amp;" "&amp;B50&amp;" "&amp;C50</f>
        <v>1/2" Hex AM 9015 -7</v>
      </c>
      <c r="E50" s="167" t="n">
        <v>1</v>
      </c>
      <c r="I50" s="167" t="n">
        <v>1</v>
      </c>
      <c r="O50" s="167" t="s">
        <v>309</v>
      </c>
    </row>
    <row r="51" customFormat="false" ht="14.25" hidden="false" customHeight="true" outlineLevel="0" collapsed="false">
      <c r="A51" s="167" t="s">
        <v>156</v>
      </c>
      <c r="B51" s="167" t="s">
        <v>236</v>
      </c>
      <c r="C51" s="167" t="n">
        <v>-9</v>
      </c>
      <c r="D51" s="167" t="str">
        <f aca="false">A51&amp;" "&amp;B51&amp;" "&amp;C51</f>
        <v>1/2" Hex AM 9015 -9</v>
      </c>
      <c r="E51" s="167" t="n">
        <v>1</v>
      </c>
      <c r="I51" s="167" t="n">
        <v>1</v>
      </c>
      <c r="O51" s="167" t="s">
        <v>79</v>
      </c>
      <c r="P51" s="167" t="n">
        <v>84.99</v>
      </c>
      <c r="R51" s="167" t="n">
        <v>0.58</v>
      </c>
      <c r="T51" s="167" t="s">
        <v>310</v>
      </c>
    </row>
    <row r="52" customFormat="false" ht="14.25" hidden="false" customHeight="true" outlineLevel="0" collapsed="false">
      <c r="A52" s="167" t="s">
        <v>156</v>
      </c>
      <c r="B52" s="167" t="s">
        <v>236</v>
      </c>
      <c r="C52" s="167" t="n">
        <v>-10</v>
      </c>
      <c r="D52" s="167" t="str">
        <f aca="false">A52&amp;" "&amp;B52&amp;" "&amp;C52</f>
        <v>1/2" Hex AM 9015 -10</v>
      </c>
      <c r="E52" s="167" t="n">
        <v>1</v>
      </c>
      <c r="I52" s="167" t="n">
        <v>1</v>
      </c>
      <c r="O52" s="167" t="s">
        <v>308</v>
      </c>
      <c r="P52" s="167" t="n">
        <v>0</v>
      </c>
      <c r="R52" s="167" t="n">
        <v>0</v>
      </c>
    </row>
    <row r="53" customFormat="false" ht="14.25" hidden="false" customHeight="true" outlineLevel="0" collapsed="false">
      <c r="A53" s="167" t="s">
        <v>156</v>
      </c>
      <c r="B53" s="167" t="s">
        <v>236</v>
      </c>
      <c r="C53" s="167" t="n">
        <v>9</v>
      </c>
      <c r="D53" s="167" t="str">
        <f aca="false">A53&amp;" "&amp;B53&amp;" "&amp;C53</f>
        <v>1/2" Hex AM 9015 9</v>
      </c>
      <c r="E53" s="167" t="n">
        <v>10</v>
      </c>
      <c r="I53" s="167" t="n">
        <v>10</v>
      </c>
    </row>
    <row r="54" customFormat="false" ht="14.25" hidden="false" customHeight="true" outlineLevel="0" collapsed="false">
      <c r="A54" s="167" t="s">
        <v>156</v>
      </c>
      <c r="B54" s="167" t="s">
        <v>236</v>
      </c>
      <c r="C54" s="167" t="n">
        <v>12</v>
      </c>
      <c r="D54" s="167" t="str">
        <f aca="false">A54&amp;" "&amp;B54&amp;" "&amp;C54</f>
        <v>1/2" Hex AM 9015 12</v>
      </c>
      <c r="E54" s="167" t="n">
        <v>10</v>
      </c>
      <c r="I54" s="167" t="n">
        <v>7</v>
      </c>
    </row>
    <row r="55" customFormat="false" ht="14.25" hidden="false" customHeight="true" outlineLevel="0" collapsed="false">
      <c r="A55" s="167" t="s">
        <v>156</v>
      </c>
      <c r="B55" s="167" t="s">
        <v>236</v>
      </c>
      <c r="C55" s="167" t="n">
        <v>15</v>
      </c>
      <c r="D55" s="167" t="str">
        <f aca="false">A55&amp;" "&amp;B55&amp;" "&amp;C55</f>
        <v>1/2" Hex AM 9015 15</v>
      </c>
      <c r="E55" s="167" t="n">
        <v>10</v>
      </c>
      <c r="I55" s="167" t="n">
        <v>5</v>
      </c>
      <c r="O55" s="167" t="s">
        <v>311</v>
      </c>
    </row>
    <row r="56" customFormat="false" ht="14.25" hidden="false" customHeight="true" outlineLevel="0" collapsed="false">
      <c r="A56" s="167" t="s">
        <v>156</v>
      </c>
      <c r="B56" s="167" t="s">
        <v>236</v>
      </c>
      <c r="C56" s="167" t="n">
        <v>16</v>
      </c>
      <c r="D56" s="167" t="str">
        <f aca="false">A56&amp;" "&amp;B56&amp;" "&amp;C56</f>
        <v>1/2" Hex AM 9015 16</v>
      </c>
      <c r="E56" s="167" t="n">
        <v>10</v>
      </c>
      <c r="I56" s="167" t="n">
        <v>5</v>
      </c>
      <c r="O56" s="167" t="s">
        <v>79</v>
      </c>
      <c r="P56" s="167" t="n">
        <v>14.99</v>
      </c>
      <c r="R56" s="167" t="n">
        <v>0.14</v>
      </c>
      <c r="T56" s="167" t="s">
        <v>312</v>
      </c>
    </row>
    <row r="57" customFormat="false" ht="14.25" hidden="false" customHeight="true" outlineLevel="0" collapsed="false">
      <c r="A57" s="167" t="s">
        <v>156</v>
      </c>
      <c r="B57" s="167" t="s">
        <v>236</v>
      </c>
      <c r="C57" s="167" t="n">
        <v>20</v>
      </c>
      <c r="D57" s="167" t="str">
        <f aca="false">A57&amp;" "&amp;B57&amp;" "&amp;C57</f>
        <v>1/2" Hex AM 9015 20</v>
      </c>
      <c r="E57" s="167" t="n">
        <v>10</v>
      </c>
      <c r="I57" s="167" t="n">
        <v>4</v>
      </c>
      <c r="O57" s="167" t="s">
        <v>308</v>
      </c>
      <c r="P57" s="167" t="n">
        <v>0</v>
      </c>
      <c r="R57" s="167" t="n">
        <v>0</v>
      </c>
    </row>
    <row r="58" customFormat="false" ht="14.25" hidden="false" customHeight="true" outlineLevel="0" collapsed="false">
      <c r="A58" s="167" t="s">
        <v>156</v>
      </c>
      <c r="B58" s="167" t="s">
        <v>236</v>
      </c>
      <c r="C58" s="167" t="n">
        <v>21</v>
      </c>
      <c r="D58" s="167" t="str">
        <f aca="false">A58&amp;" "&amp;B58&amp;" "&amp;C58</f>
        <v>1/2" Hex AM 9015 21</v>
      </c>
      <c r="E58" s="167" t="n">
        <v>10</v>
      </c>
      <c r="I58" s="167" t="n">
        <v>4</v>
      </c>
    </row>
    <row r="59" customFormat="false" ht="14.25" hidden="false" customHeight="true" outlineLevel="0" collapsed="false">
      <c r="A59" s="167" t="s">
        <v>156</v>
      </c>
      <c r="B59" s="167" t="s">
        <v>236</v>
      </c>
      <c r="C59" s="167" t="n">
        <v>25</v>
      </c>
      <c r="D59" s="167" t="str">
        <f aca="false">A59&amp;" "&amp;B59&amp;" "&amp;C59</f>
        <v>1/2" Hex AM 9015 25</v>
      </c>
      <c r="E59" s="167" t="n">
        <v>7</v>
      </c>
      <c r="I59" s="167" t="n">
        <v>3</v>
      </c>
      <c r="O59" s="167" t="s">
        <v>313</v>
      </c>
    </row>
    <row r="60" customFormat="false" ht="14.25" hidden="false" customHeight="true" outlineLevel="0" collapsed="false">
      <c r="A60" s="167" t="s">
        <v>156</v>
      </c>
      <c r="B60" s="167" t="s">
        <v>236</v>
      </c>
      <c r="C60" s="167" t="n">
        <v>27</v>
      </c>
      <c r="D60" s="167" t="str">
        <f aca="false">A60&amp;" "&amp;B60&amp;" "&amp;C60</f>
        <v>1/2" Hex AM 9015 27</v>
      </c>
      <c r="E60" s="167" t="n">
        <v>7</v>
      </c>
      <c r="I60" s="167" t="n">
        <v>3</v>
      </c>
      <c r="O60" s="167" t="s">
        <v>79</v>
      </c>
      <c r="P60" s="167" t="n">
        <v>49.99</v>
      </c>
      <c r="R60" s="167" t="n">
        <v>0.08</v>
      </c>
      <c r="T60" s="167" t="s">
        <v>314</v>
      </c>
    </row>
    <row r="61" customFormat="false" ht="14.25" hidden="false" customHeight="true" outlineLevel="0" collapsed="false">
      <c r="A61" s="167" t="s">
        <v>156</v>
      </c>
      <c r="B61" s="167" t="s">
        <v>236</v>
      </c>
      <c r="C61" s="167" t="n">
        <v>28</v>
      </c>
      <c r="D61" s="167" t="str">
        <f aca="false">A61&amp;" "&amp;B61&amp;" "&amp;C61</f>
        <v>1/2" Hex AM 9015 28</v>
      </c>
      <c r="E61" s="167" t="n">
        <v>7</v>
      </c>
      <c r="I61" s="167" t="n">
        <v>3</v>
      </c>
      <c r="O61" s="167" t="s">
        <v>308</v>
      </c>
      <c r="P61" s="167" t="n">
        <v>0</v>
      </c>
      <c r="R61" s="167" t="n">
        <v>0</v>
      </c>
    </row>
    <row r="62" customFormat="false" ht="14.25" hidden="false" customHeight="true" outlineLevel="0" collapsed="false">
      <c r="A62" s="167" t="s">
        <v>156</v>
      </c>
      <c r="B62" s="167" t="s">
        <v>236</v>
      </c>
      <c r="C62" s="167" t="n">
        <v>30</v>
      </c>
      <c r="D62" s="167" t="str">
        <f aca="false">A62&amp;" "&amp;B62&amp;" "&amp;C62</f>
        <v>1/2" Hex AM 9015 30</v>
      </c>
      <c r="E62" s="167" t="n">
        <v>7</v>
      </c>
      <c r="I62" s="167" t="n">
        <v>3</v>
      </c>
    </row>
    <row r="63" customFormat="false" ht="14.25" hidden="false" customHeight="true" outlineLevel="0" collapsed="false">
      <c r="A63" s="167" t="s">
        <v>156</v>
      </c>
      <c r="B63" s="167" t="s">
        <v>236</v>
      </c>
      <c r="C63" s="167" t="n">
        <v>35</v>
      </c>
      <c r="D63" s="167" t="str">
        <f aca="false">A63&amp;" "&amp;B63&amp;" "&amp;C63</f>
        <v>1/2" Hex AM 9015 35</v>
      </c>
      <c r="E63" s="167" t="n">
        <v>5</v>
      </c>
      <c r="I63" s="167" t="n">
        <v>1</v>
      </c>
    </row>
    <row r="64" customFormat="false" ht="14.25" hidden="false" customHeight="true" outlineLevel="0" collapsed="false">
      <c r="A64" s="167" t="s">
        <v>156</v>
      </c>
      <c r="B64" s="167" t="s">
        <v>236</v>
      </c>
      <c r="C64" s="167" t="n">
        <v>36</v>
      </c>
      <c r="D64" s="167" t="str">
        <f aca="false">A64&amp;" "&amp;B64&amp;" "&amp;C64</f>
        <v>1/2" Hex AM 9015 36</v>
      </c>
      <c r="E64" s="167" t="n">
        <v>5</v>
      </c>
      <c r="I64" s="167" t="n">
        <v>1</v>
      </c>
    </row>
    <row r="65" customFormat="false" ht="14.25" hidden="false" customHeight="true" outlineLevel="0" collapsed="false">
      <c r="A65" s="167" t="s">
        <v>156</v>
      </c>
      <c r="B65" s="167" t="s">
        <v>236</v>
      </c>
      <c r="C65" s="167" t="n">
        <v>40</v>
      </c>
      <c r="D65" s="167" t="str">
        <f aca="false">A65&amp;" "&amp;B65&amp;" "&amp;C65</f>
        <v>1/2" Hex AM 9015 40</v>
      </c>
      <c r="E65" s="167" t="n">
        <v>5</v>
      </c>
      <c r="I65" s="167" t="n">
        <v>1</v>
      </c>
    </row>
    <row r="66" customFormat="false" ht="14.25" hidden="false" customHeight="true" outlineLevel="0" collapsed="false">
      <c r="A66" s="167" t="s">
        <v>156</v>
      </c>
      <c r="B66" s="167" t="s">
        <v>236</v>
      </c>
      <c r="C66" s="167" t="n">
        <v>45</v>
      </c>
      <c r="D66" s="167" t="str">
        <f aca="false">A66&amp;" "&amp;B66&amp;" "&amp;C66</f>
        <v>1/2" Hex AM 9015 45</v>
      </c>
      <c r="E66" s="167" t="n">
        <v>5</v>
      </c>
      <c r="I66" s="167" t="n">
        <v>1</v>
      </c>
    </row>
    <row r="67" customFormat="false" ht="14.25" hidden="false" customHeight="true" outlineLevel="0" collapsed="false">
      <c r="A67" s="167" t="s">
        <v>156</v>
      </c>
      <c r="B67" s="167" t="s">
        <v>236</v>
      </c>
      <c r="C67" s="167" t="n">
        <v>49</v>
      </c>
      <c r="D67" s="167" t="str">
        <f aca="false">A67&amp;" "&amp;B67&amp;" "&amp;C67</f>
        <v>1/2" Hex AM 9015 49</v>
      </c>
      <c r="E67" s="167" t="n">
        <v>5</v>
      </c>
      <c r="I67" s="167" t="n">
        <v>1</v>
      </c>
    </row>
    <row r="68" customFormat="false" ht="14.25" hidden="false" customHeight="true" outlineLevel="0" collapsed="false">
      <c r="A68" s="167" t="s">
        <v>156</v>
      </c>
      <c r="B68" s="167" t="s">
        <v>236</v>
      </c>
      <c r="C68" s="167" t="n">
        <v>50</v>
      </c>
      <c r="D68" s="167" t="str">
        <f aca="false">A68&amp;" "&amp;B68&amp;" "&amp;C68</f>
        <v>1/2" Hex AM 9015 50</v>
      </c>
      <c r="E68" s="167" t="n">
        <v>5</v>
      </c>
      <c r="I68" s="167" t="n">
        <v>1</v>
      </c>
    </row>
    <row r="69" customFormat="false" ht="14.25" hidden="false" customHeight="true" outlineLevel="0" collapsed="false">
      <c r="A69" s="167" t="s">
        <v>156</v>
      </c>
      <c r="B69" s="167" t="s">
        <v>236</v>
      </c>
      <c r="C69" s="167" t="n">
        <v>63</v>
      </c>
      <c r="D69" s="167" t="str">
        <f aca="false">A69&amp;" "&amp;B69&amp;" "&amp;C69</f>
        <v>1/2" Hex AM 9015 63</v>
      </c>
      <c r="E69" s="167" t="n">
        <v>5</v>
      </c>
      <c r="I69" s="167" t="n">
        <v>1</v>
      </c>
    </row>
    <row r="70" customFormat="false" ht="14.25" hidden="false" customHeight="true" outlineLevel="0" collapsed="false">
      <c r="A70" s="167" t="s">
        <v>156</v>
      </c>
      <c r="B70" s="167" t="s">
        <v>236</v>
      </c>
      <c r="C70" s="167" t="n">
        <v>70</v>
      </c>
      <c r="D70" s="167" t="str">
        <f aca="false">A70&amp;" "&amp;B70&amp;" "&amp;C70</f>
        <v>1/2" Hex AM 9015 70</v>
      </c>
      <c r="E70" s="167" t="n">
        <v>4</v>
      </c>
      <c r="I70" s="167" t="n">
        <v>1</v>
      </c>
    </row>
    <row r="71" customFormat="false" ht="14.25" hidden="false" customHeight="true" outlineLevel="0" collapsed="false">
      <c r="A71" s="167" t="s">
        <v>156</v>
      </c>
      <c r="B71" s="167" t="s">
        <v>236</v>
      </c>
      <c r="C71" s="167" t="n">
        <v>81</v>
      </c>
      <c r="D71" s="167" t="str">
        <f aca="false">A71&amp;" "&amp;B71&amp;" "&amp;C71</f>
        <v>1/2" Hex AM 9015 81</v>
      </c>
      <c r="E71" s="167" t="n">
        <v>4</v>
      </c>
      <c r="I71" s="167" t="n">
        <v>1</v>
      </c>
    </row>
    <row r="72" customFormat="false" ht="14.25" hidden="false" customHeight="true" outlineLevel="0" collapsed="false">
      <c r="A72" s="167" t="s">
        <v>156</v>
      </c>
      <c r="B72" s="167" t="s">
        <v>236</v>
      </c>
      <c r="C72" s="167" t="n">
        <v>90</v>
      </c>
      <c r="D72" s="167" t="str">
        <f aca="false">A72&amp;" "&amp;B72&amp;" "&amp;C72</f>
        <v>1/2" Hex AM 9015 90</v>
      </c>
      <c r="E72" s="167" t="n">
        <v>3</v>
      </c>
      <c r="I72" s="167" t="n">
        <v>1</v>
      </c>
    </row>
    <row r="73" customFormat="false" ht="14.25" hidden="false" customHeight="true" outlineLevel="0" collapsed="false">
      <c r="A73" s="167" t="s">
        <v>156</v>
      </c>
      <c r="B73" s="167" t="s">
        <v>236</v>
      </c>
      <c r="C73" s="167" t="n">
        <v>100</v>
      </c>
      <c r="D73" s="167" t="str">
        <f aca="false">A73&amp;" "&amp;B73&amp;" "&amp;C73</f>
        <v>1/2" Hex AM 9015 100</v>
      </c>
      <c r="E73" s="167" t="n">
        <v>3</v>
      </c>
      <c r="I73" s="167" t="n">
        <v>0</v>
      </c>
    </row>
    <row r="74" customFormat="false" ht="14.25" hidden="false" customHeight="true" outlineLevel="0" collapsed="false">
      <c r="A74" s="167" t="s">
        <v>156</v>
      </c>
      <c r="B74" s="167" t="s">
        <v>237</v>
      </c>
      <c r="C74" s="167" t="n">
        <v>-3</v>
      </c>
      <c r="D74" s="167" t="str">
        <f aca="false">A74&amp;" "&amp;B74&amp;" "&amp;C74</f>
        <v>1/2" Hex BB RS-550 -3</v>
      </c>
      <c r="E74" s="167" t="n">
        <v>1</v>
      </c>
      <c r="F74" s="167" t="n">
        <v>1</v>
      </c>
      <c r="G74" s="167" t="n">
        <v>1</v>
      </c>
      <c r="H74" s="167" t="n">
        <v>1</v>
      </c>
      <c r="I74" s="167" t="n">
        <v>1</v>
      </c>
    </row>
    <row r="75" customFormat="false" ht="14.25" hidden="false" customHeight="true" outlineLevel="0" collapsed="false">
      <c r="A75" s="167" t="s">
        <v>156</v>
      </c>
      <c r="B75" s="167" t="s">
        <v>237</v>
      </c>
      <c r="C75" s="167" t="n">
        <v>-4</v>
      </c>
      <c r="D75" s="167" t="str">
        <f aca="false">A75&amp;" "&amp;B75&amp;" "&amp;C75</f>
        <v>1/2" Hex BB RS-550 -4</v>
      </c>
      <c r="E75" s="167" t="n">
        <v>1</v>
      </c>
      <c r="F75" s="167" t="n">
        <v>1</v>
      </c>
      <c r="G75" s="167" t="n">
        <v>1</v>
      </c>
      <c r="H75" s="167" t="n">
        <v>1</v>
      </c>
      <c r="I75" s="167" t="n">
        <v>1</v>
      </c>
    </row>
    <row r="76" customFormat="false" ht="14.25" hidden="false" customHeight="true" outlineLevel="0" collapsed="false">
      <c r="A76" s="167" t="s">
        <v>156</v>
      </c>
      <c r="B76" s="167" t="s">
        <v>237</v>
      </c>
      <c r="C76" s="167" t="n">
        <v>-5</v>
      </c>
      <c r="D76" s="167" t="str">
        <f aca="false">A76&amp;" "&amp;B76&amp;" "&amp;C76</f>
        <v>1/2" Hex BB RS-550 -5</v>
      </c>
      <c r="E76" s="167" t="n">
        <v>1</v>
      </c>
      <c r="F76" s="167" t="n">
        <v>1</v>
      </c>
      <c r="G76" s="167" t="n">
        <v>1</v>
      </c>
      <c r="H76" s="167" t="n">
        <v>1</v>
      </c>
      <c r="I76" s="167" t="n">
        <v>1</v>
      </c>
    </row>
    <row r="77" customFormat="false" ht="14.25" hidden="false" customHeight="true" outlineLevel="0" collapsed="false">
      <c r="A77" s="167" t="s">
        <v>156</v>
      </c>
      <c r="B77" s="167" t="s">
        <v>237</v>
      </c>
      <c r="C77" s="167" t="n">
        <v>-7</v>
      </c>
      <c r="D77" s="167" t="str">
        <f aca="false">A77&amp;" "&amp;B77&amp;" "&amp;C77</f>
        <v>1/2" Hex BB RS-550 -7</v>
      </c>
      <c r="E77" s="167" t="n">
        <v>1</v>
      </c>
      <c r="F77" s="167" t="n">
        <v>1</v>
      </c>
      <c r="G77" s="167" t="n">
        <v>1</v>
      </c>
      <c r="H77" s="167" t="n">
        <v>0</v>
      </c>
      <c r="I77" s="167" t="n">
        <v>1</v>
      </c>
    </row>
    <row r="78" customFormat="false" ht="14.25" hidden="false" customHeight="true" outlineLevel="0" collapsed="false">
      <c r="A78" s="167" t="s">
        <v>156</v>
      </c>
      <c r="B78" s="167" t="s">
        <v>237</v>
      </c>
      <c r="C78" s="167" t="n">
        <v>-9</v>
      </c>
      <c r="D78" s="167" t="str">
        <f aca="false">A78&amp;" "&amp;B78&amp;" "&amp;C78</f>
        <v>1/2" Hex BB RS-550 -9</v>
      </c>
      <c r="E78" s="167" t="n">
        <v>1</v>
      </c>
      <c r="F78" s="167" t="n">
        <v>1</v>
      </c>
      <c r="G78" s="167" t="n">
        <v>0</v>
      </c>
      <c r="H78" s="167" t="n">
        <v>0</v>
      </c>
      <c r="I78" s="167" t="n">
        <v>1</v>
      </c>
    </row>
    <row r="79" customFormat="false" ht="14.25" hidden="false" customHeight="true" outlineLevel="0" collapsed="false">
      <c r="A79" s="167" t="s">
        <v>156</v>
      </c>
      <c r="B79" s="167" t="s">
        <v>237</v>
      </c>
      <c r="C79" s="167" t="n">
        <v>-10</v>
      </c>
      <c r="D79" s="167" t="str">
        <f aca="false">A79&amp;" "&amp;B79&amp;" "&amp;C79</f>
        <v>1/2" Hex BB RS-550 -10</v>
      </c>
      <c r="E79" s="167" t="n">
        <v>1</v>
      </c>
      <c r="F79" s="167" t="n">
        <v>1</v>
      </c>
      <c r="G79" s="167" t="n">
        <v>0</v>
      </c>
      <c r="H79" s="167" t="n">
        <v>0</v>
      </c>
      <c r="I79" s="167" t="n">
        <v>1</v>
      </c>
    </row>
    <row r="80" customFormat="false" ht="14.25" hidden="false" customHeight="true" outlineLevel="0" collapsed="false">
      <c r="A80" s="167" t="s">
        <v>156</v>
      </c>
      <c r="B80" s="167" t="s">
        <v>237</v>
      </c>
      <c r="C80" s="167" t="n">
        <v>9</v>
      </c>
      <c r="D80" s="167" t="str">
        <f aca="false">A80&amp;" "&amp;B80&amp;" "&amp;C80</f>
        <v>1/2" Hex BB RS-550 9</v>
      </c>
      <c r="E80" s="167" t="n">
        <v>10</v>
      </c>
      <c r="F80" s="167" t="n">
        <v>10</v>
      </c>
      <c r="G80" s="167" t="n">
        <v>1</v>
      </c>
      <c r="H80" s="167" t="n">
        <v>0</v>
      </c>
      <c r="I80" s="167" t="n">
        <v>10</v>
      </c>
    </row>
    <row r="81" customFormat="false" ht="14.25" hidden="false" customHeight="true" outlineLevel="0" collapsed="false">
      <c r="A81" s="167" t="s">
        <v>156</v>
      </c>
      <c r="B81" s="167" t="s">
        <v>237</v>
      </c>
      <c r="C81" s="167" t="n">
        <v>12</v>
      </c>
      <c r="D81" s="167" t="str">
        <f aca="false">A81&amp;" "&amp;B81&amp;" "&amp;C81</f>
        <v>1/2" Hex BB RS-550 12</v>
      </c>
      <c r="E81" s="167" t="n">
        <v>10</v>
      </c>
      <c r="F81" s="167" t="n">
        <v>7</v>
      </c>
      <c r="G81" s="167" t="n">
        <v>0</v>
      </c>
      <c r="H81" s="167" t="n">
        <v>0</v>
      </c>
      <c r="I81" s="167" t="n">
        <v>7</v>
      </c>
    </row>
    <row r="82" customFormat="false" ht="14.25" hidden="false" customHeight="true" outlineLevel="0" collapsed="false">
      <c r="A82" s="167" t="s">
        <v>156</v>
      </c>
      <c r="B82" s="167" t="s">
        <v>237</v>
      </c>
      <c r="C82" s="167" t="n">
        <v>15</v>
      </c>
      <c r="D82" s="167" t="str">
        <f aca="false">A82&amp;" "&amp;B82&amp;" "&amp;C82</f>
        <v>1/2" Hex BB RS-550 15</v>
      </c>
      <c r="E82" s="167" t="n">
        <v>10</v>
      </c>
      <c r="F82" s="167" t="n">
        <v>5</v>
      </c>
      <c r="G82" s="167" t="n">
        <v>0</v>
      </c>
      <c r="H82" s="167" t="n">
        <v>0</v>
      </c>
      <c r="I82" s="167" t="n">
        <v>5</v>
      </c>
    </row>
    <row r="83" customFormat="false" ht="14.25" hidden="false" customHeight="true" outlineLevel="0" collapsed="false">
      <c r="A83" s="167" t="s">
        <v>156</v>
      </c>
      <c r="B83" s="167" t="s">
        <v>237</v>
      </c>
      <c r="C83" s="167" t="n">
        <v>16</v>
      </c>
      <c r="D83" s="167" t="str">
        <f aca="false">A83&amp;" "&amp;B83&amp;" "&amp;C83</f>
        <v>1/2" Hex BB RS-550 16</v>
      </c>
      <c r="E83" s="167" t="n">
        <v>10</v>
      </c>
      <c r="F83" s="167" t="n">
        <v>5</v>
      </c>
      <c r="G83" s="167" t="n">
        <v>0</v>
      </c>
      <c r="H83" s="167" t="n">
        <v>0</v>
      </c>
      <c r="I83" s="167" t="n">
        <v>5</v>
      </c>
    </row>
    <row r="84" customFormat="false" ht="14.25" hidden="false" customHeight="true" outlineLevel="0" collapsed="false">
      <c r="A84" s="167" t="s">
        <v>156</v>
      </c>
      <c r="B84" s="167" t="s">
        <v>237</v>
      </c>
      <c r="C84" s="167" t="n">
        <v>20</v>
      </c>
      <c r="D84" s="167" t="str">
        <f aca="false">A84&amp;" "&amp;B84&amp;" "&amp;C84</f>
        <v>1/2" Hex BB RS-550 20</v>
      </c>
      <c r="E84" s="167" t="n">
        <v>9</v>
      </c>
      <c r="F84" s="167" t="n">
        <v>5</v>
      </c>
      <c r="G84" s="167" t="n">
        <v>0</v>
      </c>
      <c r="H84" s="167" t="n">
        <v>0</v>
      </c>
      <c r="I84" s="167" t="n">
        <v>4</v>
      </c>
    </row>
    <row r="85" customFormat="false" ht="14.25" hidden="false" customHeight="true" outlineLevel="0" collapsed="false">
      <c r="A85" s="167" t="s">
        <v>156</v>
      </c>
      <c r="B85" s="167" t="s">
        <v>237</v>
      </c>
      <c r="C85" s="167" t="n">
        <v>21</v>
      </c>
      <c r="D85" s="167" t="str">
        <f aca="false">A85&amp;" "&amp;B85&amp;" "&amp;C85</f>
        <v>1/2" Hex BB RS-550 21</v>
      </c>
      <c r="E85" s="167" t="n">
        <v>9</v>
      </c>
      <c r="F85" s="167" t="n">
        <v>5</v>
      </c>
      <c r="G85" s="167" t="n">
        <v>0</v>
      </c>
      <c r="H85" s="167" t="n">
        <v>0</v>
      </c>
      <c r="I85" s="167" t="n">
        <v>4</v>
      </c>
    </row>
    <row r="86" customFormat="false" ht="14.25" hidden="false" customHeight="true" outlineLevel="0" collapsed="false">
      <c r="A86" s="167" t="s">
        <v>156</v>
      </c>
      <c r="B86" s="167" t="s">
        <v>237</v>
      </c>
      <c r="C86" s="167" t="n">
        <v>25</v>
      </c>
      <c r="D86" s="167" t="str">
        <f aca="false">A86&amp;" "&amp;B86&amp;" "&amp;C86</f>
        <v>1/2" Hex BB RS-550 25</v>
      </c>
      <c r="E86" s="167" t="n">
        <v>7</v>
      </c>
      <c r="F86" s="167" t="n">
        <v>5</v>
      </c>
      <c r="G86" s="167" t="n">
        <v>0</v>
      </c>
      <c r="H86" s="167" t="n">
        <v>0</v>
      </c>
      <c r="I86" s="167" t="n">
        <v>3</v>
      </c>
    </row>
    <row r="87" customFormat="false" ht="14.25" hidden="false" customHeight="true" outlineLevel="0" collapsed="false">
      <c r="A87" s="167" t="s">
        <v>156</v>
      </c>
      <c r="B87" s="167" t="s">
        <v>237</v>
      </c>
      <c r="C87" s="167" t="n">
        <v>27</v>
      </c>
      <c r="D87" s="167" t="str">
        <f aca="false">A87&amp;" "&amp;B87&amp;" "&amp;C87</f>
        <v>1/2" Hex BB RS-550 27</v>
      </c>
      <c r="E87" s="167" t="n">
        <v>7</v>
      </c>
      <c r="F87" s="167" t="n">
        <v>5</v>
      </c>
      <c r="G87" s="167" t="n">
        <v>0</v>
      </c>
      <c r="H87" s="167" t="n">
        <v>0</v>
      </c>
      <c r="I87" s="167" t="n">
        <v>3</v>
      </c>
    </row>
    <row r="88" customFormat="false" ht="14.25" hidden="false" customHeight="true" outlineLevel="0" collapsed="false">
      <c r="A88" s="167" t="s">
        <v>156</v>
      </c>
      <c r="B88" s="167" t="s">
        <v>237</v>
      </c>
      <c r="C88" s="167" t="n">
        <v>28</v>
      </c>
      <c r="D88" s="167" t="str">
        <f aca="false">A88&amp;" "&amp;B88&amp;" "&amp;C88</f>
        <v>1/2" Hex BB RS-550 28</v>
      </c>
      <c r="E88" s="167" t="n">
        <v>7</v>
      </c>
      <c r="F88" s="167" t="n">
        <v>5</v>
      </c>
      <c r="G88" s="167" t="n">
        <v>0</v>
      </c>
      <c r="H88" s="167" t="n">
        <v>0</v>
      </c>
      <c r="I88" s="167" t="n">
        <v>3</v>
      </c>
    </row>
    <row r="89" customFormat="false" ht="14.25" hidden="false" customHeight="true" outlineLevel="0" collapsed="false">
      <c r="A89" s="167" t="s">
        <v>156</v>
      </c>
      <c r="B89" s="167" t="s">
        <v>237</v>
      </c>
      <c r="C89" s="167" t="n">
        <v>30</v>
      </c>
      <c r="D89" s="167" t="str">
        <f aca="false">A89&amp;" "&amp;B89&amp;" "&amp;C89</f>
        <v>1/2" Hex BB RS-550 30</v>
      </c>
      <c r="E89" s="167" t="n">
        <v>5</v>
      </c>
      <c r="F89" s="167" t="n">
        <v>5</v>
      </c>
      <c r="G89" s="167" t="n">
        <v>0</v>
      </c>
      <c r="H89" s="167" t="n">
        <v>0</v>
      </c>
      <c r="I89" s="167" t="n">
        <v>3</v>
      </c>
    </row>
    <row r="90" customFormat="false" ht="14.25" hidden="false" customHeight="true" outlineLevel="0" collapsed="false">
      <c r="A90" s="167" t="s">
        <v>156</v>
      </c>
      <c r="B90" s="167" t="s">
        <v>237</v>
      </c>
      <c r="C90" s="167" t="n">
        <v>35</v>
      </c>
      <c r="D90" s="167" t="str">
        <f aca="false">A90&amp;" "&amp;B90&amp;" "&amp;C90</f>
        <v>1/2" Hex BB RS-550 35</v>
      </c>
      <c r="E90" s="167" t="n">
        <v>5</v>
      </c>
      <c r="F90" s="167" t="n">
        <v>4</v>
      </c>
      <c r="G90" s="167" t="n">
        <v>0</v>
      </c>
      <c r="H90" s="167" t="n">
        <v>0</v>
      </c>
      <c r="I90" s="167" t="n">
        <v>1</v>
      </c>
    </row>
    <row r="91" customFormat="false" ht="14.25" hidden="false" customHeight="true" outlineLevel="0" collapsed="false">
      <c r="A91" s="167" t="s">
        <v>156</v>
      </c>
      <c r="B91" s="167" t="s">
        <v>237</v>
      </c>
      <c r="C91" s="167" t="n">
        <v>36</v>
      </c>
      <c r="D91" s="167" t="str">
        <f aca="false">A91&amp;" "&amp;B91&amp;" "&amp;C91</f>
        <v>1/2" Hex BB RS-550 36</v>
      </c>
      <c r="E91" s="167" t="n">
        <v>5</v>
      </c>
      <c r="F91" s="167" t="n">
        <v>4</v>
      </c>
      <c r="G91" s="167" t="n">
        <v>0</v>
      </c>
      <c r="H91" s="167" t="n">
        <v>0</v>
      </c>
      <c r="I91" s="167" t="n">
        <v>1</v>
      </c>
    </row>
    <row r="92" customFormat="false" ht="14.25" hidden="false" customHeight="true" outlineLevel="0" collapsed="false">
      <c r="A92" s="167" t="s">
        <v>156</v>
      </c>
      <c r="B92" s="167" t="s">
        <v>237</v>
      </c>
      <c r="C92" s="167" t="n">
        <v>40</v>
      </c>
      <c r="D92" s="167" t="str">
        <f aca="false">A92&amp;" "&amp;B92&amp;" "&amp;C92</f>
        <v>1/2" Hex BB RS-550 40</v>
      </c>
      <c r="E92" s="167" t="n">
        <v>5</v>
      </c>
      <c r="F92" s="167" t="n">
        <v>3</v>
      </c>
      <c r="G92" s="167" t="n">
        <v>0</v>
      </c>
      <c r="H92" s="167" t="n">
        <v>0</v>
      </c>
      <c r="I92" s="167" t="n">
        <v>5</v>
      </c>
    </row>
    <row r="93" customFormat="false" ht="14.25" hidden="false" customHeight="true" outlineLevel="0" collapsed="false">
      <c r="A93" s="167" t="s">
        <v>156</v>
      </c>
      <c r="B93" s="167" t="s">
        <v>237</v>
      </c>
      <c r="C93" s="167" t="n">
        <v>45</v>
      </c>
      <c r="D93" s="167" t="str">
        <f aca="false">A93&amp;" "&amp;B93&amp;" "&amp;C93</f>
        <v>1/2" Hex BB RS-550 45</v>
      </c>
      <c r="E93" s="167" t="n">
        <v>5</v>
      </c>
      <c r="F93" s="167" t="n">
        <v>3</v>
      </c>
      <c r="G93" s="167" t="n">
        <v>0</v>
      </c>
      <c r="H93" s="167" t="n">
        <v>0</v>
      </c>
      <c r="I93" s="167" t="n">
        <v>4</v>
      </c>
    </row>
    <row r="94" customFormat="false" ht="14.25" hidden="false" customHeight="true" outlineLevel="0" collapsed="false">
      <c r="A94" s="167" t="s">
        <v>156</v>
      </c>
      <c r="B94" s="167" t="s">
        <v>237</v>
      </c>
      <c r="C94" s="167" t="n">
        <v>49</v>
      </c>
      <c r="D94" s="167" t="str">
        <f aca="false">A94&amp;" "&amp;B94&amp;" "&amp;C94</f>
        <v>1/2" Hex BB RS-550 49</v>
      </c>
      <c r="E94" s="167" t="n">
        <v>5</v>
      </c>
      <c r="F94" s="167" t="n">
        <v>3</v>
      </c>
      <c r="G94" s="167" t="n">
        <v>0</v>
      </c>
      <c r="H94" s="167" t="n">
        <v>0</v>
      </c>
      <c r="I94" s="167" t="n">
        <v>4</v>
      </c>
    </row>
    <row r="95" customFormat="false" ht="14.25" hidden="false" customHeight="true" outlineLevel="0" collapsed="false">
      <c r="A95" s="167" t="s">
        <v>156</v>
      </c>
      <c r="B95" s="167" t="s">
        <v>237</v>
      </c>
      <c r="C95" s="167" t="n">
        <v>50</v>
      </c>
      <c r="D95" s="167" t="str">
        <f aca="false">A95&amp;" "&amp;B95&amp;" "&amp;C95</f>
        <v>1/2" Hex BB RS-550 50</v>
      </c>
      <c r="E95" s="167" t="n">
        <v>5</v>
      </c>
      <c r="F95" s="167" t="n">
        <v>3</v>
      </c>
      <c r="G95" s="167" t="n">
        <v>0</v>
      </c>
      <c r="H95" s="167" t="n">
        <v>0</v>
      </c>
      <c r="I95" s="167" t="n">
        <v>1</v>
      </c>
    </row>
    <row r="96" customFormat="false" ht="14.25" hidden="false" customHeight="true" outlineLevel="0" collapsed="false">
      <c r="A96" s="167" t="s">
        <v>156</v>
      </c>
      <c r="B96" s="167" t="s">
        <v>237</v>
      </c>
      <c r="C96" s="167" t="n">
        <v>63</v>
      </c>
      <c r="D96" s="167" t="str">
        <f aca="false">A96&amp;" "&amp;B96&amp;" "&amp;C96</f>
        <v>1/2" Hex BB RS-550 63</v>
      </c>
      <c r="E96" s="167" t="n">
        <v>4</v>
      </c>
      <c r="F96" s="167" t="n">
        <v>1</v>
      </c>
      <c r="G96" s="167" t="n">
        <v>0</v>
      </c>
      <c r="H96" s="167" t="n">
        <v>0</v>
      </c>
      <c r="I96" s="167" t="n">
        <v>1</v>
      </c>
    </row>
    <row r="97" customFormat="false" ht="14.25" hidden="false" customHeight="true" outlineLevel="0" collapsed="false">
      <c r="A97" s="167" t="s">
        <v>156</v>
      </c>
      <c r="B97" s="167" t="s">
        <v>237</v>
      </c>
      <c r="C97" s="167" t="n">
        <v>70</v>
      </c>
      <c r="D97" s="167" t="str">
        <f aca="false">A97&amp;" "&amp;B97&amp;" "&amp;C97</f>
        <v>1/2" Hex BB RS-550 70</v>
      </c>
      <c r="E97" s="167" t="n">
        <v>4</v>
      </c>
      <c r="F97" s="167" t="n">
        <v>1</v>
      </c>
      <c r="G97" s="167" t="n">
        <v>0</v>
      </c>
      <c r="H97" s="167" t="n">
        <v>0</v>
      </c>
      <c r="I97" s="167" t="n">
        <v>1</v>
      </c>
    </row>
    <row r="98" customFormat="false" ht="14.25" hidden="false" customHeight="true" outlineLevel="0" collapsed="false">
      <c r="A98" s="167" t="s">
        <v>156</v>
      </c>
      <c r="B98" s="167" t="s">
        <v>237</v>
      </c>
      <c r="C98" s="167" t="n">
        <v>81</v>
      </c>
      <c r="D98" s="167" t="str">
        <f aca="false">A98&amp;" "&amp;B98&amp;" "&amp;C98</f>
        <v>1/2" Hex BB RS-550 81</v>
      </c>
      <c r="E98" s="167" t="n">
        <v>3</v>
      </c>
      <c r="F98" s="167" t="n">
        <v>1</v>
      </c>
      <c r="G98" s="167" t="n">
        <v>0</v>
      </c>
      <c r="H98" s="167" t="n">
        <v>0</v>
      </c>
      <c r="I98" s="167" t="n">
        <v>1</v>
      </c>
    </row>
    <row r="99" customFormat="false" ht="14.25" hidden="false" customHeight="true" outlineLevel="0" collapsed="false">
      <c r="A99" s="167" t="s">
        <v>156</v>
      </c>
      <c r="B99" s="167" t="s">
        <v>237</v>
      </c>
      <c r="C99" s="167" t="n">
        <v>90</v>
      </c>
      <c r="D99" s="167" t="str">
        <f aca="false">A99&amp;" "&amp;B99&amp;" "&amp;C99</f>
        <v>1/2" Hex BB RS-550 90</v>
      </c>
      <c r="E99" s="167" t="n">
        <v>3</v>
      </c>
      <c r="F99" s="167" t="n">
        <v>1</v>
      </c>
      <c r="G99" s="167" t="n">
        <v>0</v>
      </c>
      <c r="H99" s="167" t="n">
        <v>0</v>
      </c>
      <c r="I99" s="167" t="n">
        <v>1</v>
      </c>
    </row>
    <row r="100" customFormat="false" ht="14.25" hidden="false" customHeight="true" outlineLevel="0" collapsed="false">
      <c r="A100" s="167" t="s">
        <v>156</v>
      </c>
      <c r="B100" s="167" t="s">
        <v>237</v>
      </c>
      <c r="C100" s="167" t="n">
        <v>100</v>
      </c>
      <c r="D100" s="167" t="str">
        <f aca="false">A100&amp;" "&amp;B100&amp;" "&amp;C100</f>
        <v>1/2" Hex BB RS-550 100</v>
      </c>
      <c r="E100" s="167" t="n">
        <v>3</v>
      </c>
      <c r="F100" s="167" t="n">
        <v>0</v>
      </c>
      <c r="G100" s="167" t="n">
        <v>0</v>
      </c>
      <c r="H100" s="167" t="n">
        <v>0</v>
      </c>
      <c r="I100" s="167" t="n">
        <v>0</v>
      </c>
    </row>
    <row r="101" customFormat="false" ht="14.25" hidden="false" customHeight="true" outlineLevel="0" collapsed="false">
      <c r="A101" s="167" t="s">
        <v>156</v>
      </c>
      <c r="B101" s="167" t="s">
        <v>239</v>
      </c>
      <c r="C101" s="167" t="n">
        <v>-3</v>
      </c>
      <c r="D101" s="167" t="str">
        <f aca="false">A101&amp;" "&amp;B101&amp;" "&amp;C101</f>
        <v>1/2" Hex BB RS-775 -3</v>
      </c>
      <c r="E101" s="167" t="n">
        <v>1</v>
      </c>
      <c r="F101" s="167" t="n">
        <v>1</v>
      </c>
      <c r="G101" s="167" t="n">
        <v>1</v>
      </c>
      <c r="H101" s="167" t="n">
        <v>0</v>
      </c>
      <c r="I101" s="167" t="n">
        <v>1</v>
      </c>
    </row>
    <row r="102" customFormat="false" ht="14.25" hidden="false" customHeight="true" outlineLevel="0" collapsed="false">
      <c r="A102" s="167" t="s">
        <v>156</v>
      </c>
      <c r="B102" s="167" t="s">
        <v>239</v>
      </c>
      <c r="C102" s="167" t="n">
        <v>-4</v>
      </c>
      <c r="D102" s="167" t="str">
        <f aca="false">A102&amp;" "&amp;B102&amp;" "&amp;C102</f>
        <v>1/2" Hex BB RS-775 -4</v>
      </c>
      <c r="E102" s="167" t="n">
        <v>1</v>
      </c>
      <c r="F102" s="167" t="n">
        <v>1</v>
      </c>
      <c r="G102" s="167" t="n">
        <v>1</v>
      </c>
      <c r="H102" s="167" t="n">
        <v>0</v>
      </c>
      <c r="I102" s="167" t="n">
        <v>1</v>
      </c>
    </row>
    <row r="103" customFormat="false" ht="14.25" hidden="false" customHeight="true" outlineLevel="0" collapsed="false">
      <c r="A103" s="167" t="s">
        <v>156</v>
      </c>
      <c r="B103" s="167" t="s">
        <v>239</v>
      </c>
      <c r="C103" s="167" t="n">
        <v>-5</v>
      </c>
      <c r="D103" s="167" t="str">
        <f aca="false">A103&amp;" "&amp;B103&amp;" "&amp;C103</f>
        <v>1/2" Hex BB RS-775 -5</v>
      </c>
      <c r="E103" s="167" t="n">
        <v>1</v>
      </c>
      <c r="F103" s="167" t="n">
        <v>1</v>
      </c>
      <c r="G103" s="167" t="n">
        <v>1</v>
      </c>
      <c r="H103" s="167" t="n">
        <v>0</v>
      </c>
      <c r="I103" s="167" t="n">
        <v>1</v>
      </c>
    </row>
    <row r="104" customFormat="false" ht="14.25" hidden="false" customHeight="true" outlineLevel="0" collapsed="false">
      <c r="A104" s="167" t="s">
        <v>156</v>
      </c>
      <c r="B104" s="167" t="s">
        <v>239</v>
      </c>
      <c r="C104" s="167" t="n">
        <v>-7</v>
      </c>
      <c r="D104" s="167" t="str">
        <f aca="false">A104&amp;" "&amp;B104&amp;" "&amp;C104</f>
        <v>1/2" Hex BB RS-775 -7</v>
      </c>
      <c r="E104" s="167" t="n">
        <v>1</v>
      </c>
      <c r="F104" s="167" t="n">
        <v>1</v>
      </c>
      <c r="G104" s="167" t="n">
        <v>0</v>
      </c>
      <c r="H104" s="167" t="n">
        <v>0</v>
      </c>
      <c r="I104" s="167" t="n">
        <v>1</v>
      </c>
    </row>
    <row r="105" customFormat="false" ht="14.25" hidden="false" customHeight="true" outlineLevel="0" collapsed="false">
      <c r="A105" s="167" t="s">
        <v>156</v>
      </c>
      <c r="B105" s="167" t="s">
        <v>239</v>
      </c>
      <c r="C105" s="167" t="n">
        <v>-9</v>
      </c>
      <c r="D105" s="167" t="str">
        <f aca="false">A105&amp;" "&amp;B105&amp;" "&amp;C105</f>
        <v>1/2" Hex BB RS-775 -9</v>
      </c>
      <c r="E105" s="167" t="n">
        <v>1</v>
      </c>
      <c r="F105" s="167" t="n">
        <v>1</v>
      </c>
      <c r="G105" s="167" t="n">
        <v>0</v>
      </c>
      <c r="H105" s="167" t="n">
        <v>0</v>
      </c>
      <c r="I105" s="167" t="n">
        <v>1</v>
      </c>
    </row>
    <row r="106" customFormat="false" ht="14.25" hidden="false" customHeight="true" outlineLevel="0" collapsed="false">
      <c r="A106" s="167" t="s">
        <v>156</v>
      </c>
      <c r="B106" s="167" t="s">
        <v>239</v>
      </c>
      <c r="C106" s="167" t="n">
        <v>-10</v>
      </c>
      <c r="D106" s="167" t="str">
        <f aca="false">A106&amp;" "&amp;B106&amp;" "&amp;C106</f>
        <v>1/2" Hex BB RS-775 -10</v>
      </c>
      <c r="E106" s="167" t="n">
        <v>1</v>
      </c>
      <c r="F106" s="167" t="n">
        <v>1</v>
      </c>
      <c r="G106" s="167" t="n">
        <v>0</v>
      </c>
      <c r="H106" s="167" t="n">
        <v>0</v>
      </c>
      <c r="I106" s="167" t="n">
        <v>1</v>
      </c>
    </row>
    <row r="107" customFormat="false" ht="14.25" hidden="false" customHeight="true" outlineLevel="0" collapsed="false">
      <c r="A107" s="167" t="s">
        <v>156</v>
      </c>
      <c r="B107" s="167" t="s">
        <v>239</v>
      </c>
      <c r="C107" s="167" t="n">
        <v>9</v>
      </c>
      <c r="D107" s="167" t="str">
        <f aca="false">A107&amp;" "&amp;B107&amp;" "&amp;C107</f>
        <v>1/2" Hex BB RS-775 9</v>
      </c>
      <c r="E107" s="167" t="n">
        <v>10</v>
      </c>
      <c r="F107" s="167" t="n">
        <v>5</v>
      </c>
      <c r="G107" s="167" t="n">
        <v>0</v>
      </c>
      <c r="H107" s="167" t="n">
        <v>0</v>
      </c>
      <c r="I107" s="167" t="n">
        <v>10</v>
      </c>
    </row>
    <row r="108" customFormat="false" ht="14.25" hidden="false" customHeight="true" outlineLevel="0" collapsed="false">
      <c r="A108" s="167" t="s">
        <v>156</v>
      </c>
      <c r="B108" s="167" t="s">
        <v>239</v>
      </c>
      <c r="C108" s="167" t="n">
        <v>12</v>
      </c>
      <c r="D108" s="167" t="str">
        <f aca="false">A108&amp;" "&amp;B108&amp;" "&amp;C108</f>
        <v>1/2" Hex BB RS-775 12</v>
      </c>
      <c r="E108" s="167" t="n">
        <v>10</v>
      </c>
      <c r="F108" s="167" t="n">
        <v>5</v>
      </c>
      <c r="G108" s="167" t="n">
        <v>0</v>
      </c>
      <c r="H108" s="167" t="n">
        <v>0</v>
      </c>
      <c r="I108" s="167" t="n">
        <v>10</v>
      </c>
    </row>
    <row r="109" customFormat="false" ht="14.25" hidden="false" customHeight="true" outlineLevel="0" collapsed="false">
      <c r="A109" s="167" t="s">
        <v>156</v>
      </c>
      <c r="B109" s="167" t="s">
        <v>239</v>
      </c>
      <c r="C109" s="167" t="n">
        <v>15</v>
      </c>
      <c r="D109" s="167" t="str">
        <f aca="false">A109&amp;" "&amp;B109&amp;" "&amp;C109</f>
        <v>1/2" Hex BB RS-775 15</v>
      </c>
      <c r="E109" s="167" t="n">
        <v>10</v>
      </c>
      <c r="F109" s="167" t="n">
        <v>5</v>
      </c>
      <c r="G109" s="167" t="n">
        <v>0</v>
      </c>
      <c r="H109" s="167" t="n">
        <v>0</v>
      </c>
      <c r="I109" s="167" t="n">
        <v>7</v>
      </c>
    </row>
    <row r="110" customFormat="false" ht="14.25" hidden="false" customHeight="true" outlineLevel="0" collapsed="false">
      <c r="A110" s="167" t="s">
        <v>156</v>
      </c>
      <c r="B110" s="167" t="s">
        <v>239</v>
      </c>
      <c r="C110" s="167" t="n">
        <v>16</v>
      </c>
      <c r="D110" s="167" t="str">
        <f aca="false">A110&amp;" "&amp;B110&amp;" "&amp;C110</f>
        <v>1/2" Hex BB RS-775 16</v>
      </c>
      <c r="E110" s="167" t="n">
        <v>10</v>
      </c>
      <c r="F110" s="167" t="n">
        <v>5</v>
      </c>
      <c r="G110" s="167" t="n">
        <v>0</v>
      </c>
      <c r="H110" s="167" t="n">
        <v>0</v>
      </c>
      <c r="I110" s="167" t="n">
        <v>7</v>
      </c>
    </row>
    <row r="111" customFormat="false" ht="14.25" hidden="false" customHeight="true" outlineLevel="0" collapsed="false">
      <c r="A111" s="167" t="s">
        <v>156</v>
      </c>
      <c r="B111" s="167" t="s">
        <v>239</v>
      </c>
      <c r="C111" s="167" t="n">
        <v>20</v>
      </c>
      <c r="D111" s="167" t="str">
        <f aca="false">A111&amp;" "&amp;B111&amp;" "&amp;C111</f>
        <v>1/2" Hex BB RS-775 20</v>
      </c>
      <c r="E111" s="167" t="n">
        <v>10</v>
      </c>
      <c r="F111" s="167" t="n">
        <v>4</v>
      </c>
      <c r="G111" s="167" t="n">
        <v>0</v>
      </c>
      <c r="H111" s="167" t="n">
        <v>0</v>
      </c>
      <c r="I111" s="167" t="n">
        <v>5</v>
      </c>
    </row>
    <row r="112" customFormat="false" ht="14.25" hidden="false" customHeight="true" outlineLevel="0" collapsed="false">
      <c r="A112" s="167" t="s">
        <v>156</v>
      </c>
      <c r="B112" s="167" t="s">
        <v>239</v>
      </c>
      <c r="C112" s="167" t="n">
        <v>21</v>
      </c>
      <c r="D112" s="167" t="str">
        <f aca="false">A112&amp;" "&amp;B112&amp;" "&amp;C112</f>
        <v>1/2" Hex BB RS-775 21</v>
      </c>
      <c r="E112" s="167" t="n">
        <v>10</v>
      </c>
      <c r="F112" s="167" t="n">
        <v>4</v>
      </c>
      <c r="G112" s="167" t="n">
        <v>0</v>
      </c>
      <c r="H112" s="167" t="n">
        <v>0</v>
      </c>
      <c r="I112" s="167" t="n">
        <v>5</v>
      </c>
    </row>
    <row r="113" customFormat="false" ht="14.25" hidden="false" customHeight="true" outlineLevel="0" collapsed="false">
      <c r="A113" s="167" t="s">
        <v>156</v>
      </c>
      <c r="B113" s="167" t="s">
        <v>239</v>
      </c>
      <c r="C113" s="167" t="n">
        <v>25</v>
      </c>
      <c r="D113" s="167" t="str">
        <f aca="false">A113&amp;" "&amp;B113&amp;" "&amp;C113</f>
        <v>1/2" Hex BB RS-775 25</v>
      </c>
      <c r="E113" s="167" t="n">
        <v>7</v>
      </c>
      <c r="F113" s="167" t="n">
        <v>3</v>
      </c>
      <c r="G113" s="167" t="n">
        <v>0</v>
      </c>
      <c r="H113" s="167" t="n">
        <v>0</v>
      </c>
      <c r="I113" s="167" t="n">
        <v>5</v>
      </c>
    </row>
    <row r="114" customFormat="false" ht="14.25" hidden="false" customHeight="true" outlineLevel="0" collapsed="false">
      <c r="A114" s="167" t="s">
        <v>156</v>
      </c>
      <c r="B114" s="167" t="s">
        <v>239</v>
      </c>
      <c r="C114" s="167" t="n">
        <v>27</v>
      </c>
      <c r="D114" s="167" t="str">
        <f aca="false">A114&amp;" "&amp;B114&amp;" "&amp;C114</f>
        <v>1/2" Hex BB RS-775 27</v>
      </c>
      <c r="E114" s="167" t="n">
        <v>7</v>
      </c>
      <c r="F114" s="167" t="n">
        <v>3</v>
      </c>
      <c r="G114" s="167" t="n">
        <v>0</v>
      </c>
      <c r="H114" s="167" t="n">
        <v>0</v>
      </c>
      <c r="I114" s="167" t="n">
        <v>4</v>
      </c>
    </row>
    <row r="115" customFormat="false" ht="14.25" hidden="false" customHeight="true" outlineLevel="0" collapsed="false">
      <c r="A115" s="167" t="s">
        <v>156</v>
      </c>
      <c r="B115" s="167" t="s">
        <v>239</v>
      </c>
      <c r="C115" s="167" t="n">
        <v>28</v>
      </c>
      <c r="D115" s="167" t="str">
        <f aca="false">A115&amp;" "&amp;B115&amp;" "&amp;C115</f>
        <v>1/2" Hex BB RS-775 28</v>
      </c>
      <c r="E115" s="167" t="n">
        <v>7</v>
      </c>
      <c r="F115" s="167" t="n">
        <v>3</v>
      </c>
      <c r="G115" s="167" t="n">
        <v>0</v>
      </c>
      <c r="H115" s="167" t="n">
        <v>0</v>
      </c>
      <c r="I115" s="167" t="n">
        <v>4</v>
      </c>
    </row>
    <row r="116" customFormat="false" ht="14.25" hidden="false" customHeight="true" outlineLevel="0" collapsed="false">
      <c r="A116" s="167" t="s">
        <v>156</v>
      </c>
      <c r="B116" s="167" t="s">
        <v>239</v>
      </c>
      <c r="C116" s="167" t="n">
        <v>30</v>
      </c>
      <c r="D116" s="167" t="str">
        <f aca="false">A116&amp;" "&amp;B116&amp;" "&amp;C116</f>
        <v>1/2" Hex BB RS-775 30</v>
      </c>
      <c r="E116" s="167" t="n">
        <v>7</v>
      </c>
      <c r="F116" s="167" t="n">
        <v>3</v>
      </c>
      <c r="G116" s="167" t="n">
        <v>0</v>
      </c>
      <c r="H116" s="167" t="n">
        <v>0</v>
      </c>
      <c r="I116" s="167" t="n">
        <v>4</v>
      </c>
    </row>
    <row r="117" customFormat="false" ht="14.25" hidden="false" customHeight="true" outlineLevel="0" collapsed="false">
      <c r="A117" s="167" t="s">
        <v>156</v>
      </c>
      <c r="B117" s="167" t="s">
        <v>239</v>
      </c>
      <c r="C117" s="167" t="n">
        <v>35</v>
      </c>
      <c r="D117" s="167" t="str">
        <f aca="false">A117&amp;" "&amp;B117&amp;" "&amp;C117</f>
        <v>1/2" Hex BB RS-775 35</v>
      </c>
      <c r="E117" s="167" t="n">
        <v>5</v>
      </c>
      <c r="F117" s="167" t="n">
        <v>1</v>
      </c>
      <c r="G117" s="167" t="n">
        <v>0</v>
      </c>
      <c r="H117" s="167" t="n">
        <v>0</v>
      </c>
      <c r="I117" s="167" t="n">
        <v>3</v>
      </c>
    </row>
    <row r="118" customFormat="false" ht="14.25" hidden="false" customHeight="true" outlineLevel="0" collapsed="false">
      <c r="A118" s="167" t="s">
        <v>156</v>
      </c>
      <c r="B118" s="167" t="s">
        <v>239</v>
      </c>
      <c r="C118" s="167" t="n">
        <v>36</v>
      </c>
      <c r="D118" s="167" t="str">
        <f aca="false">A118&amp;" "&amp;B118&amp;" "&amp;C118</f>
        <v>1/2" Hex BB RS-775 36</v>
      </c>
      <c r="E118" s="167" t="n">
        <v>5</v>
      </c>
      <c r="F118" s="167" t="n">
        <v>1</v>
      </c>
      <c r="G118" s="167" t="n">
        <v>0</v>
      </c>
      <c r="H118" s="167" t="n">
        <v>0</v>
      </c>
      <c r="I118" s="167" t="n">
        <v>3</v>
      </c>
    </row>
    <row r="119" customFormat="false" ht="14.25" hidden="false" customHeight="true" outlineLevel="0" collapsed="false">
      <c r="A119" s="167" t="s">
        <v>156</v>
      </c>
      <c r="B119" s="167" t="s">
        <v>239</v>
      </c>
      <c r="C119" s="167" t="n">
        <v>40</v>
      </c>
      <c r="D119" s="167" t="str">
        <f aca="false">A119&amp;" "&amp;B119&amp;" "&amp;C119</f>
        <v>1/2" Hex BB RS-775 40</v>
      </c>
      <c r="E119" s="167" t="n">
        <v>5</v>
      </c>
      <c r="F119" s="167" t="n">
        <v>1</v>
      </c>
      <c r="G119" s="167" t="n">
        <v>0</v>
      </c>
      <c r="H119" s="167" t="n">
        <v>0</v>
      </c>
      <c r="I119" s="167" t="n">
        <v>3</v>
      </c>
    </row>
    <row r="120" customFormat="false" ht="14.25" hidden="false" customHeight="true" outlineLevel="0" collapsed="false">
      <c r="A120" s="167" t="s">
        <v>156</v>
      </c>
      <c r="B120" s="167" t="s">
        <v>239</v>
      </c>
      <c r="C120" s="167" t="n">
        <v>45</v>
      </c>
      <c r="D120" s="167" t="str">
        <f aca="false">A120&amp;" "&amp;B120&amp;" "&amp;C120</f>
        <v>1/2" Hex BB RS-775 45</v>
      </c>
      <c r="E120" s="167" t="n">
        <v>5</v>
      </c>
      <c r="F120" s="167" t="n">
        <v>1</v>
      </c>
      <c r="G120" s="167" t="n">
        <v>0</v>
      </c>
      <c r="H120" s="167" t="n">
        <v>0</v>
      </c>
      <c r="I120" s="167" t="n">
        <v>1</v>
      </c>
    </row>
    <row r="121" customFormat="false" ht="14.25" hidden="false" customHeight="true" outlineLevel="0" collapsed="false">
      <c r="A121" s="167" t="s">
        <v>156</v>
      </c>
      <c r="B121" s="167" t="s">
        <v>239</v>
      </c>
      <c r="C121" s="167" t="n">
        <v>49</v>
      </c>
      <c r="D121" s="167" t="str">
        <f aca="false">A121&amp;" "&amp;B121&amp;" "&amp;C121</f>
        <v>1/2" Hex BB RS-775 49</v>
      </c>
      <c r="E121" s="167" t="n">
        <v>5</v>
      </c>
      <c r="F121" s="167" t="n">
        <v>1</v>
      </c>
      <c r="G121" s="167" t="n">
        <v>0</v>
      </c>
      <c r="H121" s="167" t="n">
        <v>0</v>
      </c>
      <c r="I121" s="167" t="n">
        <v>1</v>
      </c>
    </row>
    <row r="122" customFormat="false" ht="14.25" hidden="false" customHeight="true" outlineLevel="0" collapsed="false">
      <c r="A122" s="167" t="s">
        <v>156</v>
      </c>
      <c r="B122" s="167" t="s">
        <v>239</v>
      </c>
      <c r="C122" s="167" t="n">
        <v>50</v>
      </c>
      <c r="D122" s="167" t="str">
        <f aca="false">A122&amp;" "&amp;B122&amp;" "&amp;C122</f>
        <v>1/2" Hex BB RS-775 50</v>
      </c>
      <c r="E122" s="167" t="n">
        <v>5</v>
      </c>
      <c r="F122" s="167" t="n">
        <v>1</v>
      </c>
      <c r="G122" s="167" t="n">
        <v>0</v>
      </c>
      <c r="H122" s="167" t="n">
        <v>0</v>
      </c>
      <c r="I122" s="167" t="n">
        <v>1</v>
      </c>
    </row>
    <row r="123" customFormat="false" ht="14.25" hidden="false" customHeight="true" outlineLevel="0" collapsed="false">
      <c r="A123" s="167" t="s">
        <v>156</v>
      </c>
      <c r="B123" s="167" t="s">
        <v>239</v>
      </c>
      <c r="C123" s="167" t="n">
        <v>63</v>
      </c>
      <c r="D123" s="167" t="str">
        <f aca="false">A123&amp;" "&amp;B123&amp;" "&amp;C123</f>
        <v>1/2" Hex BB RS-775 63</v>
      </c>
      <c r="E123" s="167" t="n">
        <v>5</v>
      </c>
      <c r="F123" s="167" t="n">
        <v>0</v>
      </c>
      <c r="G123" s="167" t="n">
        <v>0</v>
      </c>
      <c r="H123" s="167" t="n">
        <v>0</v>
      </c>
      <c r="I123" s="167" t="n">
        <v>1</v>
      </c>
    </row>
    <row r="124" customFormat="false" ht="14.25" hidden="false" customHeight="true" outlineLevel="0" collapsed="false">
      <c r="A124" s="167" t="s">
        <v>156</v>
      </c>
      <c r="B124" s="167" t="s">
        <v>239</v>
      </c>
      <c r="C124" s="167" t="n">
        <v>70</v>
      </c>
      <c r="D124" s="167" t="str">
        <f aca="false">A124&amp;" "&amp;B124&amp;" "&amp;C124</f>
        <v>1/2" Hex BB RS-775 70</v>
      </c>
      <c r="E124" s="167" t="n">
        <v>4</v>
      </c>
      <c r="F124" s="167" t="n">
        <v>0</v>
      </c>
      <c r="G124" s="167" t="n">
        <v>0</v>
      </c>
      <c r="H124" s="167" t="n">
        <v>0</v>
      </c>
      <c r="I124" s="167" t="n">
        <v>1</v>
      </c>
    </row>
    <row r="125" customFormat="false" ht="14.25" hidden="false" customHeight="true" outlineLevel="0" collapsed="false">
      <c r="A125" s="167" t="s">
        <v>156</v>
      </c>
      <c r="B125" s="167" t="s">
        <v>239</v>
      </c>
      <c r="C125" s="167" t="n">
        <v>81</v>
      </c>
      <c r="D125" s="167" t="str">
        <f aca="false">A125&amp;" "&amp;B125&amp;" "&amp;C125</f>
        <v>1/2" Hex BB RS-775 81</v>
      </c>
      <c r="E125" s="167" t="n">
        <v>4</v>
      </c>
      <c r="F125" s="167" t="n">
        <v>0</v>
      </c>
      <c r="G125" s="167" t="n">
        <v>0</v>
      </c>
      <c r="H125" s="167" t="n">
        <v>0</v>
      </c>
      <c r="I125" s="167" t="n">
        <v>1</v>
      </c>
    </row>
    <row r="126" customFormat="false" ht="14.25" hidden="false" customHeight="true" outlineLevel="0" collapsed="false">
      <c r="A126" s="167" t="s">
        <v>156</v>
      </c>
      <c r="B126" s="167" t="s">
        <v>239</v>
      </c>
      <c r="C126" s="167" t="n">
        <v>90</v>
      </c>
      <c r="D126" s="167" t="str">
        <f aca="false">A126&amp;" "&amp;B126&amp;" "&amp;C126</f>
        <v>1/2" Hex BB RS-775 90</v>
      </c>
      <c r="E126" s="167" t="n">
        <v>3</v>
      </c>
      <c r="F126" s="167" t="n">
        <v>0</v>
      </c>
      <c r="G126" s="167" t="n">
        <v>0</v>
      </c>
      <c r="H126" s="167" t="n">
        <v>0</v>
      </c>
      <c r="I126" s="167" t="n">
        <v>1</v>
      </c>
    </row>
    <row r="127" customFormat="false" ht="14.25" hidden="false" customHeight="true" outlineLevel="0" collapsed="false">
      <c r="A127" s="167" t="s">
        <v>156</v>
      </c>
      <c r="B127" s="167" t="s">
        <v>239</v>
      </c>
      <c r="C127" s="167" t="n">
        <v>100</v>
      </c>
      <c r="D127" s="167" t="str">
        <f aca="false">A127&amp;" "&amp;B127&amp;" "&amp;C127</f>
        <v>1/2" Hex BB RS-775 100</v>
      </c>
      <c r="E127" s="167" t="n">
        <v>3</v>
      </c>
      <c r="F127" s="167" t="n">
        <v>0</v>
      </c>
      <c r="G127" s="167" t="n">
        <v>0</v>
      </c>
      <c r="H127" s="167" t="n">
        <v>0</v>
      </c>
      <c r="I127" s="167" t="n">
        <v>1</v>
      </c>
    </row>
    <row r="128" customFormat="false" ht="14.25" hidden="false" customHeight="true" outlineLevel="0" collapsed="false">
      <c r="A128" s="167" t="s">
        <v>156</v>
      </c>
      <c r="B128" s="167" t="s">
        <v>242</v>
      </c>
      <c r="C128" s="167" t="n">
        <v>-3</v>
      </c>
      <c r="D128" s="167" t="str">
        <f aca="false">A128&amp;" "&amp;B128&amp;" "&amp;C128</f>
        <v>1/2" Hex BAG Motor -3</v>
      </c>
      <c r="E128" s="167" t="n">
        <v>1</v>
      </c>
      <c r="F128" s="167" t="n">
        <v>1</v>
      </c>
      <c r="G128" s="167" t="n">
        <v>1</v>
      </c>
      <c r="H128" s="167" t="n">
        <v>0</v>
      </c>
      <c r="I128" s="167" t="n">
        <v>1</v>
      </c>
    </row>
    <row r="129" customFormat="false" ht="14.25" hidden="false" customHeight="true" outlineLevel="0" collapsed="false">
      <c r="A129" s="167" t="s">
        <v>156</v>
      </c>
      <c r="B129" s="167" t="s">
        <v>242</v>
      </c>
      <c r="C129" s="167" t="n">
        <v>-4</v>
      </c>
      <c r="D129" s="167" t="str">
        <f aca="false">A129&amp;" "&amp;B129&amp;" "&amp;C129</f>
        <v>1/2" Hex BAG Motor -4</v>
      </c>
      <c r="E129" s="167" t="n">
        <v>1</v>
      </c>
      <c r="F129" s="167" t="n">
        <v>1</v>
      </c>
      <c r="G129" s="167" t="n">
        <v>1</v>
      </c>
      <c r="H129" s="167" t="n">
        <v>0</v>
      </c>
      <c r="I129" s="167" t="n">
        <v>1</v>
      </c>
    </row>
    <row r="130" customFormat="false" ht="14.25" hidden="false" customHeight="true" outlineLevel="0" collapsed="false">
      <c r="A130" s="167" t="s">
        <v>156</v>
      </c>
      <c r="B130" s="167" t="s">
        <v>242</v>
      </c>
      <c r="C130" s="167" t="n">
        <v>-5</v>
      </c>
      <c r="D130" s="167" t="str">
        <f aca="false">A130&amp;" "&amp;B130&amp;" "&amp;C130</f>
        <v>1/2" Hex BAG Motor -5</v>
      </c>
      <c r="E130" s="167" t="n">
        <v>1</v>
      </c>
      <c r="F130" s="167" t="n">
        <v>1</v>
      </c>
      <c r="G130" s="167" t="n">
        <v>1</v>
      </c>
      <c r="H130" s="167" t="n">
        <v>0</v>
      </c>
      <c r="I130" s="167" t="n">
        <v>1</v>
      </c>
    </row>
    <row r="131" customFormat="false" ht="14.25" hidden="false" customHeight="true" outlineLevel="0" collapsed="false">
      <c r="A131" s="167" t="s">
        <v>156</v>
      </c>
      <c r="B131" s="167" t="s">
        <v>242</v>
      </c>
      <c r="C131" s="167" t="n">
        <v>-7</v>
      </c>
      <c r="D131" s="167" t="str">
        <f aca="false">A131&amp;" "&amp;B131&amp;" "&amp;C131</f>
        <v>1/2" Hex BAG Motor -7</v>
      </c>
      <c r="E131" s="167" t="n">
        <v>1</v>
      </c>
      <c r="F131" s="167" t="n">
        <v>1</v>
      </c>
      <c r="G131" s="167" t="n">
        <v>1</v>
      </c>
      <c r="H131" s="167" t="n">
        <v>0</v>
      </c>
      <c r="I131" s="167" t="n">
        <v>1</v>
      </c>
    </row>
    <row r="132" customFormat="false" ht="14.25" hidden="false" customHeight="true" outlineLevel="0" collapsed="false">
      <c r="A132" s="167" t="s">
        <v>156</v>
      </c>
      <c r="B132" s="167" t="s">
        <v>242</v>
      </c>
      <c r="C132" s="167" t="n">
        <v>-9</v>
      </c>
      <c r="D132" s="167" t="str">
        <f aca="false">A132&amp;" "&amp;B132&amp;" "&amp;C132</f>
        <v>1/2" Hex BAG Motor -9</v>
      </c>
      <c r="E132" s="167" t="n">
        <v>1</v>
      </c>
      <c r="F132" s="167" t="n">
        <v>1</v>
      </c>
      <c r="G132" s="167" t="n">
        <v>0</v>
      </c>
      <c r="H132" s="167" t="n">
        <v>0</v>
      </c>
      <c r="I132" s="167" t="n">
        <v>1</v>
      </c>
    </row>
    <row r="133" customFormat="false" ht="14.25" hidden="false" customHeight="true" outlineLevel="0" collapsed="false">
      <c r="A133" s="167" t="s">
        <v>156</v>
      </c>
      <c r="B133" s="167" t="s">
        <v>242</v>
      </c>
      <c r="C133" s="167" t="n">
        <v>-10</v>
      </c>
      <c r="D133" s="167" t="str">
        <f aca="false">A133&amp;" "&amp;B133&amp;" "&amp;C133</f>
        <v>1/2" Hex BAG Motor -10</v>
      </c>
      <c r="E133" s="167" t="n">
        <v>1</v>
      </c>
      <c r="F133" s="167" t="n">
        <v>1</v>
      </c>
      <c r="G133" s="167" t="n">
        <v>0</v>
      </c>
      <c r="H133" s="167" t="n">
        <v>0</v>
      </c>
      <c r="I133" s="167" t="n">
        <v>1</v>
      </c>
    </row>
    <row r="134" customFormat="false" ht="14.25" hidden="false" customHeight="true" outlineLevel="0" collapsed="false">
      <c r="A134" s="167" t="s">
        <v>156</v>
      </c>
      <c r="B134" s="167" t="s">
        <v>242</v>
      </c>
      <c r="C134" s="167" t="n">
        <v>9</v>
      </c>
      <c r="D134" s="167" t="str">
        <f aca="false">A134&amp;" "&amp;B134&amp;" "&amp;C134</f>
        <v>1/2" Hex BAG Motor 9</v>
      </c>
      <c r="E134" s="167" t="n">
        <v>10</v>
      </c>
      <c r="F134" s="167" t="n">
        <v>10</v>
      </c>
      <c r="G134" s="167" t="n">
        <v>1</v>
      </c>
      <c r="H134" s="167" t="n">
        <v>0</v>
      </c>
      <c r="I134" s="167" t="n">
        <v>9</v>
      </c>
    </row>
    <row r="135" customFormat="false" ht="14.25" hidden="false" customHeight="true" outlineLevel="0" collapsed="false">
      <c r="A135" s="167" t="s">
        <v>156</v>
      </c>
      <c r="B135" s="167" t="s">
        <v>242</v>
      </c>
      <c r="C135" s="167" t="n">
        <v>12</v>
      </c>
      <c r="D135" s="167" t="str">
        <f aca="false">A135&amp;" "&amp;B135&amp;" "&amp;C135</f>
        <v>1/2" Hex BAG Motor 12</v>
      </c>
      <c r="E135" s="167" t="n">
        <v>10</v>
      </c>
      <c r="F135" s="167" t="n">
        <v>9</v>
      </c>
      <c r="G135" s="167" t="n">
        <v>1</v>
      </c>
      <c r="H135" s="167" t="n">
        <v>0</v>
      </c>
      <c r="I135" s="167" t="n">
        <v>5</v>
      </c>
    </row>
    <row r="136" customFormat="false" ht="14.25" hidden="false" customHeight="true" outlineLevel="0" collapsed="false">
      <c r="A136" s="167" t="s">
        <v>156</v>
      </c>
      <c r="B136" s="167" t="s">
        <v>242</v>
      </c>
      <c r="C136" s="167" t="n">
        <v>15</v>
      </c>
      <c r="D136" s="167" t="str">
        <f aca="false">A136&amp;" "&amp;B136&amp;" "&amp;C136</f>
        <v>1/2" Hex BAG Motor 15</v>
      </c>
      <c r="E136" s="167" t="n">
        <v>10</v>
      </c>
      <c r="F136" s="167" t="n">
        <v>7</v>
      </c>
      <c r="G136" s="167" t="n">
        <v>0</v>
      </c>
      <c r="H136" s="167" t="n">
        <v>0</v>
      </c>
      <c r="I136" s="167" t="n">
        <v>5</v>
      </c>
    </row>
    <row r="137" customFormat="false" ht="14.25" hidden="false" customHeight="true" outlineLevel="0" collapsed="false">
      <c r="A137" s="167" t="s">
        <v>156</v>
      </c>
      <c r="B137" s="167" t="s">
        <v>242</v>
      </c>
      <c r="C137" s="167" t="n">
        <v>16</v>
      </c>
      <c r="D137" s="167" t="str">
        <f aca="false">A137&amp;" "&amp;B137&amp;" "&amp;C137</f>
        <v>1/2" Hex BAG Motor 16</v>
      </c>
      <c r="E137" s="167" t="n">
        <v>10</v>
      </c>
      <c r="F137" s="167" t="n">
        <v>5</v>
      </c>
      <c r="G137" s="167" t="n">
        <v>0</v>
      </c>
      <c r="H137" s="167" t="n">
        <v>0</v>
      </c>
      <c r="I137" s="167" t="n">
        <v>5</v>
      </c>
    </row>
    <row r="138" customFormat="false" ht="14.25" hidden="false" customHeight="true" outlineLevel="0" collapsed="false">
      <c r="A138" s="167" t="s">
        <v>156</v>
      </c>
      <c r="B138" s="167" t="s">
        <v>242</v>
      </c>
      <c r="C138" s="167" t="n">
        <v>20</v>
      </c>
      <c r="D138" s="167" t="str">
        <f aca="false">A138&amp;" "&amp;B138&amp;" "&amp;C138</f>
        <v>1/2" Hex BAG Motor 20</v>
      </c>
      <c r="E138" s="167" t="n">
        <v>9</v>
      </c>
      <c r="F138" s="167" t="n">
        <v>5</v>
      </c>
      <c r="G138" s="167" t="n">
        <v>0</v>
      </c>
      <c r="H138" s="167" t="n">
        <v>0</v>
      </c>
      <c r="I138" s="167" t="n">
        <v>4</v>
      </c>
    </row>
    <row r="139" customFormat="false" ht="14.25" hidden="false" customHeight="true" outlineLevel="0" collapsed="false">
      <c r="A139" s="167" t="s">
        <v>156</v>
      </c>
      <c r="B139" s="167" t="s">
        <v>242</v>
      </c>
      <c r="C139" s="167" t="n">
        <v>21</v>
      </c>
      <c r="D139" s="167" t="str">
        <f aca="false">A139&amp;" "&amp;B139&amp;" "&amp;C139</f>
        <v>1/2" Hex BAG Motor 21</v>
      </c>
      <c r="E139" s="167" t="n">
        <v>9</v>
      </c>
      <c r="F139" s="167" t="n">
        <v>5</v>
      </c>
      <c r="G139" s="167" t="n">
        <v>0</v>
      </c>
      <c r="H139" s="167" t="n">
        <v>0</v>
      </c>
      <c r="I139" s="167" t="n">
        <v>3</v>
      </c>
    </row>
    <row r="140" customFormat="false" ht="14.25" hidden="false" customHeight="true" outlineLevel="0" collapsed="false">
      <c r="A140" s="167" t="s">
        <v>156</v>
      </c>
      <c r="B140" s="167" t="s">
        <v>242</v>
      </c>
      <c r="C140" s="167" t="n">
        <v>25</v>
      </c>
      <c r="D140" s="167" t="str">
        <f aca="false">A140&amp;" "&amp;B140&amp;" "&amp;C140</f>
        <v>1/2" Hex BAG Motor 25</v>
      </c>
      <c r="E140" s="167" t="n">
        <v>7</v>
      </c>
      <c r="F140" s="167" t="n">
        <v>5</v>
      </c>
      <c r="G140" s="167" t="n">
        <v>0</v>
      </c>
      <c r="H140" s="167" t="n">
        <v>0</v>
      </c>
      <c r="I140" s="167" t="n">
        <v>3</v>
      </c>
    </row>
    <row r="141" customFormat="false" ht="14.25" hidden="false" customHeight="true" outlineLevel="0" collapsed="false">
      <c r="A141" s="167" t="s">
        <v>156</v>
      </c>
      <c r="B141" s="167" t="s">
        <v>242</v>
      </c>
      <c r="C141" s="167" t="n">
        <v>27</v>
      </c>
      <c r="D141" s="167" t="str">
        <f aca="false">A141&amp;" "&amp;B141&amp;" "&amp;C141</f>
        <v>1/2" Hex BAG Motor 27</v>
      </c>
      <c r="E141" s="167" t="n">
        <v>7</v>
      </c>
      <c r="F141" s="167" t="n">
        <v>5</v>
      </c>
      <c r="G141" s="167" t="n">
        <v>0</v>
      </c>
      <c r="H141" s="167" t="n">
        <v>0</v>
      </c>
      <c r="I141" s="167" t="n">
        <v>3</v>
      </c>
    </row>
    <row r="142" customFormat="false" ht="14.25" hidden="false" customHeight="true" outlineLevel="0" collapsed="false">
      <c r="A142" s="167" t="s">
        <v>156</v>
      </c>
      <c r="B142" s="167" t="s">
        <v>242</v>
      </c>
      <c r="C142" s="167" t="n">
        <v>28</v>
      </c>
      <c r="D142" s="167" t="str">
        <f aca="false">A142&amp;" "&amp;B142&amp;" "&amp;C142</f>
        <v>1/2" Hex BAG Motor 28</v>
      </c>
      <c r="E142" s="167" t="n">
        <v>7</v>
      </c>
      <c r="F142" s="167" t="n">
        <v>5</v>
      </c>
      <c r="G142" s="167" t="n">
        <v>0</v>
      </c>
      <c r="H142" s="167" t="n">
        <v>0</v>
      </c>
      <c r="I142" s="167" t="n">
        <v>1</v>
      </c>
    </row>
    <row r="143" customFormat="false" ht="14.25" hidden="false" customHeight="true" outlineLevel="0" collapsed="false">
      <c r="A143" s="167" t="s">
        <v>156</v>
      </c>
      <c r="B143" s="167" t="s">
        <v>242</v>
      </c>
      <c r="C143" s="167" t="n">
        <v>30</v>
      </c>
      <c r="D143" s="167" t="str">
        <f aca="false">A143&amp;" "&amp;B143&amp;" "&amp;C143</f>
        <v>1/2" Hex BAG Motor 30</v>
      </c>
      <c r="E143" s="167" t="n">
        <v>5</v>
      </c>
      <c r="F143" s="167" t="n">
        <v>5</v>
      </c>
      <c r="G143" s="167" t="n">
        <v>0</v>
      </c>
      <c r="H143" s="167" t="n">
        <v>0</v>
      </c>
      <c r="I143" s="167" t="n">
        <v>1</v>
      </c>
    </row>
    <row r="144" customFormat="false" ht="14.25" hidden="false" customHeight="true" outlineLevel="0" collapsed="false">
      <c r="A144" s="167" t="s">
        <v>156</v>
      </c>
      <c r="B144" s="167" t="s">
        <v>242</v>
      </c>
      <c r="C144" s="167" t="n">
        <v>35</v>
      </c>
      <c r="D144" s="167" t="str">
        <f aca="false">A144&amp;" "&amp;B144&amp;" "&amp;C144</f>
        <v>1/2" Hex BAG Motor 35</v>
      </c>
      <c r="E144" s="167" t="n">
        <v>5</v>
      </c>
      <c r="F144" s="167" t="n">
        <v>4</v>
      </c>
      <c r="G144" s="167" t="n">
        <v>0</v>
      </c>
      <c r="H144" s="167" t="n">
        <v>0</v>
      </c>
      <c r="I144" s="167" t="n">
        <v>1</v>
      </c>
    </row>
    <row r="145" customFormat="false" ht="14.25" hidden="false" customHeight="true" outlineLevel="0" collapsed="false">
      <c r="A145" s="167" t="s">
        <v>156</v>
      </c>
      <c r="B145" s="167" t="s">
        <v>242</v>
      </c>
      <c r="C145" s="167" t="n">
        <v>36</v>
      </c>
      <c r="D145" s="167" t="str">
        <f aca="false">A145&amp;" "&amp;B145&amp;" "&amp;C145</f>
        <v>1/2" Hex BAG Motor 36</v>
      </c>
      <c r="E145" s="167" t="n">
        <v>5</v>
      </c>
      <c r="F145" s="167" t="n">
        <v>4</v>
      </c>
      <c r="G145" s="167" t="n">
        <v>0</v>
      </c>
      <c r="H145" s="167" t="n">
        <v>0</v>
      </c>
      <c r="I145" s="167" t="n">
        <v>1</v>
      </c>
    </row>
    <row r="146" customFormat="false" ht="14.25" hidden="false" customHeight="true" outlineLevel="0" collapsed="false">
      <c r="A146" s="167" t="s">
        <v>156</v>
      </c>
      <c r="B146" s="167" t="s">
        <v>242</v>
      </c>
      <c r="C146" s="167" t="n">
        <v>40</v>
      </c>
      <c r="D146" s="167" t="str">
        <f aca="false">A146&amp;" "&amp;B146&amp;" "&amp;C146</f>
        <v>1/2" Hex BAG Motor 40</v>
      </c>
      <c r="E146" s="167" t="n">
        <v>5</v>
      </c>
      <c r="F146" s="167" t="n">
        <v>4</v>
      </c>
      <c r="G146" s="167" t="n">
        <v>0</v>
      </c>
      <c r="H146" s="167" t="n">
        <v>0</v>
      </c>
      <c r="I146" s="167" t="n">
        <v>1</v>
      </c>
    </row>
    <row r="147" customFormat="false" ht="14.25" hidden="false" customHeight="true" outlineLevel="0" collapsed="false">
      <c r="A147" s="167" t="s">
        <v>156</v>
      </c>
      <c r="B147" s="167" t="s">
        <v>242</v>
      </c>
      <c r="C147" s="167" t="n">
        <v>45</v>
      </c>
      <c r="D147" s="167" t="str">
        <f aca="false">A147&amp;" "&amp;B147&amp;" "&amp;C147</f>
        <v>1/2" Hex BAG Motor 45</v>
      </c>
      <c r="E147" s="167" t="n">
        <v>5</v>
      </c>
      <c r="F147" s="167" t="n">
        <v>3</v>
      </c>
      <c r="G147" s="167" t="n">
        <v>0</v>
      </c>
      <c r="H147" s="167" t="n">
        <v>0</v>
      </c>
      <c r="I147" s="167" t="n">
        <v>1</v>
      </c>
    </row>
    <row r="148" customFormat="false" ht="14.25" hidden="false" customHeight="true" outlineLevel="0" collapsed="false">
      <c r="A148" s="167" t="s">
        <v>156</v>
      </c>
      <c r="B148" s="167" t="s">
        <v>242</v>
      </c>
      <c r="C148" s="167" t="n">
        <v>49</v>
      </c>
      <c r="D148" s="167" t="str">
        <f aca="false">A148&amp;" "&amp;B148&amp;" "&amp;C148</f>
        <v>1/2" Hex BAG Motor 49</v>
      </c>
      <c r="E148" s="167" t="n">
        <v>5</v>
      </c>
      <c r="F148" s="167" t="n">
        <v>3</v>
      </c>
      <c r="G148" s="167" t="n">
        <v>0</v>
      </c>
      <c r="H148" s="167" t="n">
        <v>0</v>
      </c>
      <c r="I148" s="167" t="n">
        <v>1</v>
      </c>
    </row>
    <row r="149" customFormat="false" ht="14.25" hidden="false" customHeight="true" outlineLevel="0" collapsed="false">
      <c r="A149" s="167" t="s">
        <v>156</v>
      </c>
      <c r="B149" s="167" t="s">
        <v>242</v>
      </c>
      <c r="C149" s="167" t="n">
        <v>50</v>
      </c>
      <c r="D149" s="167" t="str">
        <f aca="false">A149&amp;" "&amp;B149&amp;" "&amp;C149</f>
        <v>1/2" Hex BAG Motor 50</v>
      </c>
      <c r="E149" s="167" t="n">
        <v>5</v>
      </c>
      <c r="F149" s="167" t="n">
        <v>3</v>
      </c>
      <c r="G149" s="167" t="n">
        <v>0</v>
      </c>
      <c r="H149" s="167" t="n">
        <v>0</v>
      </c>
      <c r="I149" s="167" t="n">
        <v>1</v>
      </c>
    </row>
    <row r="150" customFormat="false" ht="14.25" hidden="false" customHeight="true" outlineLevel="0" collapsed="false">
      <c r="A150" s="167" t="s">
        <v>156</v>
      </c>
      <c r="B150" s="167" t="s">
        <v>242</v>
      </c>
      <c r="C150" s="167" t="n">
        <v>63</v>
      </c>
      <c r="D150" s="167" t="str">
        <f aca="false">A150&amp;" "&amp;B150&amp;" "&amp;C150</f>
        <v>1/2" Hex BAG Motor 63</v>
      </c>
      <c r="E150" s="167" t="n">
        <v>4</v>
      </c>
      <c r="F150" s="167" t="n">
        <v>1</v>
      </c>
      <c r="G150" s="167" t="n">
        <v>0</v>
      </c>
      <c r="H150" s="167" t="n">
        <v>0</v>
      </c>
      <c r="I150" s="167" t="n">
        <v>1</v>
      </c>
    </row>
    <row r="151" customFormat="false" ht="14.25" hidden="false" customHeight="true" outlineLevel="0" collapsed="false">
      <c r="A151" s="167" t="s">
        <v>156</v>
      </c>
      <c r="B151" s="167" t="s">
        <v>242</v>
      </c>
      <c r="C151" s="167" t="n">
        <v>70</v>
      </c>
      <c r="D151" s="167" t="str">
        <f aca="false">A151&amp;" "&amp;B151&amp;" "&amp;C151</f>
        <v>1/2" Hex BAG Motor 70</v>
      </c>
      <c r="E151" s="167" t="n">
        <v>4</v>
      </c>
      <c r="F151" s="167" t="n">
        <v>1</v>
      </c>
      <c r="G151" s="167" t="n">
        <v>0</v>
      </c>
      <c r="H151" s="167" t="n">
        <v>0</v>
      </c>
      <c r="I151" s="167" t="n">
        <v>1</v>
      </c>
    </row>
    <row r="152" customFormat="false" ht="14.25" hidden="false" customHeight="true" outlineLevel="0" collapsed="false">
      <c r="A152" s="167" t="s">
        <v>156</v>
      </c>
      <c r="B152" s="167" t="s">
        <v>242</v>
      </c>
      <c r="C152" s="167" t="n">
        <v>81</v>
      </c>
      <c r="D152" s="167" t="str">
        <f aca="false">A152&amp;" "&amp;B152&amp;" "&amp;C152</f>
        <v>1/2" Hex BAG Motor 81</v>
      </c>
      <c r="E152" s="167" t="n">
        <v>3</v>
      </c>
      <c r="F152" s="167" t="n">
        <v>1</v>
      </c>
      <c r="G152" s="167" t="n">
        <v>0</v>
      </c>
      <c r="H152" s="167" t="n">
        <v>0</v>
      </c>
      <c r="I152" s="167" t="n">
        <v>1</v>
      </c>
    </row>
    <row r="153" customFormat="false" ht="14.25" hidden="false" customHeight="true" outlineLevel="0" collapsed="false">
      <c r="A153" s="167" t="s">
        <v>156</v>
      </c>
      <c r="B153" s="167" t="s">
        <v>242</v>
      </c>
      <c r="C153" s="167" t="n">
        <v>90</v>
      </c>
      <c r="D153" s="167" t="str">
        <f aca="false">A153&amp;" "&amp;B153&amp;" "&amp;C153</f>
        <v>1/2" Hex BAG Motor 90</v>
      </c>
      <c r="E153" s="167" t="n">
        <v>3</v>
      </c>
      <c r="F153" s="167" t="n">
        <v>1</v>
      </c>
      <c r="G153" s="167" t="n">
        <v>0</v>
      </c>
      <c r="H153" s="167" t="n">
        <v>0</v>
      </c>
      <c r="I153" s="167" t="n">
        <v>0</v>
      </c>
    </row>
    <row r="154" customFormat="false" ht="14.25" hidden="false" customHeight="true" outlineLevel="0" collapsed="false">
      <c r="A154" s="167" t="s">
        <v>156</v>
      </c>
      <c r="B154" s="167" t="s">
        <v>242</v>
      </c>
      <c r="C154" s="167" t="n">
        <v>100</v>
      </c>
      <c r="D154" s="167" t="str">
        <f aca="false">A154&amp;" "&amp;B154&amp;" "&amp;C154</f>
        <v>1/2" Hex BAG Motor 100</v>
      </c>
      <c r="E154" s="167" t="n">
        <v>3</v>
      </c>
      <c r="F154" s="167" t="n">
        <v>1</v>
      </c>
      <c r="G154" s="167" t="n">
        <v>0</v>
      </c>
      <c r="H154" s="167" t="n">
        <v>0</v>
      </c>
      <c r="I154" s="167" t="n">
        <v>0</v>
      </c>
    </row>
    <row r="155" customFormat="false" ht="14.25" hidden="false" customHeight="true" outlineLevel="0" collapsed="false">
      <c r="A155" s="167" t="s">
        <v>156</v>
      </c>
      <c r="B155" s="167" t="s">
        <v>41</v>
      </c>
      <c r="C155" s="167" t="n">
        <v>-3</v>
      </c>
      <c r="D155" s="167" t="str">
        <f aca="false">A155&amp;" "&amp;B155&amp;" "&amp;C155</f>
        <v>1/2" Hex 775pro -3</v>
      </c>
      <c r="E155" s="167" t="n">
        <v>1</v>
      </c>
      <c r="F155" s="167" t="n">
        <v>1</v>
      </c>
      <c r="G155" s="167" t="n">
        <v>1</v>
      </c>
      <c r="H155" s="167" t="n">
        <v>0</v>
      </c>
      <c r="I155" s="167" t="n">
        <v>1</v>
      </c>
    </row>
    <row r="156" customFormat="false" ht="14.25" hidden="false" customHeight="true" outlineLevel="0" collapsed="false">
      <c r="A156" s="167" t="s">
        <v>156</v>
      </c>
      <c r="B156" s="167" t="s">
        <v>41</v>
      </c>
      <c r="C156" s="167" t="n">
        <v>-4</v>
      </c>
      <c r="D156" s="167" t="str">
        <f aca="false">A156&amp;" "&amp;B156&amp;" "&amp;C156</f>
        <v>1/2" Hex 775pro -4</v>
      </c>
      <c r="E156" s="167" t="n">
        <v>1</v>
      </c>
      <c r="F156" s="167" t="n">
        <v>1</v>
      </c>
      <c r="G156" s="167" t="n">
        <v>1</v>
      </c>
      <c r="H156" s="167" t="n">
        <v>0</v>
      </c>
      <c r="I156" s="167" t="n">
        <v>1</v>
      </c>
    </row>
    <row r="157" customFormat="false" ht="14.25" hidden="false" customHeight="true" outlineLevel="0" collapsed="false">
      <c r="A157" s="167" t="s">
        <v>156</v>
      </c>
      <c r="B157" s="167" t="s">
        <v>41</v>
      </c>
      <c r="C157" s="167" t="n">
        <v>-5</v>
      </c>
      <c r="D157" s="167" t="str">
        <f aca="false">A157&amp;" "&amp;B157&amp;" "&amp;C157</f>
        <v>1/2" Hex 775pro -5</v>
      </c>
      <c r="E157" s="167" t="n">
        <v>1</v>
      </c>
      <c r="F157" s="167" t="n">
        <v>1</v>
      </c>
      <c r="G157" s="167" t="n">
        <v>1</v>
      </c>
      <c r="H157" s="167" t="n">
        <v>0</v>
      </c>
      <c r="I157" s="167" t="n">
        <v>1</v>
      </c>
    </row>
    <row r="158" customFormat="false" ht="14.25" hidden="false" customHeight="true" outlineLevel="0" collapsed="false">
      <c r="A158" s="167" t="s">
        <v>156</v>
      </c>
      <c r="B158" s="167" t="s">
        <v>41</v>
      </c>
      <c r="C158" s="167" t="n">
        <v>-7</v>
      </c>
      <c r="D158" s="167" t="str">
        <f aca="false">A158&amp;" "&amp;B158&amp;" "&amp;C158</f>
        <v>1/2" Hex 775pro -7</v>
      </c>
      <c r="E158" s="167" t="n">
        <v>1</v>
      </c>
      <c r="F158" s="167" t="n">
        <v>1</v>
      </c>
      <c r="G158" s="167" t="n">
        <v>0</v>
      </c>
      <c r="H158" s="167" t="n">
        <v>0</v>
      </c>
      <c r="I158" s="167" t="n">
        <v>1</v>
      </c>
    </row>
    <row r="159" customFormat="false" ht="14.25" hidden="false" customHeight="true" outlineLevel="0" collapsed="false">
      <c r="A159" s="167" t="s">
        <v>156</v>
      </c>
      <c r="B159" s="167" t="s">
        <v>41</v>
      </c>
      <c r="C159" s="167" t="n">
        <v>-9</v>
      </c>
      <c r="D159" s="167" t="str">
        <f aca="false">A159&amp;" "&amp;B159&amp;" "&amp;C159</f>
        <v>1/2" Hex 775pro -9</v>
      </c>
      <c r="E159" s="167" t="n">
        <v>1</v>
      </c>
      <c r="F159" s="167" t="n">
        <v>1</v>
      </c>
      <c r="G159" s="167" t="n">
        <v>0</v>
      </c>
      <c r="H159" s="167" t="n">
        <v>0</v>
      </c>
      <c r="I159" s="167" t="n">
        <v>1</v>
      </c>
    </row>
    <row r="160" customFormat="false" ht="14.25" hidden="false" customHeight="true" outlineLevel="0" collapsed="false">
      <c r="A160" s="167" t="s">
        <v>156</v>
      </c>
      <c r="B160" s="167" t="s">
        <v>41</v>
      </c>
      <c r="C160" s="167" t="n">
        <v>-10</v>
      </c>
      <c r="D160" s="167" t="str">
        <f aca="false">A160&amp;" "&amp;B160&amp;" "&amp;C160</f>
        <v>1/2" Hex 775pro -10</v>
      </c>
      <c r="E160" s="167" t="n">
        <v>1</v>
      </c>
      <c r="F160" s="167" t="n">
        <v>1</v>
      </c>
      <c r="G160" s="167" t="n">
        <v>0</v>
      </c>
      <c r="H160" s="167" t="n">
        <v>0</v>
      </c>
      <c r="I160" s="167" t="n">
        <v>1</v>
      </c>
    </row>
    <row r="161" customFormat="false" ht="14.25" hidden="false" customHeight="true" outlineLevel="0" collapsed="false">
      <c r="A161" s="167" t="s">
        <v>156</v>
      </c>
      <c r="B161" s="167" t="s">
        <v>41</v>
      </c>
      <c r="C161" s="167" t="n">
        <v>9</v>
      </c>
      <c r="D161" s="167" t="str">
        <f aca="false">A161&amp;" "&amp;B161&amp;" "&amp;C161</f>
        <v>1/2" Hex 775pro 9</v>
      </c>
      <c r="E161" s="167" t="n">
        <v>10</v>
      </c>
      <c r="F161" s="167" t="n">
        <v>7</v>
      </c>
      <c r="G161" s="167" t="n">
        <v>0</v>
      </c>
      <c r="H161" s="167" t="n">
        <v>0</v>
      </c>
      <c r="I161" s="167" t="n">
        <v>5</v>
      </c>
    </row>
    <row r="162" customFormat="false" ht="14.25" hidden="false" customHeight="true" outlineLevel="0" collapsed="false">
      <c r="A162" s="167" t="s">
        <v>156</v>
      </c>
      <c r="B162" s="167" t="s">
        <v>41</v>
      </c>
      <c r="C162" s="167" t="n">
        <v>12</v>
      </c>
      <c r="D162" s="167" t="str">
        <f aca="false">A162&amp;" "&amp;B162&amp;" "&amp;C162</f>
        <v>1/2" Hex 775pro 12</v>
      </c>
      <c r="E162" s="167" t="n">
        <v>10</v>
      </c>
      <c r="F162" s="167" t="n">
        <v>5</v>
      </c>
      <c r="G162" s="167" t="n">
        <v>0</v>
      </c>
      <c r="H162" s="167" t="n">
        <v>0</v>
      </c>
      <c r="I162" s="167" t="n">
        <v>4</v>
      </c>
    </row>
    <row r="163" customFormat="false" ht="14.25" hidden="false" customHeight="true" outlineLevel="0" collapsed="false">
      <c r="A163" s="167" t="s">
        <v>156</v>
      </c>
      <c r="B163" s="167" t="s">
        <v>41</v>
      </c>
      <c r="C163" s="167" t="n">
        <v>15</v>
      </c>
      <c r="D163" s="167" t="str">
        <f aca="false">A163&amp;" "&amp;B163&amp;" "&amp;C163</f>
        <v>1/2" Hex 775pro 15</v>
      </c>
      <c r="E163" s="167" t="n">
        <v>9</v>
      </c>
      <c r="F163" s="167" t="n">
        <v>5</v>
      </c>
      <c r="G163" s="167" t="n">
        <v>0</v>
      </c>
      <c r="H163" s="167" t="n">
        <v>0</v>
      </c>
      <c r="I163" s="167" t="n">
        <v>3</v>
      </c>
    </row>
    <row r="164" customFormat="false" ht="14.25" hidden="false" customHeight="true" outlineLevel="0" collapsed="false">
      <c r="A164" s="167" t="s">
        <v>156</v>
      </c>
      <c r="B164" s="167" t="s">
        <v>41</v>
      </c>
      <c r="C164" s="167" t="n">
        <v>16</v>
      </c>
      <c r="D164" s="167" t="str">
        <f aca="false">A164&amp;" "&amp;B164&amp;" "&amp;C164</f>
        <v>1/2" Hex 775pro 16</v>
      </c>
      <c r="E164" s="167" t="n">
        <v>7</v>
      </c>
      <c r="F164" s="167" t="n">
        <v>5</v>
      </c>
      <c r="G164" s="167" t="n">
        <v>0</v>
      </c>
      <c r="H164" s="167" t="n">
        <v>0</v>
      </c>
      <c r="I164" s="167" t="n">
        <v>3</v>
      </c>
    </row>
    <row r="165" customFormat="false" ht="14.25" hidden="false" customHeight="true" outlineLevel="0" collapsed="false">
      <c r="A165" s="167" t="s">
        <v>156</v>
      </c>
      <c r="B165" s="167" t="s">
        <v>41</v>
      </c>
      <c r="C165" s="167" t="n">
        <v>20</v>
      </c>
      <c r="D165" s="167" t="str">
        <f aca="false">A165&amp;" "&amp;B165&amp;" "&amp;C165</f>
        <v>1/2" Hex 775pro 20</v>
      </c>
      <c r="E165" s="167" t="n">
        <v>5</v>
      </c>
      <c r="F165" s="167" t="n">
        <v>5</v>
      </c>
      <c r="G165" s="167" t="n">
        <v>0</v>
      </c>
      <c r="H165" s="167" t="n">
        <v>0</v>
      </c>
      <c r="I165" s="167" t="n">
        <v>1</v>
      </c>
    </row>
    <row r="166" customFormat="false" ht="14.25" hidden="false" customHeight="true" outlineLevel="0" collapsed="false">
      <c r="A166" s="167" t="s">
        <v>156</v>
      </c>
      <c r="B166" s="167" t="s">
        <v>41</v>
      </c>
      <c r="C166" s="167" t="n">
        <v>21</v>
      </c>
      <c r="D166" s="167" t="str">
        <f aca="false">A166&amp;" "&amp;B166&amp;" "&amp;C166</f>
        <v>1/2" Hex 775pro 21</v>
      </c>
      <c r="E166" s="167" t="n">
        <v>5</v>
      </c>
      <c r="F166" s="167" t="n">
        <v>5</v>
      </c>
      <c r="G166" s="167" t="n">
        <v>0</v>
      </c>
      <c r="H166" s="167" t="n">
        <v>0</v>
      </c>
      <c r="I166" s="167" t="n">
        <v>1</v>
      </c>
    </row>
    <row r="167" customFormat="false" ht="14.25" hidden="false" customHeight="true" outlineLevel="0" collapsed="false">
      <c r="A167" s="167" t="s">
        <v>156</v>
      </c>
      <c r="B167" s="167" t="s">
        <v>41</v>
      </c>
      <c r="C167" s="167" t="n">
        <v>25</v>
      </c>
      <c r="D167" s="167" t="str">
        <f aca="false">A167&amp;" "&amp;B167&amp;" "&amp;C167</f>
        <v>1/2" Hex 775pro 25</v>
      </c>
      <c r="E167" s="167" t="n">
        <v>5</v>
      </c>
      <c r="F167" s="167" t="n">
        <v>4</v>
      </c>
      <c r="G167" s="167" t="n">
        <v>0</v>
      </c>
      <c r="H167" s="167" t="n">
        <v>0</v>
      </c>
      <c r="I167" s="167" t="n">
        <v>1</v>
      </c>
    </row>
    <row r="168" customFormat="false" ht="14.25" hidden="false" customHeight="true" outlineLevel="0" collapsed="false">
      <c r="A168" s="167" t="s">
        <v>156</v>
      </c>
      <c r="B168" s="167" t="s">
        <v>41</v>
      </c>
      <c r="C168" s="167" t="n">
        <v>27</v>
      </c>
      <c r="D168" s="167" t="str">
        <f aca="false">A168&amp;" "&amp;B168&amp;" "&amp;C168</f>
        <v>1/2" Hex 775pro 27</v>
      </c>
      <c r="E168" s="167" t="n">
        <v>5</v>
      </c>
      <c r="F168" s="167" t="n">
        <v>4</v>
      </c>
      <c r="G168" s="167" t="n">
        <v>0</v>
      </c>
      <c r="H168" s="167" t="n">
        <v>0</v>
      </c>
      <c r="I168" s="167" t="n">
        <v>1</v>
      </c>
    </row>
    <row r="169" customFormat="false" ht="14.25" hidden="false" customHeight="true" outlineLevel="0" collapsed="false">
      <c r="A169" s="167" t="s">
        <v>156</v>
      </c>
      <c r="B169" s="167" t="s">
        <v>41</v>
      </c>
      <c r="C169" s="167" t="n">
        <v>28</v>
      </c>
      <c r="D169" s="167" t="str">
        <f aca="false">A169&amp;" "&amp;B169&amp;" "&amp;C169</f>
        <v>1/2" Hex 775pro 28</v>
      </c>
      <c r="E169" s="167" t="n">
        <v>5</v>
      </c>
      <c r="F169" s="167" t="n">
        <v>3</v>
      </c>
      <c r="G169" s="167" t="n">
        <v>0</v>
      </c>
      <c r="H169" s="167" t="n">
        <v>0</v>
      </c>
      <c r="I169" s="167" t="n">
        <v>1</v>
      </c>
    </row>
    <row r="170" customFormat="false" ht="14.25" hidden="false" customHeight="true" outlineLevel="0" collapsed="false">
      <c r="A170" s="167" t="s">
        <v>156</v>
      </c>
      <c r="B170" s="167" t="s">
        <v>41</v>
      </c>
      <c r="C170" s="167" t="n">
        <v>30</v>
      </c>
      <c r="D170" s="167" t="str">
        <f aca="false">A170&amp;" "&amp;B170&amp;" "&amp;C170</f>
        <v>1/2" Hex 775pro 30</v>
      </c>
      <c r="E170" s="167" t="n">
        <v>5</v>
      </c>
      <c r="F170" s="167" t="n">
        <v>3</v>
      </c>
      <c r="G170" s="167" t="n">
        <v>0</v>
      </c>
      <c r="H170" s="167" t="n">
        <v>0</v>
      </c>
      <c r="I170" s="167" t="n">
        <v>1</v>
      </c>
    </row>
    <row r="171" customFormat="false" ht="14.25" hidden="false" customHeight="true" outlineLevel="0" collapsed="false">
      <c r="A171" s="167" t="s">
        <v>156</v>
      </c>
      <c r="B171" s="167" t="s">
        <v>41</v>
      </c>
      <c r="C171" s="167" t="n">
        <v>35</v>
      </c>
      <c r="D171" s="167" t="str">
        <f aca="false">A171&amp;" "&amp;B171&amp;" "&amp;C171</f>
        <v>1/2" Hex 775pro 35</v>
      </c>
      <c r="E171" s="167" t="n">
        <v>5</v>
      </c>
      <c r="F171" s="167" t="n">
        <v>3</v>
      </c>
      <c r="G171" s="167" t="n">
        <v>0</v>
      </c>
      <c r="H171" s="167" t="n">
        <v>0</v>
      </c>
      <c r="I171" s="167" t="n">
        <v>1</v>
      </c>
    </row>
    <row r="172" customFormat="false" ht="14.25" hidden="false" customHeight="true" outlineLevel="0" collapsed="false">
      <c r="A172" s="167" t="s">
        <v>156</v>
      </c>
      <c r="B172" s="167" t="s">
        <v>41</v>
      </c>
      <c r="C172" s="167" t="n">
        <v>36</v>
      </c>
      <c r="D172" s="167" t="str">
        <f aca="false">A172&amp;" "&amp;B172&amp;" "&amp;C172</f>
        <v>1/2" Hex 775pro 36</v>
      </c>
      <c r="E172" s="167" t="n">
        <v>5</v>
      </c>
      <c r="F172" s="167" t="n">
        <v>3</v>
      </c>
      <c r="G172" s="167" t="n">
        <v>0</v>
      </c>
      <c r="H172" s="167" t="n">
        <v>0</v>
      </c>
      <c r="I172" s="167" t="n">
        <v>1</v>
      </c>
    </row>
    <row r="173" customFormat="false" ht="14.25" hidden="false" customHeight="true" outlineLevel="0" collapsed="false">
      <c r="A173" s="167" t="s">
        <v>156</v>
      </c>
      <c r="B173" s="167" t="s">
        <v>41</v>
      </c>
      <c r="C173" s="167" t="n">
        <v>40</v>
      </c>
      <c r="D173" s="167" t="str">
        <f aca="false">A173&amp;" "&amp;B173&amp;" "&amp;C173</f>
        <v>1/2" Hex 775pro 40</v>
      </c>
      <c r="E173" s="167" t="n">
        <v>5</v>
      </c>
      <c r="F173" s="167" t="n">
        <v>1</v>
      </c>
      <c r="G173" s="167" t="n">
        <v>0</v>
      </c>
      <c r="H173" s="167" t="n">
        <v>0</v>
      </c>
      <c r="I173" s="167" t="n">
        <v>1</v>
      </c>
    </row>
    <row r="174" customFormat="false" ht="14.25" hidden="false" customHeight="true" outlineLevel="0" collapsed="false">
      <c r="A174" s="167" t="s">
        <v>156</v>
      </c>
      <c r="B174" s="167" t="s">
        <v>41</v>
      </c>
      <c r="C174" s="167" t="n">
        <v>45</v>
      </c>
      <c r="D174" s="167" t="str">
        <f aca="false">A174&amp;" "&amp;B174&amp;" "&amp;C174</f>
        <v>1/2" Hex 775pro 45</v>
      </c>
      <c r="E174" s="167" t="n">
        <v>4</v>
      </c>
      <c r="F174" s="167" t="n">
        <v>1</v>
      </c>
      <c r="G174" s="167" t="n">
        <v>0</v>
      </c>
      <c r="H174" s="167" t="n">
        <v>0</v>
      </c>
      <c r="I174" s="167" t="n">
        <v>1</v>
      </c>
    </row>
    <row r="175" customFormat="false" ht="14.25" hidden="false" customHeight="true" outlineLevel="0" collapsed="false">
      <c r="A175" s="167" t="s">
        <v>156</v>
      </c>
      <c r="B175" s="167" t="s">
        <v>41</v>
      </c>
      <c r="C175" s="167" t="n">
        <v>49</v>
      </c>
      <c r="D175" s="167" t="str">
        <f aca="false">A175&amp;" "&amp;B175&amp;" "&amp;C175</f>
        <v>1/2" Hex 775pro 49</v>
      </c>
      <c r="E175" s="167" t="n">
        <v>4</v>
      </c>
      <c r="F175" s="167" t="n">
        <v>1</v>
      </c>
      <c r="G175" s="167" t="n">
        <v>0</v>
      </c>
      <c r="H175" s="167" t="n">
        <v>0</v>
      </c>
      <c r="I175" s="167" t="n">
        <v>1</v>
      </c>
    </row>
    <row r="176" customFormat="false" ht="14.25" hidden="false" customHeight="true" outlineLevel="0" collapsed="false">
      <c r="A176" s="167" t="s">
        <v>156</v>
      </c>
      <c r="B176" s="167" t="s">
        <v>41</v>
      </c>
      <c r="C176" s="167" t="n">
        <v>50</v>
      </c>
      <c r="D176" s="167" t="str">
        <f aca="false">A176&amp;" "&amp;B176&amp;" "&amp;C176</f>
        <v>1/2" Hex 775pro 50</v>
      </c>
      <c r="E176" s="167" t="n">
        <v>4</v>
      </c>
      <c r="F176" s="167" t="n">
        <v>1</v>
      </c>
      <c r="G176" s="167" t="n">
        <v>0</v>
      </c>
      <c r="H176" s="167" t="n">
        <v>0</v>
      </c>
      <c r="I176" s="167" t="n">
        <v>0</v>
      </c>
    </row>
    <row r="177" customFormat="false" ht="14.25" hidden="false" customHeight="true" outlineLevel="0" collapsed="false">
      <c r="A177" s="167" t="s">
        <v>156</v>
      </c>
      <c r="B177" s="167" t="s">
        <v>41</v>
      </c>
      <c r="C177" s="167" t="n">
        <v>63</v>
      </c>
      <c r="D177" s="167" t="str">
        <f aca="false">A177&amp;" "&amp;B177&amp;" "&amp;C177</f>
        <v>1/2" Hex 775pro 63</v>
      </c>
      <c r="E177" s="167" t="n">
        <v>3</v>
      </c>
      <c r="F177" s="167" t="n">
        <v>1</v>
      </c>
      <c r="G177" s="167" t="n">
        <v>0</v>
      </c>
      <c r="H177" s="167" t="n">
        <v>0</v>
      </c>
      <c r="I177" s="167" t="n">
        <v>0</v>
      </c>
    </row>
    <row r="178" customFormat="false" ht="14.25" hidden="false" customHeight="true" outlineLevel="0" collapsed="false">
      <c r="A178" s="167" t="s">
        <v>156</v>
      </c>
      <c r="B178" s="167" t="s">
        <v>41</v>
      </c>
      <c r="C178" s="167" t="n">
        <v>70</v>
      </c>
      <c r="D178" s="167" t="str">
        <f aca="false">A178&amp;" "&amp;B178&amp;" "&amp;C178</f>
        <v>1/2" Hex 775pro 70</v>
      </c>
      <c r="E178" s="167" t="n">
        <v>3</v>
      </c>
      <c r="F178" s="167" t="n">
        <v>0</v>
      </c>
      <c r="G178" s="167" t="n">
        <v>0</v>
      </c>
      <c r="H178" s="167" t="n">
        <v>0</v>
      </c>
      <c r="I178" s="167" t="n">
        <v>0</v>
      </c>
    </row>
    <row r="179" customFormat="false" ht="14.25" hidden="false" customHeight="true" outlineLevel="0" collapsed="false">
      <c r="A179" s="167" t="s">
        <v>156</v>
      </c>
      <c r="B179" s="167" t="s">
        <v>41</v>
      </c>
      <c r="C179" s="167" t="n">
        <v>81</v>
      </c>
      <c r="D179" s="167" t="str">
        <f aca="false">A179&amp;" "&amp;B179&amp;" "&amp;C179</f>
        <v>1/2" Hex 775pro 81</v>
      </c>
      <c r="E179" s="167" t="n">
        <v>1</v>
      </c>
      <c r="F179" s="167" t="n">
        <v>0</v>
      </c>
      <c r="G179" s="167" t="n">
        <v>0</v>
      </c>
      <c r="H179" s="167" t="n">
        <v>0</v>
      </c>
      <c r="I179" s="167" t="n">
        <v>0</v>
      </c>
    </row>
    <row r="180" customFormat="false" ht="14.25" hidden="false" customHeight="true" outlineLevel="0" collapsed="false">
      <c r="A180" s="167" t="s">
        <v>156</v>
      </c>
      <c r="B180" s="167" t="s">
        <v>41</v>
      </c>
      <c r="C180" s="167" t="n">
        <v>90</v>
      </c>
      <c r="D180" s="167" t="str">
        <f aca="false">A180&amp;" "&amp;B180&amp;" "&amp;C180</f>
        <v>1/2" Hex 775pro 90</v>
      </c>
      <c r="E180" s="167" t="n">
        <v>1</v>
      </c>
      <c r="F180" s="167" t="n">
        <v>0</v>
      </c>
      <c r="G180" s="167" t="n">
        <v>0</v>
      </c>
      <c r="H180" s="167" t="n">
        <v>0</v>
      </c>
      <c r="I180" s="167" t="n">
        <v>0</v>
      </c>
    </row>
    <row r="181" customFormat="false" ht="14.25" hidden="false" customHeight="true" outlineLevel="0" collapsed="false">
      <c r="A181" s="167" t="s">
        <v>156</v>
      </c>
      <c r="B181" s="167" t="s">
        <v>41</v>
      </c>
      <c r="C181" s="167" t="n">
        <v>100</v>
      </c>
      <c r="D181" s="167" t="str">
        <f aca="false">A181&amp;" "&amp;B181&amp;" "&amp;C181</f>
        <v>1/2" Hex 775pro 100</v>
      </c>
      <c r="E181" s="167" t="n">
        <v>1</v>
      </c>
      <c r="F181" s="167" t="n">
        <v>0</v>
      </c>
      <c r="G181" s="167" t="n">
        <v>0</v>
      </c>
      <c r="H181" s="167" t="n">
        <v>0</v>
      </c>
      <c r="I181" s="167" t="n">
        <v>0</v>
      </c>
    </row>
    <row r="182" customFormat="false" ht="14.25" hidden="false" customHeight="true" outlineLevel="0" collapsed="false">
      <c r="A182" s="167" t="s">
        <v>156</v>
      </c>
      <c r="B182" s="167" t="s">
        <v>249</v>
      </c>
      <c r="C182" s="167" t="n">
        <v>-3</v>
      </c>
      <c r="D182" s="167" t="str">
        <f aca="false">A182&amp;" "&amp;B182&amp;" "&amp;C182</f>
        <v>1/2" Hex Mini CIM -3</v>
      </c>
      <c r="E182" s="167" t="n">
        <v>1</v>
      </c>
      <c r="I182" s="167" t="n">
        <v>0</v>
      </c>
    </row>
    <row r="183" customFormat="false" ht="14.25" hidden="false" customHeight="true" outlineLevel="0" collapsed="false">
      <c r="A183" s="167" t="s">
        <v>156</v>
      </c>
      <c r="B183" s="167" t="s">
        <v>249</v>
      </c>
      <c r="C183" s="167" t="n">
        <v>-4</v>
      </c>
      <c r="D183" s="167" t="str">
        <f aca="false">A183&amp;" "&amp;B183&amp;" "&amp;C183</f>
        <v>1/2" Hex Mini CIM -4</v>
      </c>
      <c r="E183" s="167" t="n">
        <v>1</v>
      </c>
      <c r="I183" s="167" t="n">
        <v>0</v>
      </c>
    </row>
    <row r="184" customFormat="false" ht="14.25" hidden="false" customHeight="true" outlineLevel="0" collapsed="false">
      <c r="A184" s="167" t="s">
        <v>156</v>
      </c>
      <c r="B184" s="167" t="s">
        <v>249</v>
      </c>
      <c r="C184" s="167" t="n">
        <v>-5</v>
      </c>
      <c r="D184" s="167" t="str">
        <f aca="false">A184&amp;" "&amp;B184&amp;" "&amp;C184</f>
        <v>1/2" Hex Mini CIM -5</v>
      </c>
      <c r="E184" s="167" t="n">
        <v>1</v>
      </c>
      <c r="I184" s="167" t="n">
        <v>0</v>
      </c>
    </row>
    <row r="185" customFormat="false" ht="14.25" hidden="false" customHeight="true" outlineLevel="0" collapsed="false">
      <c r="A185" s="167" t="s">
        <v>156</v>
      </c>
      <c r="B185" s="167" t="s">
        <v>249</v>
      </c>
      <c r="C185" s="167" t="n">
        <v>-7</v>
      </c>
      <c r="D185" s="167" t="str">
        <f aca="false">A185&amp;" "&amp;B185&amp;" "&amp;C185</f>
        <v>1/2" Hex Mini CIM -7</v>
      </c>
      <c r="E185" s="167" t="n">
        <v>1</v>
      </c>
      <c r="I185" s="167" t="n">
        <v>0</v>
      </c>
    </row>
    <row r="186" customFormat="false" ht="14.25" hidden="false" customHeight="true" outlineLevel="0" collapsed="false">
      <c r="A186" s="167" t="s">
        <v>156</v>
      </c>
      <c r="B186" s="167" t="s">
        <v>249</v>
      </c>
      <c r="C186" s="167" t="n">
        <v>-9</v>
      </c>
      <c r="D186" s="167" t="str">
        <f aca="false">A186&amp;" "&amp;B186&amp;" "&amp;C186</f>
        <v>1/2" Hex Mini CIM -9</v>
      </c>
      <c r="E186" s="167" t="n">
        <v>1</v>
      </c>
      <c r="I186" s="167" t="n">
        <v>0</v>
      </c>
    </row>
    <row r="187" customFormat="false" ht="14.25" hidden="false" customHeight="true" outlineLevel="0" collapsed="false">
      <c r="A187" s="167" t="s">
        <v>156</v>
      </c>
      <c r="B187" s="167" t="s">
        <v>249</v>
      </c>
      <c r="C187" s="167" t="n">
        <v>-10</v>
      </c>
      <c r="D187" s="167" t="str">
        <f aca="false">A187&amp;" "&amp;B187&amp;" "&amp;C187</f>
        <v>1/2" Hex Mini CIM -10</v>
      </c>
      <c r="E187" s="167" t="n">
        <v>1</v>
      </c>
      <c r="I187" s="167" t="n">
        <v>0</v>
      </c>
    </row>
    <row r="188" customFormat="false" ht="14.25" hidden="false" customHeight="true" outlineLevel="0" collapsed="false">
      <c r="A188" s="167" t="s">
        <v>156</v>
      </c>
      <c r="B188" s="167" t="s">
        <v>249</v>
      </c>
      <c r="C188" s="167" t="n">
        <v>9</v>
      </c>
      <c r="D188" s="167" t="str">
        <f aca="false">A188&amp;" "&amp;B188&amp;" "&amp;C188</f>
        <v>1/2" Hex Mini CIM 9</v>
      </c>
      <c r="E188" s="167" t="n">
        <v>7</v>
      </c>
      <c r="I188" s="167" t="n">
        <v>0</v>
      </c>
    </row>
    <row r="189" customFormat="false" ht="14.25" hidden="false" customHeight="true" outlineLevel="0" collapsed="false">
      <c r="A189" s="167" t="s">
        <v>156</v>
      </c>
      <c r="B189" s="167" t="s">
        <v>249</v>
      </c>
      <c r="C189" s="167" t="n">
        <v>12</v>
      </c>
      <c r="D189" s="167" t="str">
        <f aca="false">A189&amp;" "&amp;B189&amp;" "&amp;C189</f>
        <v>1/2" Hex Mini CIM 12</v>
      </c>
      <c r="E189" s="167" t="n">
        <v>5</v>
      </c>
      <c r="I189" s="167" t="n">
        <v>0</v>
      </c>
    </row>
    <row r="190" customFormat="false" ht="14.25" hidden="false" customHeight="true" outlineLevel="0" collapsed="false">
      <c r="A190" s="167" t="s">
        <v>156</v>
      </c>
      <c r="B190" s="167" t="s">
        <v>249</v>
      </c>
      <c r="C190" s="167" t="n">
        <v>15</v>
      </c>
      <c r="D190" s="167" t="str">
        <f aca="false">A190&amp;" "&amp;B190&amp;" "&amp;C190</f>
        <v>1/2" Hex Mini CIM 15</v>
      </c>
      <c r="E190" s="167" t="n">
        <v>5</v>
      </c>
      <c r="I190" s="167" t="n">
        <v>0</v>
      </c>
    </row>
    <row r="191" customFormat="false" ht="14.25" hidden="false" customHeight="true" outlineLevel="0" collapsed="false">
      <c r="A191" s="167" t="s">
        <v>156</v>
      </c>
      <c r="B191" s="167" t="s">
        <v>249</v>
      </c>
      <c r="C191" s="167" t="n">
        <v>16</v>
      </c>
      <c r="D191" s="167" t="str">
        <f aca="false">A191&amp;" "&amp;B191&amp;" "&amp;C191</f>
        <v>1/2" Hex Mini CIM 16</v>
      </c>
      <c r="E191" s="167" t="n">
        <v>5</v>
      </c>
      <c r="I191" s="167" t="n">
        <v>0</v>
      </c>
    </row>
    <row r="192" customFormat="false" ht="14.25" hidden="false" customHeight="true" outlineLevel="0" collapsed="false">
      <c r="A192" s="167" t="s">
        <v>156</v>
      </c>
      <c r="B192" s="167" t="s">
        <v>249</v>
      </c>
      <c r="C192" s="167" t="n">
        <v>20</v>
      </c>
      <c r="D192" s="167" t="str">
        <f aca="false">A192&amp;" "&amp;B192&amp;" "&amp;C192</f>
        <v>1/2" Hex Mini CIM 20</v>
      </c>
      <c r="E192" s="167" t="n">
        <v>5</v>
      </c>
      <c r="I192" s="167" t="n">
        <v>0</v>
      </c>
    </row>
    <row r="193" customFormat="false" ht="14.25" hidden="false" customHeight="true" outlineLevel="0" collapsed="false">
      <c r="A193" s="167" t="s">
        <v>156</v>
      </c>
      <c r="B193" s="167" t="s">
        <v>249</v>
      </c>
      <c r="C193" s="167" t="n">
        <v>21</v>
      </c>
      <c r="D193" s="167" t="str">
        <f aca="false">A193&amp;" "&amp;B193&amp;" "&amp;C193</f>
        <v>1/2" Hex Mini CIM 21</v>
      </c>
      <c r="E193" s="167" t="n">
        <v>5</v>
      </c>
      <c r="I193" s="167" t="n">
        <v>0</v>
      </c>
    </row>
    <row r="194" customFormat="false" ht="14.25" hidden="false" customHeight="true" outlineLevel="0" collapsed="false">
      <c r="A194" s="167" t="s">
        <v>156</v>
      </c>
      <c r="B194" s="167" t="s">
        <v>249</v>
      </c>
      <c r="C194" s="167" t="n">
        <v>25</v>
      </c>
      <c r="D194" s="167" t="str">
        <f aca="false">A194&amp;" "&amp;B194&amp;" "&amp;C194</f>
        <v>1/2" Hex Mini CIM 25</v>
      </c>
      <c r="E194" s="167" t="n">
        <v>4</v>
      </c>
      <c r="I194" s="167" t="n">
        <v>0</v>
      </c>
    </row>
    <row r="195" customFormat="false" ht="14.25" hidden="false" customHeight="true" outlineLevel="0" collapsed="false">
      <c r="A195" s="167" t="s">
        <v>156</v>
      </c>
      <c r="B195" s="167" t="s">
        <v>249</v>
      </c>
      <c r="C195" s="167" t="n">
        <v>27</v>
      </c>
      <c r="D195" s="167" t="str">
        <f aca="false">A195&amp;" "&amp;B195&amp;" "&amp;C195</f>
        <v>1/2" Hex Mini CIM 27</v>
      </c>
      <c r="E195" s="167" t="n">
        <v>4</v>
      </c>
      <c r="I195" s="167" t="n">
        <v>0</v>
      </c>
    </row>
    <row r="196" customFormat="false" ht="14.25" hidden="false" customHeight="true" outlineLevel="0" collapsed="false">
      <c r="A196" s="167" t="s">
        <v>156</v>
      </c>
      <c r="B196" s="167" t="s">
        <v>249</v>
      </c>
      <c r="C196" s="167" t="n">
        <v>28</v>
      </c>
      <c r="D196" s="167" t="str">
        <f aca="false">A196&amp;" "&amp;B196&amp;" "&amp;C196</f>
        <v>1/2" Hex Mini CIM 28</v>
      </c>
      <c r="E196" s="167" t="n">
        <v>3</v>
      </c>
      <c r="I196" s="167" t="n">
        <v>0</v>
      </c>
    </row>
    <row r="197" customFormat="false" ht="14.25" hidden="false" customHeight="true" outlineLevel="0" collapsed="false">
      <c r="A197" s="167" t="s">
        <v>156</v>
      </c>
      <c r="B197" s="167" t="s">
        <v>249</v>
      </c>
      <c r="C197" s="167" t="n">
        <v>30</v>
      </c>
      <c r="D197" s="167" t="str">
        <f aca="false">A197&amp;" "&amp;B197&amp;" "&amp;C197</f>
        <v>1/2" Hex Mini CIM 30</v>
      </c>
      <c r="E197" s="167" t="n">
        <v>3</v>
      </c>
      <c r="I197" s="167" t="n">
        <v>0</v>
      </c>
    </row>
    <row r="198" customFormat="false" ht="14.25" hidden="false" customHeight="true" outlineLevel="0" collapsed="false">
      <c r="A198" s="167" t="s">
        <v>156</v>
      </c>
      <c r="B198" s="167" t="s">
        <v>249</v>
      </c>
      <c r="C198" s="167" t="n">
        <v>35</v>
      </c>
      <c r="D198" s="167" t="str">
        <f aca="false">A198&amp;" "&amp;B198&amp;" "&amp;C198</f>
        <v>1/2" Hex Mini CIM 35</v>
      </c>
      <c r="E198" s="167" t="n">
        <v>3</v>
      </c>
      <c r="I198" s="167" t="n">
        <v>0</v>
      </c>
    </row>
    <row r="199" customFormat="false" ht="14.25" hidden="false" customHeight="true" outlineLevel="0" collapsed="false">
      <c r="A199" s="167" t="s">
        <v>156</v>
      </c>
      <c r="B199" s="167" t="s">
        <v>249</v>
      </c>
      <c r="C199" s="167" t="n">
        <v>36</v>
      </c>
      <c r="D199" s="167" t="str">
        <f aca="false">A199&amp;" "&amp;B199&amp;" "&amp;C199</f>
        <v>1/2" Hex Mini CIM 36</v>
      </c>
      <c r="E199" s="167" t="n">
        <v>3</v>
      </c>
      <c r="I199" s="167" t="n">
        <v>0</v>
      </c>
    </row>
    <row r="200" customFormat="false" ht="14.25" hidden="false" customHeight="true" outlineLevel="0" collapsed="false">
      <c r="A200" s="167" t="s">
        <v>156</v>
      </c>
      <c r="B200" s="167" t="s">
        <v>249</v>
      </c>
      <c r="C200" s="167" t="n">
        <v>40</v>
      </c>
      <c r="D200" s="167" t="str">
        <f aca="false">A200&amp;" "&amp;B200&amp;" "&amp;C200</f>
        <v>1/2" Hex Mini CIM 40</v>
      </c>
      <c r="E200" s="167" t="n">
        <v>1</v>
      </c>
      <c r="I200" s="167" t="n">
        <v>0</v>
      </c>
    </row>
    <row r="201" customFormat="false" ht="14.25" hidden="false" customHeight="true" outlineLevel="0" collapsed="false">
      <c r="A201" s="167" t="s">
        <v>156</v>
      </c>
      <c r="B201" s="167" t="s">
        <v>249</v>
      </c>
      <c r="C201" s="167" t="n">
        <v>45</v>
      </c>
      <c r="D201" s="167" t="str">
        <f aca="false">A201&amp;" "&amp;B201&amp;" "&amp;C201</f>
        <v>1/2" Hex Mini CIM 45</v>
      </c>
      <c r="E201" s="167" t="n">
        <v>1</v>
      </c>
      <c r="I201" s="167" t="n">
        <v>0</v>
      </c>
    </row>
    <row r="202" customFormat="false" ht="14.25" hidden="false" customHeight="true" outlineLevel="0" collapsed="false">
      <c r="A202" s="167" t="s">
        <v>156</v>
      </c>
      <c r="B202" s="167" t="s">
        <v>249</v>
      </c>
      <c r="C202" s="167" t="n">
        <v>49</v>
      </c>
      <c r="D202" s="167" t="str">
        <f aca="false">A202&amp;" "&amp;B202&amp;" "&amp;C202</f>
        <v>1/2" Hex Mini CIM 49</v>
      </c>
      <c r="E202" s="167" t="n">
        <v>1</v>
      </c>
      <c r="I202" s="167" t="n">
        <v>0</v>
      </c>
    </row>
    <row r="203" customFormat="false" ht="14.25" hidden="false" customHeight="true" outlineLevel="0" collapsed="false">
      <c r="A203" s="167" t="s">
        <v>156</v>
      </c>
      <c r="B203" s="167" t="s">
        <v>249</v>
      </c>
      <c r="C203" s="167" t="n">
        <v>50</v>
      </c>
      <c r="D203" s="167" t="str">
        <f aca="false">A203&amp;" "&amp;B203&amp;" "&amp;C203</f>
        <v>1/2" Hex Mini CIM 50</v>
      </c>
      <c r="E203" s="167" t="n">
        <v>1</v>
      </c>
      <c r="I203" s="167" t="n">
        <v>0</v>
      </c>
    </row>
    <row r="204" customFormat="false" ht="14.25" hidden="false" customHeight="true" outlineLevel="0" collapsed="false">
      <c r="A204" s="167" t="s">
        <v>156</v>
      </c>
      <c r="B204" s="167" t="s">
        <v>249</v>
      </c>
      <c r="C204" s="167" t="n">
        <v>63</v>
      </c>
      <c r="D204" s="167" t="str">
        <f aca="false">A204&amp;" "&amp;B204&amp;" "&amp;C204</f>
        <v>1/2" Hex Mini CIM 63</v>
      </c>
      <c r="E204" s="167" t="n">
        <v>1</v>
      </c>
      <c r="I204" s="167" t="n">
        <v>0</v>
      </c>
    </row>
    <row r="205" customFormat="false" ht="14.25" hidden="false" customHeight="true" outlineLevel="0" collapsed="false">
      <c r="A205" s="167" t="s">
        <v>156</v>
      </c>
      <c r="B205" s="167" t="s">
        <v>249</v>
      </c>
      <c r="C205" s="167" t="n">
        <v>70</v>
      </c>
      <c r="D205" s="167" t="str">
        <f aca="false">A205&amp;" "&amp;B205&amp;" "&amp;C205</f>
        <v>1/2" Hex Mini CIM 70</v>
      </c>
      <c r="E205" s="167" t="n">
        <v>0</v>
      </c>
      <c r="I205" s="167" t="n">
        <v>0</v>
      </c>
    </row>
    <row r="206" customFormat="false" ht="14.25" hidden="false" customHeight="true" outlineLevel="0" collapsed="false">
      <c r="A206" s="167" t="s">
        <v>156</v>
      </c>
      <c r="B206" s="167" t="s">
        <v>249</v>
      </c>
      <c r="C206" s="167" t="n">
        <v>81</v>
      </c>
      <c r="D206" s="167" t="str">
        <f aca="false">A206&amp;" "&amp;B206&amp;" "&amp;C206</f>
        <v>1/2" Hex Mini CIM 81</v>
      </c>
      <c r="E206" s="167" t="n">
        <v>0</v>
      </c>
      <c r="I206" s="167" t="n">
        <v>0</v>
      </c>
    </row>
    <row r="207" customFormat="false" ht="14.25" hidden="false" customHeight="true" outlineLevel="0" collapsed="false">
      <c r="A207" s="167" t="s">
        <v>156</v>
      </c>
      <c r="B207" s="167" t="s">
        <v>249</v>
      </c>
      <c r="C207" s="167" t="n">
        <v>90</v>
      </c>
      <c r="D207" s="167" t="str">
        <f aca="false">A207&amp;" "&amp;B207&amp;" "&amp;C207</f>
        <v>1/2" Hex Mini CIM 90</v>
      </c>
      <c r="E207" s="167" t="n">
        <v>0</v>
      </c>
      <c r="I207" s="167" t="n">
        <v>0</v>
      </c>
    </row>
    <row r="208" customFormat="false" ht="14.25" hidden="false" customHeight="true" outlineLevel="0" collapsed="false">
      <c r="A208" s="167" t="s">
        <v>156</v>
      </c>
      <c r="B208" s="167" t="s">
        <v>249</v>
      </c>
      <c r="C208" s="167" t="n">
        <v>100</v>
      </c>
      <c r="D208" s="167" t="str">
        <f aca="false">A208&amp;" "&amp;B208&amp;" "&amp;C208</f>
        <v>1/2" Hex Mini CIM 100</v>
      </c>
      <c r="E208" s="167" t="n">
        <v>0</v>
      </c>
      <c r="I208" s="167" t="n">
        <v>0</v>
      </c>
    </row>
    <row r="209" customFormat="false" ht="14.25" hidden="false" customHeight="true" outlineLevel="0" collapsed="false">
      <c r="A209" s="167" t="s">
        <v>156</v>
      </c>
      <c r="B209" s="167" t="s">
        <v>89</v>
      </c>
      <c r="C209" s="167" t="n">
        <v>-3</v>
      </c>
      <c r="D209" s="167" t="str">
        <f aca="false">A209&amp;" "&amp;B209&amp;" "&amp;C209</f>
        <v>1/2" Hex CIM -3</v>
      </c>
      <c r="E209" s="167" t="n">
        <v>1</v>
      </c>
      <c r="I209" s="167" t="n">
        <v>0</v>
      </c>
    </row>
    <row r="210" customFormat="false" ht="14.25" hidden="false" customHeight="true" outlineLevel="0" collapsed="false">
      <c r="A210" s="167" t="s">
        <v>156</v>
      </c>
      <c r="B210" s="167" t="s">
        <v>89</v>
      </c>
      <c r="C210" s="167" t="n">
        <v>-4</v>
      </c>
      <c r="D210" s="167" t="str">
        <f aca="false">A210&amp;" "&amp;B210&amp;" "&amp;C210</f>
        <v>1/2" Hex CIM -4</v>
      </c>
      <c r="E210" s="167" t="n">
        <v>1</v>
      </c>
      <c r="I210" s="167" t="n">
        <v>0</v>
      </c>
    </row>
    <row r="211" customFormat="false" ht="14.25" hidden="false" customHeight="true" outlineLevel="0" collapsed="false">
      <c r="A211" s="167" t="s">
        <v>156</v>
      </c>
      <c r="B211" s="167" t="s">
        <v>89</v>
      </c>
      <c r="C211" s="167" t="n">
        <v>-5</v>
      </c>
      <c r="D211" s="167" t="str">
        <f aca="false">A211&amp;" "&amp;B211&amp;" "&amp;C211</f>
        <v>1/2" Hex CIM -5</v>
      </c>
      <c r="E211" s="167" t="n">
        <v>1</v>
      </c>
      <c r="I211" s="167" t="n">
        <v>0</v>
      </c>
    </row>
    <row r="212" customFormat="false" ht="14.25" hidden="false" customHeight="true" outlineLevel="0" collapsed="false">
      <c r="A212" s="167" t="s">
        <v>156</v>
      </c>
      <c r="B212" s="167" t="s">
        <v>89</v>
      </c>
      <c r="C212" s="167" t="n">
        <v>-7</v>
      </c>
      <c r="D212" s="167" t="str">
        <f aca="false">A212&amp;" "&amp;B212&amp;" "&amp;C212</f>
        <v>1/2" Hex CIM -7</v>
      </c>
      <c r="E212" s="167" t="n">
        <v>1</v>
      </c>
      <c r="I212" s="167" t="n">
        <v>0</v>
      </c>
    </row>
    <row r="213" customFormat="false" ht="14.25" hidden="false" customHeight="true" outlineLevel="0" collapsed="false">
      <c r="A213" s="167" t="s">
        <v>156</v>
      </c>
      <c r="B213" s="167" t="s">
        <v>89</v>
      </c>
      <c r="C213" s="167" t="n">
        <v>-9</v>
      </c>
      <c r="D213" s="167" t="str">
        <f aca="false">A213&amp;" "&amp;B213&amp;" "&amp;C213</f>
        <v>1/2" Hex CIM -9</v>
      </c>
      <c r="E213" s="167" t="n">
        <v>1</v>
      </c>
      <c r="I213" s="167" t="n">
        <v>0</v>
      </c>
    </row>
    <row r="214" customFormat="false" ht="14.25" hidden="false" customHeight="true" outlineLevel="0" collapsed="false">
      <c r="A214" s="167" t="s">
        <v>156</v>
      </c>
      <c r="B214" s="167" t="s">
        <v>89</v>
      </c>
      <c r="C214" s="167" t="n">
        <v>-10</v>
      </c>
      <c r="D214" s="167" t="str">
        <f aca="false">A214&amp;" "&amp;B214&amp;" "&amp;C214</f>
        <v>1/2" Hex CIM -10</v>
      </c>
      <c r="E214" s="167" t="n">
        <v>1</v>
      </c>
      <c r="I214" s="167" t="n">
        <v>0</v>
      </c>
    </row>
    <row r="215" customFormat="false" ht="14.25" hidden="false" customHeight="true" outlineLevel="0" collapsed="false">
      <c r="A215" s="167" t="s">
        <v>156</v>
      </c>
      <c r="B215" s="167" t="s">
        <v>89</v>
      </c>
      <c r="C215" s="167" t="n">
        <v>9</v>
      </c>
      <c r="D215" s="167" t="str">
        <f aca="false">A215&amp;" "&amp;B215&amp;" "&amp;C215</f>
        <v>1/2" Hex CIM 9</v>
      </c>
      <c r="E215" s="167" t="n">
        <v>5</v>
      </c>
      <c r="I215" s="167" t="n">
        <v>0</v>
      </c>
    </row>
    <row r="216" customFormat="false" ht="14.25" hidden="false" customHeight="true" outlineLevel="0" collapsed="false">
      <c r="A216" s="167" t="s">
        <v>156</v>
      </c>
      <c r="B216" s="167" t="s">
        <v>89</v>
      </c>
      <c r="C216" s="167" t="n">
        <v>12</v>
      </c>
      <c r="D216" s="167" t="str">
        <f aca="false">A216&amp;" "&amp;B216&amp;" "&amp;C216</f>
        <v>1/2" Hex CIM 12</v>
      </c>
      <c r="E216" s="167" t="n">
        <v>5</v>
      </c>
      <c r="I216" s="167" t="n">
        <v>0</v>
      </c>
    </row>
    <row r="217" customFormat="false" ht="14.25" hidden="false" customHeight="true" outlineLevel="0" collapsed="false">
      <c r="A217" s="167" t="s">
        <v>156</v>
      </c>
      <c r="B217" s="167" t="s">
        <v>89</v>
      </c>
      <c r="C217" s="167" t="n">
        <v>15</v>
      </c>
      <c r="D217" s="167" t="str">
        <f aca="false">A217&amp;" "&amp;B217&amp;" "&amp;C217</f>
        <v>1/2" Hex CIM 15</v>
      </c>
      <c r="E217" s="167" t="n">
        <v>4</v>
      </c>
      <c r="I217" s="167" t="n">
        <v>0</v>
      </c>
    </row>
    <row r="218" customFormat="false" ht="14.25" hidden="false" customHeight="true" outlineLevel="0" collapsed="false">
      <c r="A218" s="167" t="s">
        <v>156</v>
      </c>
      <c r="B218" s="167" t="s">
        <v>89</v>
      </c>
      <c r="C218" s="167" t="n">
        <v>16</v>
      </c>
      <c r="D218" s="167" t="str">
        <f aca="false">A218&amp;" "&amp;B218&amp;" "&amp;C218</f>
        <v>1/2" Hex CIM 16</v>
      </c>
      <c r="E218" s="167" t="n">
        <v>4</v>
      </c>
      <c r="I218" s="167" t="n">
        <v>0</v>
      </c>
    </row>
    <row r="219" customFormat="false" ht="14.25" hidden="false" customHeight="true" outlineLevel="0" collapsed="false">
      <c r="A219" s="167" t="s">
        <v>156</v>
      </c>
      <c r="B219" s="167" t="s">
        <v>89</v>
      </c>
      <c r="C219" s="167" t="n">
        <v>20</v>
      </c>
      <c r="D219" s="167" t="str">
        <f aca="false">A219&amp;" "&amp;B219&amp;" "&amp;C219</f>
        <v>1/2" Hex CIM 20</v>
      </c>
      <c r="E219" s="167" t="n">
        <v>3</v>
      </c>
      <c r="I219" s="167" t="n">
        <v>0</v>
      </c>
    </row>
    <row r="220" customFormat="false" ht="14.25" hidden="false" customHeight="true" outlineLevel="0" collapsed="false">
      <c r="A220" s="167" t="s">
        <v>156</v>
      </c>
      <c r="B220" s="167" t="s">
        <v>89</v>
      </c>
      <c r="C220" s="167" t="n">
        <v>21</v>
      </c>
      <c r="D220" s="167" t="str">
        <f aca="false">A220&amp;" "&amp;B220&amp;" "&amp;C220</f>
        <v>1/2" Hex CIM 21</v>
      </c>
      <c r="E220" s="167" t="n">
        <v>3</v>
      </c>
      <c r="I220" s="167" t="n">
        <v>0</v>
      </c>
    </row>
    <row r="221" customFormat="false" ht="14.25" hidden="false" customHeight="true" outlineLevel="0" collapsed="false">
      <c r="A221" s="167" t="s">
        <v>156</v>
      </c>
      <c r="B221" s="167" t="s">
        <v>89</v>
      </c>
      <c r="C221" s="167" t="n">
        <v>25</v>
      </c>
      <c r="D221" s="167" t="str">
        <f aca="false">A221&amp;" "&amp;B221&amp;" "&amp;C221</f>
        <v>1/2" Hex CIM 25</v>
      </c>
      <c r="E221" s="167" t="n">
        <v>1</v>
      </c>
      <c r="I221" s="167" t="n">
        <v>0</v>
      </c>
    </row>
    <row r="222" customFormat="false" ht="14.25" hidden="false" customHeight="true" outlineLevel="0" collapsed="false">
      <c r="A222" s="167" t="s">
        <v>156</v>
      </c>
      <c r="B222" s="167" t="s">
        <v>89</v>
      </c>
      <c r="C222" s="167" t="n">
        <v>27</v>
      </c>
      <c r="D222" s="167" t="str">
        <f aca="false">A222&amp;" "&amp;B222&amp;" "&amp;C222</f>
        <v>1/2" Hex CIM 27</v>
      </c>
      <c r="E222" s="167" t="n">
        <v>1</v>
      </c>
      <c r="I222" s="167" t="n">
        <v>0</v>
      </c>
    </row>
    <row r="223" customFormat="false" ht="14.25" hidden="false" customHeight="true" outlineLevel="0" collapsed="false">
      <c r="A223" s="167" t="s">
        <v>156</v>
      </c>
      <c r="B223" s="167" t="s">
        <v>89</v>
      </c>
      <c r="C223" s="167" t="n">
        <v>28</v>
      </c>
      <c r="D223" s="167" t="str">
        <f aca="false">A223&amp;" "&amp;B223&amp;" "&amp;C223</f>
        <v>1/2" Hex CIM 28</v>
      </c>
      <c r="E223" s="167" t="n">
        <v>1</v>
      </c>
      <c r="I223" s="167" t="n">
        <v>0</v>
      </c>
    </row>
    <row r="224" customFormat="false" ht="14.25" hidden="false" customHeight="true" outlineLevel="0" collapsed="false">
      <c r="A224" s="167" t="s">
        <v>156</v>
      </c>
      <c r="B224" s="167" t="s">
        <v>89</v>
      </c>
      <c r="C224" s="167" t="n">
        <v>30</v>
      </c>
      <c r="D224" s="167" t="str">
        <f aca="false">A224&amp;" "&amp;B224&amp;" "&amp;C224</f>
        <v>1/2" Hex CIM 30</v>
      </c>
      <c r="E224" s="167" t="n">
        <v>1</v>
      </c>
      <c r="I224" s="167" t="n">
        <v>0</v>
      </c>
    </row>
    <row r="225" customFormat="false" ht="14.25" hidden="false" customHeight="true" outlineLevel="0" collapsed="false">
      <c r="A225" s="167" t="s">
        <v>156</v>
      </c>
      <c r="B225" s="167" t="s">
        <v>89</v>
      </c>
      <c r="C225" s="167" t="n">
        <v>35</v>
      </c>
      <c r="D225" s="167" t="str">
        <f aca="false">A225&amp;" "&amp;B225&amp;" "&amp;C225</f>
        <v>1/2" Hex CIM 35</v>
      </c>
      <c r="E225" s="167" t="n">
        <v>1</v>
      </c>
      <c r="I225" s="167" t="n">
        <v>0</v>
      </c>
    </row>
    <row r="226" customFormat="false" ht="14.25" hidden="false" customHeight="true" outlineLevel="0" collapsed="false">
      <c r="A226" s="167" t="s">
        <v>156</v>
      </c>
      <c r="B226" s="167" t="s">
        <v>89</v>
      </c>
      <c r="C226" s="167" t="n">
        <v>36</v>
      </c>
      <c r="D226" s="167" t="str">
        <f aca="false">A226&amp;" "&amp;B226&amp;" "&amp;C226</f>
        <v>1/2" Hex CIM 36</v>
      </c>
      <c r="E226" s="167" t="n">
        <v>1</v>
      </c>
      <c r="I226" s="167" t="n">
        <v>0</v>
      </c>
    </row>
    <row r="227" customFormat="false" ht="14.25" hidden="false" customHeight="true" outlineLevel="0" collapsed="false">
      <c r="A227" s="167" t="s">
        <v>156</v>
      </c>
      <c r="B227" s="167" t="s">
        <v>89</v>
      </c>
      <c r="C227" s="167" t="n">
        <v>40</v>
      </c>
      <c r="D227" s="167" t="str">
        <f aca="false">A227&amp;" "&amp;B227&amp;" "&amp;C227</f>
        <v>1/2" Hex CIM 40</v>
      </c>
      <c r="E227" s="167" t="n">
        <v>1</v>
      </c>
      <c r="I227" s="167" t="n">
        <v>0</v>
      </c>
    </row>
    <row r="228" customFormat="false" ht="14.25" hidden="false" customHeight="true" outlineLevel="0" collapsed="false">
      <c r="A228" s="167" t="s">
        <v>156</v>
      </c>
      <c r="B228" s="167" t="s">
        <v>89</v>
      </c>
      <c r="C228" s="167" t="n">
        <v>45</v>
      </c>
      <c r="D228" s="167" t="str">
        <f aca="false">A228&amp;" "&amp;B228&amp;" "&amp;C228</f>
        <v>1/2" Hex CIM 45</v>
      </c>
      <c r="E228" s="167" t="n">
        <v>1</v>
      </c>
      <c r="I228" s="167" t="n">
        <v>0</v>
      </c>
    </row>
    <row r="229" customFormat="false" ht="14.25" hidden="false" customHeight="true" outlineLevel="0" collapsed="false">
      <c r="A229" s="167" t="s">
        <v>156</v>
      </c>
      <c r="B229" s="167" t="s">
        <v>89</v>
      </c>
      <c r="C229" s="167" t="n">
        <v>49</v>
      </c>
      <c r="D229" s="167" t="str">
        <f aca="false">A229&amp;" "&amp;B229&amp;" "&amp;C229</f>
        <v>1/2" Hex CIM 49</v>
      </c>
      <c r="E229" s="167" t="n">
        <v>0</v>
      </c>
      <c r="I229" s="167" t="n">
        <v>0</v>
      </c>
    </row>
    <row r="230" customFormat="false" ht="14.25" hidden="false" customHeight="true" outlineLevel="0" collapsed="false">
      <c r="A230" s="167" t="s">
        <v>156</v>
      </c>
      <c r="B230" s="167" t="s">
        <v>89</v>
      </c>
      <c r="C230" s="167" t="n">
        <v>50</v>
      </c>
      <c r="D230" s="167" t="str">
        <f aca="false">A230&amp;" "&amp;B230&amp;" "&amp;C230</f>
        <v>1/2" Hex CIM 50</v>
      </c>
      <c r="E230" s="167" t="n">
        <v>1</v>
      </c>
      <c r="I230" s="167" t="n">
        <v>0</v>
      </c>
    </row>
    <row r="231" customFormat="false" ht="14.25" hidden="false" customHeight="true" outlineLevel="0" collapsed="false">
      <c r="A231" s="167" t="s">
        <v>156</v>
      </c>
      <c r="B231" s="167" t="s">
        <v>89</v>
      </c>
      <c r="C231" s="167" t="n">
        <v>63</v>
      </c>
      <c r="D231" s="167" t="str">
        <f aca="false">A231&amp;" "&amp;B231&amp;" "&amp;C231</f>
        <v>1/2" Hex CIM 63</v>
      </c>
      <c r="E231" s="167" t="n">
        <v>0</v>
      </c>
      <c r="I231" s="167" t="n">
        <v>0</v>
      </c>
    </row>
    <row r="232" customFormat="false" ht="14.25" hidden="false" customHeight="true" outlineLevel="0" collapsed="false">
      <c r="A232" s="167" t="s">
        <v>156</v>
      </c>
      <c r="B232" s="167" t="s">
        <v>89</v>
      </c>
      <c r="C232" s="167" t="n">
        <v>70</v>
      </c>
      <c r="D232" s="167" t="str">
        <f aca="false">A232&amp;" "&amp;B232&amp;" "&amp;C232</f>
        <v>1/2" Hex CIM 70</v>
      </c>
      <c r="E232" s="167" t="n">
        <v>0</v>
      </c>
      <c r="I232" s="167" t="n">
        <v>0</v>
      </c>
    </row>
    <row r="233" customFormat="false" ht="14.25" hidden="false" customHeight="true" outlineLevel="0" collapsed="false">
      <c r="A233" s="167" t="s">
        <v>156</v>
      </c>
      <c r="B233" s="167" t="s">
        <v>89</v>
      </c>
      <c r="C233" s="167" t="n">
        <v>81</v>
      </c>
      <c r="D233" s="167" t="str">
        <f aca="false">A233&amp;" "&amp;B233&amp;" "&amp;C233</f>
        <v>1/2" Hex CIM 81</v>
      </c>
      <c r="E233" s="167" t="n">
        <v>0</v>
      </c>
      <c r="I233" s="167" t="n">
        <v>0</v>
      </c>
    </row>
    <row r="234" customFormat="false" ht="14.25" hidden="false" customHeight="true" outlineLevel="0" collapsed="false">
      <c r="A234" s="167" t="s">
        <v>156</v>
      </c>
      <c r="B234" s="167" t="s">
        <v>89</v>
      </c>
      <c r="C234" s="167" t="n">
        <v>90</v>
      </c>
      <c r="D234" s="167" t="str">
        <f aca="false">A234&amp;" "&amp;B234&amp;" "&amp;C234</f>
        <v>1/2" Hex CIM 90</v>
      </c>
      <c r="E234" s="167" t="n">
        <v>0</v>
      </c>
      <c r="I234" s="167" t="n">
        <v>0</v>
      </c>
    </row>
    <row r="235" customFormat="false" ht="14.25" hidden="false" customHeight="true" outlineLevel="0" collapsed="false">
      <c r="A235" s="167" t="s">
        <v>156</v>
      </c>
      <c r="B235" s="167" t="s">
        <v>89</v>
      </c>
      <c r="C235" s="167" t="n">
        <v>100</v>
      </c>
      <c r="D235" s="167" t="str">
        <f aca="false">A235&amp;" "&amp;B235&amp;" "&amp;C235</f>
        <v>1/2" Hex CIM 100</v>
      </c>
      <c r="E235" s="167" t="n">
        <v>0</v>
      </c>
      <c r="I235" s="167" t="n">
        <v>0</v>
      </c>
    </row>
    <row r="236" customFormat="false" ht="14.25" hidden="false" customHeight="true" outlineLevel="0" collapsed="false">
      <c r="A236" s="167" t="s">
        <v>156</v>
      </c>
      <c r="B236" s="167" t="s">
        <v>256</v>
      </c>
      <c r="C236" s="167" t="n">
        <v>-3</v>
      </c>
      <c r="D236" s="167" t="str">
        <f aca="false">A236&amp;" "&amp;B236&amp;" "&amp;C236</f>
        <v>1/2" Hex NEO -3</v>
      </c>
      <c r="E236" s="167" t="n">
        <v>1</v>
      </c>
      <c r="I236" s="167" t="n">
        <v>0</v>
      </c>
    </row>
    <row r="237" customFormat="false" ht="14.25" hidden="false" customHeight="true" outlineLevel="0" collapsed="false">
      <c r="A237" s="167" t="s">
        <v>156</v>
      </c>
      <c r="B237" s="167" t="s">
        <v>256</v>
      </c>
      <c r="C237" s="167" t="n">
        <v>-4</v>
      </c>
      <c r="D237" s="167" t="str">
        <f aca="false">A237&amp;" "&amp;B237&amp;" "&amp;C237</f>
        <v>1/2" Hex NEO -4</v>
      </c>
      <c r="E237" s="167" t="n">
        <v>1</v>
      </c>
      <c r="I237" s="167" t="n">
        <v>0</v>
      </c>
    </row>
    <row r="238" customFormat="false" ht="14.25" hidden="false" customHeight="true" outlineLevel="0" collapsed="false">
      <c r="A238" s="167" t="s">
        <v>156</v>
      </c>
      <c r="B238" s="167" t="s">
        <v>256</v>
      </c>
      <c r="C238" s="167" t="n">
        <v>-5</v>
      </c>
      <c r="D238" s="167" t="str">
        <f aca="false">A238&amp;" "&amp;B238&amp;" "&amp;C238</f>
        <v>1/2" Hex NEO -5</v>
      </c>
      <c r="E238" s="167" t="n">
        <v>1</v>
      </c>
      <c r="I238" s="167" t="n">
        <v>0</v>
      </c>
    </row>
    <row r="239" customFormat="false" ht="14.25" hidden="false" customHeight="true" outlineLevel="0" collapsed="false">
      <c r="A239" s="167" t="s">
        <v>156</v>
      </c>
      <c r="B239" s="167" t="s">
        <v>256</v>
      </c>
      <c r="C239" s="167" t="n">
        <v>-7</v>
      </c>
      <c r="D239" s="167" t="str">
        <f aca="false">A239&amp;" "&amp;B239&amp;" "&amp;C239</f>
        <v>1/2" Hex NEO -7</v>
      </c>
      <c r="E239" s="167" t="n">
        <v>1</v>
      </c>
      <c r="I239" s="167" t="n">
        <v>0</v>
      </c>
    </row>
    <row r="240" customFormat="false" ht="14.25" hidden="false" customHeight="true" outlineLevel="0" collapsed="false">
      <c r="A240" s="167" t="s">
        <v>156</v>
      </c>
      <c r="B240" s="167" t="s">
        <v>256</v>
      </c>
      <c r="C240" s="167" t="n">
        <v>-9</v>
      </c>
      <c r="D240" s="167" t="str">
        <f aca="false">A240&amp;" "&amp;B240&amp;" "&amp;C240</f>
        <v>1/2" Hex NEO -9</v>
      </c>
      <c r="E240" s="167" t="n">
        <v>1</v>
      </c>
      <c r="I240" s="167" t="n">
        <v>0</v>
      </c>
    </row>
    <row r="241" customFormat="false" ht="14.25" hidden="false" customHeight="true" outlineLevel="0" collapsed="false">
      <c r="A241" s="167" t="s">
        <v>156</v>
      </c>
      <c r="B241" s="167" t="s">
        <v>256</v>
      </c>
      <c r="C241" s="167" t="n">
        <v>-10</v>
      </c>
      <c r="D241" s="167" t="str">
        <f aca="false">A241&amp;" "&amp;B241&amp;" "&amp;C241</f>
        <v>1/2" Hex NEO -10</v>
      </c>
      <c r="E241" s="167" t="n">
        <v>1</v>
      </c>
      <c r="I241" s="167" t="n">
        <v>0</v>
      </c>
    </row>
    <row r="242" customFormat="false" ht="14.25" hidden="false" customHeight="true" outlineLevel="0" collapsed="false">
      <c r="A242" s="167" t="s">
        <v>156</v>
      </c>
      <c r="B242" s="167" t="s">
        <v>256</v>
      </c>
      <c r="C242" s="167" t="n">
        <v>9</v>
      </c>
      <c r="D242" s="167" t="str">
        <f aca="false">A242&amp;" "&amp;B242&amp;" "&amp;C242</f>
        <v>1/2" Hex NEO 9</v>
      </c>
      <c r="E242" s="167" t="n">
        <v>5</v>
      </c>
      <c r="I242" s="167" t="n">
        <v>0</v>
      </c>
    </row>
    <row r="243" customFormat="false" ht="14.25" hidden="false" customHeight="true" outlineLevel="0" collapsed="false">
      <c r="A243" s="167" t="s">
        <v>156</v>
      </c>
      <c r="B243" s="167" t="s">
        <v>256</v>
      </c>
      <c r="C243" s="167" t="n">
        <v>12</v>
      </c>
      <c r="D243" s="167" t="str">
        <f aca="false">A243&amp;" "&amp;B243&amp;" "&amp;C243</f>
        <v>1/2" Hex NEO 12</v>
      </c>
      <c r="E243" s="167" t="n">
        <v>3</v>
      </c>
      <c r="I243" s="167" t="n">
        <v>0</v>
      </c>
    </row>
    <row r="244" customFormat="false" ht="14.25" hidden="false" customHeight="true" outlineLevel="0" collapsed="false">
      <c r="A244" s="167" t="s">
        <v>156</v>
      </c>
      <c r="B244" s="167" t="s">
        <v>256</v>
      </c>
      <c r="C244" s="167" t="n">
        <v>15</v>
      </c>
      <c r="D244" s="167" t="str">
        <f aca="false">A244&amp;" "&amp;B244&amp;" "&amp;C244</f>
        <v>1/2" Hex NEO 15</v>
      </c>
      <c r="E244" s="167" t="n">
        <v>3</v>
      </c>
      <c r="I244" s="167" t="n">
        <v>0</v>
      </c>
    </row>
    <row r="245" customFormat="false" ht="14.25" hidden="false" customHeight="true" outlineLevel="0" collapsed="false">
      <c r="A245" s="167" t="s">
        <v>156</v>
      </c>
      <c r="B245" s="167" t="s">
        <v>256</v>
      </c>
      <c r="C245" s="167" t="n">
        <v>16</v>
      </c>
      <c r="D245" s="167" t="str">
        <f aca="false">A245&amp;" "&amp;B245&amp;" "&amp;C245</f>
        <v>1/2" Hex NEO 16</v>
      </c>
      <c r="E245" s="167" t="n">
        <v>1</v>
      </c>
      <c r="I245" s="167" t="n">
        <v>0</v>
      </c>
    </row>
    <row r="246" customFormat="false" ht="14.25" hidden="false" customHeight="true" outlineLevel="0" collapsed="false">
      <c r="A246" s="167" t="s">
        <v>156</v>
      </c>
      <c r="B246" s="167" t="s">
        <v>256</v>
      </c>
      <c r="C246" s="167" t="n">
        <v>20</v>
      </c>
      <c r="D246" s="167" t="str">
        <f aca="false">A246&amp;" "&amp;B246&amp;" "&amp;C246</f>
        <v>1/2" Hex NEO 20</v>
      </c>
      <c r="E246" s="167" t="n">
        <v>1</v>
      </c>
      <c r="I246" s="167" t="n">
        <v>0</v>
      </c>
    </row>
    <row r="247" customFormat="false" ht="14.25" hidden="false" customHeight="true" outlineLevel="0" collapsed="false">
      <c r="A247" s="167" t="s">
        <v>156</v>
      </c>
      <c r="B247" s="167" t="s">
        <v>256</v>
      </c>
      <c r="C247" s="167" t="n">
        <v>21</v>
      </c>
      <c r="D247" s="167" t="str">
        <f aca="false">A247&amp;" "&amp;B247&amp;" "&amp;C247</f>
        <v>1/2" Hex NEO 21</v>
      </c>
      <c r="E247" s="167" t="n">
        <v>1</v>
      </c>
      <c r="I247" s="167" t="n">
        <v>0</v>
      </c>
    </row>
    <row r="248" customFormat="false" ht="14.25" hidden="false" customHeight="true" outlineLevel="0" collapsed="false">
      <c r="A248" s="167" t="s">
        <v>156</v>
      </c>
      <c r="B248" s="167" t="s">
        <v>256</v>
      </c>
      <c r="C248" s="167" t="n">
        <v>25</v>
      </c>
      <c r="D248" s="167" t="str">
        <f aca="false">A248&amp;" "&amp;B248&amp;" "&amp;C248</f>
        <v>1/2" Hex NEO 25</v>
      </c>
      <c r="E248" s="167" t="n">
        <v>1</v>
      </c>
      <c r="I248" s="167" t="n">
        <v>0</v>
      </c>
    </row>
    <row r="249" customFormat="false" ht="14.25" hidden="false" customHeight="true" outlineLevel="0" collapsed="false">
      <c r="A249" s="167" t="s">
        <v>156</v>
      </c>
      <c r="B249" s="167" t="s">
        <v>256</v>
      </c>
      <c r="C249" s="167" t="n">
        <v>27</v>
      </c>
      <c r="D249" s="167" t="str">
        <f aca="false">A249&amp;" "&amp;B249&amp;" "&amp;C249</f>
        <v>1/2" Hex NEO 27</v>
      </c>
      <c r="E249" s="167" t="n">
        <v>1</v>
      </c>
      <c r="I249" s="167" t="n">
        <v>0</v>
      </c>
    </row>
    <row r="250" customFormat="false" ht="14.25" hidden="false" customHeight="true" outlineLevel="0" collapsed="false">
      <c r="A250" s="167" t="s">
        <v>156</v>
      </c>
      <c r="B250" s="167" t="s">
        <v>256</v>
      </c>
      <c r="C250" s="167" t="n">
        <v>28</v>
      </c>
      <c r="D250" s="167" t="str">
        <f aca="false">A250&amp;" "&amp;B250&amp;" "&amp;C250</f>
        <v>1/2" Hex NEO 28</v>
      </c>
      <c r="E250" s="167" t="n">
        <v>1</v>
      </c>
      <c r="I250" s="167" t="n">
        <v>0</v>
      </c>
    </row>
    <row r="251" customFormat="false" ht="14.25" hidden="false" customHeight="true" outlineLevel="0" collapsed="false">
      <c r="A251" s="167" t="s">
        <v>156</v>
      </c>
      <c r="B251" s="167" t="s">
        <v>256</v>
      </c>
      <c r="C251" s="167" t="n">
        <v>30</v>
      </c>
      <c r="D251" s="167" t="str">
        <f aca="false">A251&amp;" "&amp;B251&amp;" "&amp;C251</f>
        <v>1/2" Hex NEO 30</v>
      </c>
      <c r="E251" s="167" t="n">
        <v>1</v>
      </c>
      <c r="I251" s="167" t="n">
        <v>0</v>
      </c>
    </row>
    <row r="252" customFormat="false" ht="14.25" hidden="false" customHeight="true" outlineLevel="0" collapsed="false">
      <c r="A252" s="167" t="s">
        <v>156</v>
      </c>
      <c r="B252" s="167" t="s">
        <v>256</v>
      </c>
      <c r="C252" s="167" t="n">
        <v>35</v>
      </c>
      <c r="D252" s="167" t="str">
        <f aca="false">A252&amp;" "&amp;B252&amp;" "&amp;C252</f>
        <v>1/2" Hex NEO 35</v>
      </c>
      <c r="E252" s="167" t="n">
        <v>1</v>
      </c>
      <c r="I252" s="167" t="n">
        <v>0</v>
      </c>
    </row>
    <row r="253" customFormat="false" ht="14.25" hidden="false" customHeight="true" outlineLevel="0" collapsed="false">
      <c r="A253" s="167" t="s">
        <v>156</v>
      </c>
      <c r="B253" s="167" t="s">
        <v>256</v>
      </c>
      <c r="C253" s="167" t="n">
        <v>36</v>
      </c>
      <c r="D253" s="167" t="str">
        <f aca="false">A253&amp;" "&amp;B253&amp;" "&amp;C253</f>
        <v>1/2" Hex NEO 36</v>
      </c>
      <c r="E253" s="167" t="n">
        <v>1</v>
      </c>
      <c r="I253" s="167" t="n">
        <v>0</v>
      </c>
    </row>
    <row r="254" customFormat="false" ht="14.25" hidden="false" customHeight="true" outlineLevel="0" collapsed="false">
      <c r="A254" s="167" t="s">
        <v>156</v>
      </c>
      <c r="B254" s="167" t="s">
        <v>256</v>
      </c>
      <c r="C254" s="167" t="n">
        <v>40</v>
      </c>
      <c r="D254" s="167" t="str">
        <f aca="false">A254&amp;" "&amp;B254&amp;" "&amp;C254</f>
        <v>1/2" Hex NEO 40</v>
      </c>
      <c r="E254" s="167" t="n">
        <v>1</v>
      </c>
      <c r="I254" s="167" t="n">
        <v>0</v>
      </c>
    </row>
    <row r="255" customFormat="false" ht="14.25" hidden="false" customHeight="true" outlineLevel="0" collapsed="false">
      <c r="A255" s="167" t="s">
        <v>156</v>
      </c>
      <c r="B255" s="167" t="s">
        <v>256</v>
      </c>
      <c r="C255" s="167" t="n">
        <v>45</v>
      </c>
      <c r="D255" s="167" t="str">
        <f aca="false">A255&amp;" "&amp;B255&amp;" "&amp;C255</f>
        <v>1/2" Hex NEO 45</v>
      </c>
      <c r="E255" s="167" t="n">
        <v>1</v>
      </c>
      <c r="I255" s="167" t="n">
        <v>0</v>
      </c>
    </row>
    <row r="256" customFormat="false" ht="14.25" hidden="false" customHeight="true" outlineLevel="0" collapsed="false">
      <c r="A256" s="167" t="s">
        <v>156</v>
      </c>
      <c r="B256" s="167" t="s">
        <v>256</v>
      </c>
      <c r="C256" s="167" t="n">
        <v>49</v>
      </c>
      <c r="D256" s="167" t="str">
        <f aca="false">A256&amp;" "&amp;B256&amp;" "&amp;C256</f>
        <v>1/2" Hex NEO 49</v>
      </c>
      <c r="E256" s="167" t="n">
        <v>0</v>
      </c>
      <c r="I256" s="167" t="n">
        <v>0</v>
      </c>
    </row>
    <row r="257" customFormat="false" ht="14.25" hidden="false" customHeight="true" outlineLevel="0" collapsed="false">
      <c r="A257" s="167" t="s">
        <v>156</v>
      </c>
      <c r="B257" s="167" t="s">
        <v>256</v>
      </c>
      <c r="C257" s="167" t="n">
        <v>50</v>
      </c>
      <c r="D257" s="167" t="str">
        <f aca="false">A257&amp;" "&amp;B257&amp;" "&amp;C257</f>
        <v>1/2" Hex NEO 50</v>
      </c>
      <c r="E257" s="167" t="n">
        <v>0</v>
      </c>
      <c r="I257" s="167" t="n">
        <v>0</v>
      </c>
    </row>
    <row r="258" customFormat="false" ht="14.25" hidden="false" customHeight="true" outlineLevel="0" collapsed="false">
      <c r="A258" s="167" t="s">
        <v>156</v>
      </c>
      <c r="B258" s="167" t="s">
        <v>256</v>
      </c>
      <c r="C258" s="167" t="n">
        <v>63</v>
      </c>
      <c r="D258" s="167" t="str">
        <f aca="false">A258&amp;" "&amp;B258&amp;" "&amp;C258</f>
        <v>1/2" Hex NEO 63</v>
      </c>
      <c r="E258" s="167" t="n">
        <v>0</v>
      </c>
      <c r="I258" s="167" t="n">
        <v>0</v>
      </c>
    </row>
    <row r="259" customFormat="false" ht="14.25" hidden="false" customHeight="true" outlineLevel="0" collapsed="false">
      <c r="A259" s="167" t="s">
        <v>156</v>
      </c>
      <c r="B259" s="167" t="s">
        <v>256</v>
      </c>
      <c r="C259" s="167" t="n">
        <v>70</v>
      </c>
      <c r="D259" s="167" t="str">
        <f aca="false">A259&amp;" "&amp;B259&amp;" "&amp;C259</f>
        <v>1/2" Hex NEO 70</v>
      </c>
      <c r="E259" s="167" t="n">
        <v>0</v>
      </c>
      <c r="I259" s="167" t="n">
        <v>0</v>
      </c>
    </row>
    <row r="260" customFormat="false" ht="14.25" hidden="false" customHeight="true" outlineLevel="0" collapsed="false">
      <c r="A260" s="167" t="s">
        <v>156</v>
      </c>
      <c r="B260" s="167" t="s">
        <v>256</v>
      </c>
      <c r="C260" s="167" t="n">
        <v>81</v>
      </c>
      <c r="D260" s="167" t="str">
        <f aca="false">A260&amp;" "&amp;B260&amp;" "&amp;C260</f>
        <v>1/2" Hex NEO 81</v>
      </c>
      <c r="E260" s="167" t="n">
        <v>0</v>
      </c>
      <c r="I260" s="167" t="n">
        <v>0</v>
      </c>
    </row>
    <row r="261" customFormat="false" ht="14.25" hidden="false" customHeight="true" outlineLevel="0" collapsed="false">
      <c r="A261" s="167" t="s">
        <v>156</v>
      </c>
      <c r="B261" s="167" t="s">
        <v>256</v>
      </c>
      <c r="C261" s="167" t="n">
        <v>90</v>
      </c>
      <c r="D261" s="167" t="str">
        <f aca="false">A261&amp;" "&amp;B261&amp;" "&amp;C261</f>
        <v>1/2" Hex NEO 90</v>
      </c>
      <c r="E261" s="167" t="n">
        <v>0</v>
      </c>
      <c r="I261" s="167" t="n">
        <v>0</v>
      </c>
    </row>
    <row r="262" customFormat="false" ht="14.25" hidden="false" customHeight="true" outlineLevel="0" collapsed="false">
      <c r="A262" s="167" t="s">
        <v>156</v>
      </c>
      <c r="B262" s="167" t="s">
        <v>256</v>
      </c>
      <c r="C262" s="167" t="n">
        <v>100</v>
      </c>
      <c r="D262" s="167" t="str">
        <f aca="false">A262&amp;" "&amp;B262&amp;" "&amp;C262</f>
        <v>1/2" Hex NEO 100</v>
      </c>
      <c r="E262" s="167" t="n">
        <v>0</v>
      </c>
      <c r="I262" s="167" t="n">
        <v>0</v>
      </c>
    </row>
    <row r="263" customFormat="false" ht="14.25" hidden="false" customHeight="true" outlineLevel="0" collapsed="false">
      <c r="A263" s="167" t="s">
        <v>156</v>
      </c>
      <c r="B263" s="167" t="s">
        <v>257</v>
      </c>
      <c r="C263" s="167" t="n">
        <v>-3</v>
      </c>
      <c r="D263" s="167" t="str">
        <f aca="false">A263&amp;" "&amp;B263&amp;" "&amp;C263</f>
        <v>1/2" Hex Falcon 500 -3</v>
      </c>
      <c r="E263" s="167" t="n">
        <v>1</v>
      </c>
      <c r="I263" s="167" t="n">
        <v>0</v>
      </c>
    </row>
    <row r="264" customFormat="false" ht="14.25" hidden="false" customHeight="true" outlineLevel="0" collapsed="false">
      <c r="A264" s="167" t="s">
        <v>156</v>
      </c>
      <c r="B264" s="167" t="s">
        <v>257</v>
      </c>
      <c r="C264" s="167" t="n">
        <v>-4</v>
      </c>
      <c r="D264" s="167" t="str">
        <f aca="false">A264&amp;" "&amp;B264&amp;" "&amp;C264</f>
        <v>1/2" Hex Falcon 500 -4</v>
      </c>
      <c r="E264" s="167" t="n">
        <v>1</v>
      </c>
      <c r="I264" s="167" t="n">
        <v>0</v>
      </c>
    </row>
    <row r="265" customFormat="false" ht="14.25" hidden="false" customHeight="true" outlineLevel="0" collapsed="false">
      <c r="A265" s="167" t="s">
        <v>156</v>
      </c>
      <c r="B265" s="167" t="s">
        <v>257</v>
      </c>
      <c r="C265" s="167" t="n">
        <v>-5</v>
      </c>
      <c r="D265" s="167" t="str">
        <f aca="false">A265&amp;" "&amp;B265&amp;" "&amp;C265</f>
        <v>1/2" Hex Falcon 500 -5</v>
      </c>
      <c r="E265" s="167" t="n">
        <v>1</v>
      </c>
      <c r="I265" s="167" t="n">
        <v>0</v>
      </c>
    </row>
    <row r="266" customFormat="false" ht="14.25" hidden="false" customHeight="true" outlineLevel="0" collapsed="false">
      <c r="A266" s="167" t="s">
        <v>156</v>
      </c>
      <c r="B266" s="167" t="s">
        <v>257</v>
      </c>
      <c r="C266" s="167" t="n">
        <v>-7</v>
      </c>
      <c r="D266" s="167" t="str">
        <f aca="false">A266&amp;" "&amp;B266&amp;" "&amp;C266</f>
        <v>1/2" Hex Falcon 500 -7</v>
      </c>
      <c r="E266" s="167" t="n">
        <v>1</v>
      </c>
      <c r="I266" s="167" t="n">
        <v>0</v>
      </c>
    </row>
    <row r="267" customFormat="false" ht="14.25" hidden="false" customHeight="true" outlineLevel="0" collapsed="false">
      <c r="A267" s="167" t="s">
        <v>156</v>
      </c>
      <c r="B267" s="167" t="s">
        <v>257</v>
      </c>
      <c r="C267" s="167" t="n">
        <v>-9</v>
      </c>
      <c r="D267" s="167" t="str">
        <f aca="false">A267&amp;" "&amp;B267&amp;" "&amp;C267</f>
        <v>1/2" Hex Falcon 500 -9</v>
      </c>
      <c r="E267" s="167" t="n">
        <v>1</v>
      </c>
      <c r="I267" s="167" t="n">
        <v>0</v>
      </c>
    </row>
    <row r="268" customFormat="false" ht="14.25" hidden="false" customHeight="true" outlineLevel="0" collapsed="false">
      <c r="A268" s="167" t="s">
        <v>156</v>
      </c>
      <c r="B268" s="167" t="s">
        <v>257</v>
      </c>
      <c r="C268" s="167" t="n">
        <v>-10</v>
      </c>
      <c r="D268" s="167" t="str">
        <f aca="false">A268&amp;" "&amp;B268&amp;" "&amp;C268</f>
        <v>1/2" Hex Falcon 500 -10</v>
      </c>
      <c r="E268" s="167" t="n">
        <v>1</v>
      </c>
      <c r="I268" s="167" t="n">
        <v>0</v>
      </c>
    </row>
    <row r="269" customFormat="false" ht="14.25" hidden="false" customHeight="true" outlineLevel="0" collapsed="false">
      <c r="A269" s="167" t="s">
        <v>156</v>
      </c>
      <c r="B269" s="167" t="s">
        <v>257</v>
      </c>
      <c r="C269" s="167" t="n">
        <v>9</v>
      </c>
      <c r="D269" s="167" t="str">
        <f aca="false">A269&amp;" "&amp;B269&amp;" "&amp;C269</f>
        <v>1/2" Hex Falcon 500 9</v>
      </c>
      <c r="E269" s="167" t="n">
        <v>3</v>
      </c>
      <c r="I269" s="167" t="n">
        <v>0</v>
      </c>
    </row>
    <row r="270" customFormat="false" ht="14.25" hidden="false" customHeight="true" outlineLevel="0" collapsed="false">
      <c r="A270" s="167" t="s">
        <v>156</v>
      </c>
      <c r="B270" s="167" t="s">
        <v>257</v>
      </c>
      <c r="C270" s="167" t="n">
        <v>12</v>
      </c>
      <c r="D270" s="167" t="str">
        <f aca="false">A270&amp;" "&amp;B270&amp;" "&amp;C270</f>
        <v>1/2" Hex Falcon 500 12</v>
      </c>
      <c r="E270" s="167" t="n">
        <v>1</v>
      </c>
      <c r="I270" s="167" t="n">
        <v>0</v>
      </c>
    </row>
    <row r="271" customFormat="false" ht="14.25" hidden="false" customHeight="true" outlineLevel="0" collapsed="false">
      <c r="A271" s="167" t="s">
        <v>156</v>
      </c>
      <c r="B271" s="167" t="s">
        <v>257</v>
      </c>
      <c r="C271" s="167" t="n">
        <v>15</v>
      </c>
      <c r="D271" s="167" t="str">
        <f aca="false">A271&amp;" "&amp;B271&amp;" "&amp;C271</f>
        <v>1/2" Hex Falcon 500 15</v>
      </c>
      <c r="E271" s="167" t="n">
        <v>1</v>
      </c>
      <c r="I271" s="167" t="n">
        <v>0</v>
      </c>
    </row>
    <row r="272" customFormat="false" ht="14.25" hidden="false" customHeight="true" outlineLevel="0" collapsed="false">
      <c r="A272" s="167" t="s">
        <v>156</v>
      </c>
      <c r="B272" s="167" t="s">
        <v>257</v>
      </c>
      <c r="C272" s="167" t="n">
        <v>16</v>
      </c>
      <c r="D272" s="167" t="str">
        <f aca="false">A272&amp;" "&amp;B272&amp;" "&amp;C272</f>
        <v>1/2" Hex Falcon 500 16</v>
      </c>
      <c r="E272" s="167" t="n">
        <v>1</v>
      </c>
      <c r="I272" s="167" t="n">
        <v>0</v>
      </c>
    </row>
    <row r="273" customFormat="false" ht="14.25" hidden="false" customHeight="true" outlineLevel="0" collapsed="false">
      <c r="A273" s="167" t="s">
        <v>156</v>
      </c>
      <c r="B273" s="167" t="s">
        <v>257</v>
      </c>
      <c r="C273" s="167" t="n">
        <v>20</v>
      </c>
      <c r="D273" s="167" t="str">
        <f aca="false">A273&amp;" "&amp;B273&amp;" "&amp;C273</f>
        <v>1/2" Hex Falcon 500 20</v>
      </c>
      <c r="E273" s="167" t="n">
        <v>1</v>
      </c>
      <c r="I273" s="167" t="n">
        <v>0</v>
      </c>
    </row>
    <row r="274" customFormat="false" ht="14.25" hidden="false" customHeight="true" outlineLevel="0" collapsed="false">
      <c r="A274" s="167" t="s">
        <v>156</v>
      </c>
      <c r="B274" s="167" t="s">
        <v>257</v>
      </c>
      <c r="C274" s="167" t="n">
        <v>21</v>
      </c>
      <c r="D274" s="167" t="str">
        <f aca="false">A274&amp;" "&amp;B274&amp;" "&amp;C274</f>
        <v>1/2" Hex Falcon 500 21</v>
      </c>
      <c r="E274" s="167" t="n">
        <v>1</v>
      </c>
      <c r="I274" s="167" t="n">
        <v>0</v>
      </c>
    </row>
    <row r="275" customFormat="false" ht="14.25" hidden="false" customHeight="true" outlineLevel="0" collapsed="false">
      <c r="A275" s="167" t="s">
        <v>156</v>
      </c>
      <c r="B275" s="167" t="s">
        <v>257</v>
      </c>
      <c r="C275" s="167" t="n">
        <v>25</v>
      </c>
      <c r="D275" s="167" t="str">
        <f aca="false">A275&amp;" "&amp;B275&amp;" "&amp;C275</f>
        <v>1/2" Hex Falcon 500 25</v>
      </c>
      <c r="E275" s="167" t="n">
        <v>1</v>
      </c>
      <c r="I275" s="167" t="n">
        <v>0</v>
      </c>
    </row>
    <row r="276" customFormat="false" ht="14.25" hidden="false" customHeight="true" outlineLevel="0" collapsed="false">
      <c r="A276" s="167" t="s">
        <v>156</v>
      </c>
      <c r="B276" s="167" t="s">
        <v>257</v>
      </c>
      <c r="C276" s="167" t="n">
        <v>27</v>
      </c>
      <c r="D276" s="167" t="str">
        <f aca="false">A276&amp;" "&amp;B276&amp;" "&amp;C276</f>
        <v>1/2" Hex Falcon 500 27</v>
      </c>
      <c r="E276" s="167" t="n">
        <v>1</v>
      </c>
      <c r="I276" s="167" t="n">
        <v>0</v>
      </c>
    </row>
    <row r="277" customFormat="false" ht="14.25" hidden="false" customHeight="true" outlineLevel="0" collapsed="false">
      <c r="A277" s="167" t="s">
        <v>156</v>
      </c>
      <c r="B277" s="167" t="s">
        <v>257</v>
      </c>
      <c r="C277" s="167" t="n">
        <v>28</v>
      </c>
      <c r="D277" s="167" t="str">
        <f aca="false">A277&amp;" "&amp;B277&amp;" "&amp;C277</f>
        <v>1/2" Hex Falcon 500 28</v>
      </c>
      <c r="E277" s="167" t="n">
        <v>1</v>
      </c>
      <c r="I277" s="167" t="n">
        <v>0</v>
      </c>
    </row>
    <row r="278" customFormat="false" ht="14.25" hidden="false" customHeight="true" outlineLevel="0" collapsed="false">
      <c r="A278" s="167" t="s">
        <v>156</v>
      </c>
      <c r="B278" s="167" t="s">
        <v>257</v>
      </c>
      <c r="C278" s="167" t="n">
        <v>30</v>
      </c>
      <c r="D278" s="167" t="str">
        <f aca="false">A278&amp;" "&amp;B278&amp;" "&amp;C278</f>
        <v>1/2" Hex Falcon 500 30</v>
      </c>
      <c r="E278" s="167" t="n">
        <v>1</v>
      </c>
      <c r="I278" s="167" t="n">
        <v>0</v>
      </c>
    </row>
    <row r="279" customFormat="false" ht="14.25" hidden="false" customHeight="true" outlineLevel="0" collapsed="false">
      <c r="A279" s="167" t="s">
        <v>156</v>
      </c>
      <c r="B279" s="167" t="s">
        <v>257</v>
      </c>
      <c r="C279" s="167" t="n">
        <v>35</v>
      </c>
      <c r="D279" s="167" t="str">
        <f aca="false">A279&amp;" "&amp;B279&amp;" "&amp;C279</f>
        <v>1/2" Hex Falcon 500 35</v>
      </c>
      <c r="E279" s="167" t="n">
        <v>0</v>
      </c>
      <c r="I279" s="167" t="n">
        <v>0</v>
      </c>
    </row>
    <row r="280" customFormat="false" ht="14.25" hidden="false" customHeight="true" outlineLevel="0" collapsed="false">
      <c r="A280" s="167" t="s">
        <v>156</v>
      </c>
      <c r="B280" s="167" t="s">
        <v>257</v>
      </c>
      <c r="C280" s="167" t="n">
        <v>36</v>
      </c>
      <c r="D280" s="167" t="str">
        <f aca="false">A280&amp;" "&amp;B280&amp;" "&amp;C280</f>
        <v>1/2" Hex Falcon 500 36</v>
      </c>
      <c r="E280" s="167" t="n">
        <v>0</v>
      </c>
      <c r="I280" s="167" t="n">
        <v>0</v>
      </c>
    </row>
    <row r="281" customFormat="false" ht="14.25" hidden="false" customHeight="true" outlineLevel="0" collapsed="false">
      <c r="A281" s="167" t="s">
        <v>156</v>
      </c>
      <c r="B281" s="167" t="s">
        <v>257</v>
      </c>
      <c r="C281" s="167" t="n">
        <v>40</v>
      </c>
      <c r="D281" s="167" t="str">
        <f aca="false">A281&amp;" "&amp;B281&amp;" "&amp;C281</f>
        <v>1/2" Hex Falcon 500 40</v>
      </c>
      <c r="E281" s="167" t="n">
        <v>0</v>
      </c>
      <c r="I281" s="167" t="n">
        <v>0</v>
      </c>
    </row>
    <row r="282" customFormat="false" ht="14.25" hidden="false" customHeight="true" outlineLevel="0" collapsed="false">
      <c r="A282" s="167" t="s">
        <v>156</v>
      </c>
      <c r="B282" s="167" t="s">
        <v>257</v>
      </c>
      <c r="C282" s="167" t="n">
        <v>45</v>
      </c>
      <c r="D282" s="167" t="str">
        <f aca="false">A282&amp;" "&amp;B282&amp;" "&amp;C282</f>
        <v>1/2" Hex Falcon 500 45</v>
      </c>
      <c r="E282" s="167" t="n">
        <v>0</v>
      </c>
      <c r="I282" s="167" t="n">
        <v>0</v>
      </c>
    </row>
    <row r="283" customFormat="false" ht="14.25" hidden="false" customHeight="true" outlineLevel="0" collapsed="false">
      <c r="A283" s="167" t="s">
        <v>156</v>
      </c>
      <c r="B283" s="167" t="s">
        <v>257</v>
      </c>
      <c r="C283" s="167" t="n">
        <v>49</v>
      </c>
      <c r="D283" s="167" t="str">
        <f aca="false">A283&amp;" "&amp;B283&amp;" "&amp;C283</f>
        <v>1/2" Hex Falcon 500 49</v>
      </c>
      <c r="E283" s="167" t="n">
        <v>0</v>
      </c>
      <c r="I283" s="167" t="n">
        <v>0</v>
      </c>
    </row>
    <row r="284" customFormat="false" ht="14.25" hidden="false" customHeight="true" outlineLevel="0" collapsed="false">
      <c r="A284" s="167" t="s">
        <v>156</v>
      </c>
      <c r="B284" s="167" t="s">
        <v>257</v>
      </c>
      <c r="C284" s="167" t="n">
        <v>50</v>
      </c>
      <c r="D284" s="167" t="str">
        <f aca="false">A284&amp;" "&amp;B284&amp;" "&amp;C284</f>
        <v>1/2" Hex Falcon 500 50</v>
      </c>
      <c r="E284" s="167" t="n">
        <v>0</v>
      </c>
      <c r="I284" s="167" t="n">
        <v>0</v>
      </c>
    </row>
    <row r="285" customFormat="false" ht="14.25" hidden="false" customHeight="true" outlineLevel="0" collapsed="false">
      <c r="A285" s="167" t="s">
        <v>156</v>
      </c>
      <c r="B285" s="167" t="s">
        <v>257</v>
      </c>
      <c r="C285" s="167" t="n">
        <v>63</v>
      </c>
      <c r="D285" s="167" t="str">
        <f aca="false">A285&amp;" "&amp;B285&amp;" "&amp;C285</f>
        <v>1/2" Hex Falcon 500 63</v>
      </c>
      <c r="E285" s="167" t="n">
        <v>0</v>
      </c>
      <c r="I285" s="167" t="n">
        <v>0</v>
      </c>
    </row>
    <row r="286" customFormat="false" ht="14.25" hidden="false" customHeight="true" outlineLevel="0" collapsed="false">
      <c r="A286" s="167" t="s">
        <v>156</v>
      </c>
      <c r="B286" s="167" t="s">
        <v>257</v>
      </c>
      <c r="C286" s="167" t="n">
        <v>70</v>
      </c>
      <c r="D286" s="167" t="str">
        <f aca="false">A286&amp;" "&amp;B286&amp;" "&amp;C286</f>
        <v>1/2" Hex Falcon 500 70</v>
      </c>
      <c r="E286" s="167" t="n">
        <v>0</v>
      </c>
      <c r="I286" s="167" t="n">
        <v>0</v>
      </c>
    </row>
    <row r="287" customFormat="false" ht="14.25" hidden="false" customHeight="true" outlineLevel="0" collapsed="false">
      <c r="A287" s="167" t="s">
        <v>156</v>
      </c>
      <c r="B287" s="167" t="s">
        <v>257</v>
      </c>
      <c r="C287" s="167" t="n">
        <v>81</v>
      </c>
      <c r="D287" s="167" t="str">
        <f aca="false">A287&amp;" "&amp;B287&amp;" "&amp;C287</f>
        <v>1/2" Hex Falcon 500 81</v>
      </c>
      <c r="E287" s="167" t="n">
        <v>0</v>
      </c>
      <c r="I287" s="167" t="n">
        <v>0</v>
      </c>
    </row>
    <row r="288" customFormat="false" ht="14.25" hidden="false" customHeight="true" outlineLevel="0" collapsed="false">
      <c r="A288" s="167" t="s">
        <v>156</v>
      </c>
      <c r="B288" s="167" t="s">
        <v>257</v>
      </c>
      <c r="C288" s="167" t="n">
        <v>90</v>
      </c>
      <c r="D288" s="167" t="str">
        <f aca="false">A288&amp;" "&amp;B288&amp;" "&amp;C288</f>
        <v>1/2" Hex Falcon 500 90</v>
      </c>
      <c r="E288" s="167" t="n">
        <v>0</v>
      </c>
      <c r="I288" s="167" t="n">
        <v>0</v>
      </c>
    </row>
    <row r="289" customFormat="false" ht="14.25" hidden="false" customHeight="true" outlineLevel="0" collapsed="false">
      <c r="A289" s="167" t="s">
        <v>156</v>
      </c>
      <c r="B289" s="167" t="s">
        <v>257</v>
      </c>
      <c r="C289" s="167" t="n">
        <v>100</v>
      </c>
      <c r="D289" s="167" t="str">
        <f aca="false">A289&amp;" "&amp;B289&amp;" "&amp;C289</f>
        <v>1/2" Hex Falcon 500 100</v>
      </c>
      <c r="E289" s="167" t="n">
        <v>0</v>
      </c>
      <c r="I289" s="167" t="n">
        <v>0</v>
      </c>
    </row>
    <row r="290" customFormat="false" ht="14.25" hidden="false" customHeight="true" outlineLevel="0" collapsed="false">
      <c r="A290" s="167" t="s">
        <v>243</v>
      </c>
      <c r="B290" s="167" t="s">
        <v>236</v>
      </c>
      <c r="C290" s="167" t="n">
        <v>-3</v>
      </c>
      <c r="D290" s="167" t="str">
        <f aca="false">A290&amp;" "&amp;B290&amp;" "&amp;C290</f>
        <v>1/2" Round AM 9015 -3</v>
      </c>
      <c r="E290" s="167" t="n">
        <v>1</v>
      </c>
      <c r="I290" s="167" t="n">
        <v>1</v>
      </c>
    </row>
    <row r="291" customFormat="false" ht="14.25" hidden="false" customHeight="true" outlineLevel="0" collapsed="false">
      <c r="A291" s="167" t="s">
        <v>243</v>
      </c>
      <c r="B291" s="167" t="s">
        <v>236</v>
      </c>
      <c r="C291" s="167" t="n">
        <v>-4</v>
      </c>
      <c r="D291" s="167" t="str">
        <f aca="false">A291&amp;" "&amp;B291&amp;" "&amp;C291</f>
        <v>1/2" Round AM 9015 -4</v>
      </c>
      <c r="E291" s="167" t="n">
        <v>1</v>
      </c>
      <c r="I291" s="167" t="n">
        <v>1</v>
      </c>
    </row>
    <row r="292" customFormat="false" ht="14.25" hidden="false" customHeight="true" outlineLevel="0" collapsed="false">
      <c r="A292" s="167" t="s">
        <v>243</v>
      </c>
      <c r="B292" s="167" t="s">
        <v>236</v>
      </c>
      <c r="C292" s="167" t="n">
        <v>-5</v>
      </c>
      <c r="D292" s="167" t="str">
        <f aca="false">A292&amp;" "&amp;B292&amp;" "&amp;C292</f>
        <v>1/2" Round AM 9015 -5</v>
      </c>
      <c r="E292" s="167" t="n">
        <v>1</v>
      </c>
      <c r="I292" s="167" t="n">
        <v>1</v>
      </c>
    </row>
    <row r="293" customFormat="false" ht="14.25" hidden="false" customHeight="true" outlineLevel="0" collapsed="false">
      <c r="A293" s="167" t="s">
        <v>243</v>
      </c>
      <c r="B293" s="167" t="s">
        <v>236</v>
      </c>
      <c r="C293" s="167" t="n">
        <v>-7</v>
      </c>
      <c r="D293" s="167" t="str">
        <f aca="false">A293&amp;" "&amp;B293&amp;" "&amp;C293</f>
        <v>1/2" Round AM 9015 -7</v>
      </c>
      <c r="E293" s="167" t="n">
        <v>1</v>
      </c>
      <c r="I293" s="167" t="n">
        <v>1</v>
      </c>
    </row>
    <row r="294" customFormat="false" ht="14.25" hidden="false" customHeight="true" outlineLevel="0" collapsed="false">
      <c r="A294" s="167" t="s">
        <v>243</v>
      </c>
      <c r="B294" s="167" t="s">
        <v>236</v>
      </c>
      <c r="C294" s="167" t="n">
        <v>-9</v>
      </c>
      <c r="D294" s="167" t="str">
        <f aca="false">A294&amp;" "&amp;B294&amp;" "&amp;C294</f>
        <v>1/2" Round AM 9015 -9</v>
      </c>
      <c r="E294" s="167" t="n">
        <v>1</v>
      </c>
      <c r="I294" s="167" t="n">
        <v>1</v>
      </c>
    </row>
    <row r="295" customFormat="false" ht="14.25" hidden="false" customHeight="true" outlineLevel="0" collapsed="false">
      <c r="A295" s="167" t="s">
        <v>243</v>
      </c>
      <c r="B295" s="167" t="s">
        <v>236</v>
      </c>
      <c r="C295" s="167" t="n">
        <v>-10</v>
      </c>
      <c r="D295" s="167" t="str">
        <f aca="false">A295&amp;" "&amp;B295&amp;" "&amp;C295</f>
        <v>1/2" Round AM 9015 -10</v>
      </c>
      <c r="E295" s="167" t="n">
        <v>1</v>
      </c>
      <c r="I295" s="167" t="n">
        <v>1</v>
      </c>
    </row>
    <row r="296" customFormat="false" ht="14.25" hidden="false" customHeight="true" outlineLevel="0" collapsed="false">
      <c r="A296" s="167" t="s">
        <v>243</v>
      </c>
      <c r="B296" s="167" t="s">
        <v>236</v>
      </c>
      <c r="C296" s="167" t="n">
        <v>9</v>
      </c>
      <c r="D296" s="167" t="str">
        <f aca="false">A296&amp;" "&amp;B296&amp;" "&amp;C296</f>
        <v>1/2" Round AM 9015 9</v>
      </c>
      <c r="E296" s="167" t="n">
        <v>10</v>
      </c>
      <c r="I296" s="167" t="n">
        <v>10</v>
      </c>
    </row>
    <row r="297" customFormat="false" ht="14.25" hidden="false" customHeight="true" outlineLevel="0" collapsed="false">
      <c r="A297" s="167" t="s">
        <v>243</v>
      </c>
      <c r="B297" s="167" t="s">
        <v>236</v>
      </c>
      <c r="C297" s="167" t="n">
        <v>12</v>
      </c>
      <c r="D297" s="167" t="str">
        <f aca="false">A297&amp;" "&amp;B297&amp;" "&amp;C297</f>
        <v>1/2" Round AM 9015 12</v>
      </c>
      <c r="E297" s="167" t="n">
        <v>10</v>
      </c>
      <c r="I297" s="167" t="n">
        <v>7</v>
      </c>
    </row>
    <row r="298" customFormat="false" ht="14.25" hidden="false" customHeight="true" outlineLevel="0" collapsed="false">
      <c r="A298" s="167" t="s">
        <v>243</v>
      </c>
      <c r="B298" s="167" t="s">
        <v>236</v>
      </c>
      <c r="C298" s="167" t="n">
        <v>15</v>
      </c>
      <c r="D298" s="167" t="str">
        <f aca="false">A298&amp;" "&amp;B298&amp;" "&amp;C298</f>
        <v>1/2" Round AM 9015 15</v>
      </c>
      <c r="E298" s="167" t="n">
        <v>10</v>
      </c>
      <c r="I298" s="167" t="n">
        <v>5</v>
      </c>
    </row>
    <row r="299" customFormat="false" ht="14.25" hidden="false" customHeight="true" outlineLevel="0" collapsed="false">
      <c r="A299" s="167" t="s">
        <v>243</v>
      </c>
      <c r="B299" s="167" t="s">
        <v>236</v>
      </c>
      <c r="C299" s="167" t="n">
        <v>16</v>
      </c>
      <c r="D299" s="167" t="str">
        <f aca="false">A299&amp;" "&amp;B299&amp;" "&amp;C299</f>
        <v>1/2" Round AM 9015 16</v>
      </c>
      <c r="E299" s="167" t="n">
        <v>10</v>
      </c>
      <c r="I299" s="167" t="n">
        <v>5</v>
      </c>
    </row>
    <row r="300" customFormat="false" ht="14.25" hidden="false" customHeight="true" outlineLevel="0" collapsed="false">
      <c r="A300" s="167" t="s">
        <v>243</v>
      </c>
      <c r="B300" s="167" t="s">
        <v>236</v>
      </c>
      <c r="C300" s="167" t="n">
        <v>20</v>
      </c>
      <c r="D300" s="167" t="str">
        <f aca="false">A300&amp;" "&amp;B300&amp;" "&amp;C300</f>
        <v>1/2" Round AM 9015 20</v>
      </c>
      <c r="E300" s="167" t="n">
        <v>10</v>
      </c>
      <c r="I300" s="167" t="n">
        <v>4</v>
      </c>
    </row>
    <row r="301" customFormat="false" ht="14.25" hidden="false" customHeight="true" outlineLevel="0" collapsed="false">
      <c r="A301" s="167" t="s">
        <v>243</v>
      </c>
      <c r="B301" s="167" t="s">
        <v>236</v>
      </c>
      <c r="C301" s="167" t="n">
        <v>21</v>
      </c>
      <c r="D301" s="167" t="str">
        <f aca="false">A301&amp;" "&amp;B301&amp;" "&amp;C301</f>
        <v>1/2" Round AM 9015 21</v>
      </c>
      <c r="E301" s="167" t="n">
        <v>10</v>
      </c>
      <c r="I301" s="167" t="n">
        <v>4</v>
      </c>
    </row>
    <row r="302" customFormat="false" ht="14.25" hidden="false" customHeight="true" outlineLevel="0" collapsed="false">
      <c r="A302" s="167" t="s">
        <v>243</v>
      </c>
      <c r="B302" s="167" t="s">
        <v>236</v>
      </c>
      <c r="C302" s="167" t="n">
        <v>25</v>
      </c>
      <c r="D302" s="167" t="str">
        <f aca="false">A302&amp;" "&amp;B302&amp;" "&amp;C302</f>
        <v>1/2" Round AM 9015 25</v>
      </c>
      <c r="E302" s="167" t="n">
        <v>7</v>
      </c>
      <c r="I302" s="167" t="n">
        <v>3</v>
      </c>
    </row>
    <row r="303" customFormat="false" ht="14.25" hidden="false" customHeight="true" outlineLevel="0" collapsed="false">
      <c r="A303" s="167" t="s">
        <v>243</v>
      </c>
      <c r="B303" s="167" t="s">
        <v>236</v>
      </c>
      <c r="C303" s="167" t="n">
        <v>27</v>
      </c>
      <c r="D303" s="167" t="str">
        <f aca="false">A303&amp;" "&amp;B303&amp;" "&amp;C303</f>
        <v>1/2" Round AM 9015 27</v>
      </c>
      <c r="E303" s="167" t="n">
        <v>7</v>
      </c>
      <c r="I303" s="167" t="n">
        <v>3</v>
      </c>
    </row>
    <row r="304" customFormat="false" ht="14.25" hidden="false" customHeight="true" outlineLevel="0" collapsed="false">
      <c r="A304" s="167" t="s">
        <v>243</v>
      </c>
      <c r="B304" s="167" t="s">
        <v>236</v>
      </c>
      <c r="C304" s="167" t="n">
        <v>28</v>
      </c>
      <c r="D304" s="167" t="str">
        <f aca="false">A304&amp;" "&amp;B304&amp;" "&amp;C304</f>
        <v>1/2" Round AM 9015 28</v>
      </c>
      <c r="E304" s="167" t="n">
        <v>7</v>
      </c>
      <c r="I304" s="167" t="n">
        <v>3</v>
      </c>
    </row>
    <row r="305" customFormat="false" ht="14.25" hidden="false" customHeight="true" outlineLevel="0" collapsed="false">
      <c r="A305" s="167" t="s">
        <v>243</v>
      </c>
      <c r="B305" s="167" t="s">
        <v>236</v>
      </c>
      <c r="C305" s="167" t="n">
        <v>30</v>
      </c>
      <c r="D305" s="167" t="str">
        <f aca="false">A305&amp;" "&amp;B305&amp;" "&amp;C305</f>
        <v>1/2" Round AM 9015 30</v>
      </c>
      <c r="E305" s="167" t="n">
        <v>7</v>
      </c>
      <c r="I305" s="167" t="n">
        <v>3</v>
      </c>
    </row>
    <row r="306" customFormat="false" ht="14.25" hidden="false" customHeight="true" outlineLevel="0" collapsed="false">
      <c r="A306" s="167" t="s">
        <v>243</v>
      </c>
      <c r="B306" s="167" t="s">
        <v>236</v>
      </c>
      <c r="C306" s="167" t="n">
        <v>35</v>
      </c>
      <c r="D306" s="167" t="str">
        <f aca="false">A306&amp;" "&amp;B306&amp;" "&amp;C306</f>
        <v>1/2" Round AM 9015 35</v>
      </c>
      <c r="E306" s="167" t="n">
        <v>5</v>
      </c>
      <c r="I306" s="167" t="n">
        <v>1</v>
      </c>
    </row>
    <row r="307" customFormat="false" ht="14.25" hidden="false" customHeight="true" outlineLevel="0" collapsed="false">
      <c r="A307" s="167" t="s">
        <v>243</v>
      </c>
      <c r="B307" s="167" t="s">
        <v>236</v>
      </c>
      <c r="C307" s="167" t="n">
        <v>36</v>
      </c>
      <c r="D307" s="167" t="str">
        <f aca="false">A307&amp;" "&amp;B307&amp;" "&amp;C307</f>
        <v>1/2" Round AM 9015 36</v>
      </c>
      <c r="E307" s="167" t="n">
        <v>5</v>
      </c>
      <c r="I307" s="167" t="n">
        <v>1</v>
      </c>
    </row>
    <row r="308" customFormat="false" ht="14.25" hidden="false" customHeight="true" outlineLevel="0" collapsed="false">
      <c r="A308" s="167" t="s">
        <v>243</v>
      </c>
      <c r="B308" s="167" t="s">
        <v>236</v>
      </c>
      <c r="C308" s="167" t="n">
        <v>40</v>
      </c>
      <c r="D308" s="167" t="str">
        <f aca="false">A308&amp;" "&amp;B308&amp;" "&amp;C308</f>
        <v>1/2" Round AM 9015 40</v>
      </c>
      <c r="E308" s="167" t="n">
        <v>5</v>
      </c>
      <c r="I308" s="167" t="n">
        <v>1</v>
      </c>
    </row>
    <row r="309" customFormat="false" ht="14.25" hidden="false" customHeight="true" outlineLevel="0" collapsed="false">
      <c r="A309" s="167" t="s">
        <v>243</v>
      </c>
      <c r="B309" s="167" t="s">
        <v>236</v>
      </c>
      <c r="C309" s="167" t="n">
        <v>45</v>
      </c>
      <c r="D309" s="167" t="str">
        <f aca="false">A309&amp;" "&amp;B309&amp;" "&amp;C309</f>
        <v>1/2" Round AM 9015 45</v>
      </c>
      <c r="E309" s="167" t="n">
        <v>5</v>
      </c>
      <c r="I309" s="167" t="n">
        <v>1</v>
      </c>
    </row>
    <row r="310" customFormat="false" ht="14.25" hidden="false" customHeight="true" outlineLevel="0" collapsed="false">
      <c r="A310" s="167" t="s">
        <v>243</v>
      </c>
      <c r="B310" s="167" t="s">
        <v>236</v>
      </c>
      <c r="C310" s="167" t="n">
        <v>49</v>
      </c>
      <c r="D310" s="167" t="str">
        <f aca="false">A310&amp;" "&amp;B310&amp;" "&amp;C310</f>
        <v>1/2" Round AM 9015 49</v>
      </c>
      <c r="E310" s="167" t="n">
        <v>5</v>
      </c>
      <c r="I310" s="167" t="n">
        <v>1</v>
      </c>
    </row>
    <row r="311" customFormat="false" ht="14.25" hidden="false" customHeight="true" outlineLevel="0" collapsed="false">
      <c r="A311" s="167" t="s">
        <v>243</v>
      </c>
      <c r="B311" s="167" t="s">
        <v>236</v>
      </c>
      <c r="C311" s="167" t="n">
        <v>50</v>
      </c>
      <c r="D311" s="167" t="str">
        <f aca="false">A311&amp;" "&amp;B311&amp;" "&amp;C311</f>
        <v>1/2" Round AM 9015 50</v>
      </c>
      <c r="E311" s="167" t="n">
        <v>5</v>
      </c>
      <c r="I311" s="167" t="n">
        <v>1</v>
      </c>
    </row>
    <row r="312" customFormat="false" ht="14.25" hidden="false" customHeight="true" outlineLevel="0" collapsed="false">
      <c r="A312" s="167" t="s">
        <v>243</v>
      </c>
      <c r="B312" s="167" t="s">
        <v>236</v>
      </c>
      <c r="C312" s="167" t="n">
        <v>63</v>
      </c>
      <c r="D312" s="167" t="str">
        <f aca="false">A312&amp;" "&amp;B312&amp;" "&amp;C312</f>
        <v>1/2" Round AM 9015 63</v>
      </c>
      <c r="E312" s="167" t="n">
        <v>4</v>
      </c>
      <c r="I312" s="167" t="n">
        <v>1</v>
      </c>
    </row>
    <row r="313" customFormat="false" ht="14.25" hidden="false" customHeight="true" outlineLevel="0" collapsed="false">
      <c r="A313" s="167" t="s">
        <v>243</v>
      </c>
      <c r="B313" s="167" t="s">
        <v>236</v>
      </c>
      <c r="C313" s="167" t="n">
        <v>70</v>
      </c>
      <c r="D313" s="167" t="str">
        <f aca="false">A313&amp;" "&amp;B313&amp;" "&amp;C313</f>
        <v>1/2" Round AM 9015 70</v>
      </c>
      <c r="E313" s="167" t="n">
        <v>4</v>
      </c>
      <c r="I313" s="167" t="n">
        <v>1</v>
      </c>
    </row>
    <row r="314" customFormat="false" ht="14.25" hidden="false" customHeight="true" outlineLevel="0" collapsed="false">
      <c r="A314" s="167" t="s">
        <v>243</v>
      </c>
      <c r="B314" s="167" t="s">
        <v>236</v>
      </c>
      <c r="C314" s="167" t="n">
        <v>81</v>
      </c>
      <c r="D314" s="167" t="str">
        <f aca="false">A314&amp;" "&amp;B314&amp;" "&amp;C314</f>
        <v>1/2" Round AM 9015 81</v>
      </c>
      <c r="E314" s="167" t="n">
        <v>3</v>
      </c>
      <c r="I314" s="167" t="n">
        <v>1</v>
      </c>
    </row>
    <row r="315" customFormat="false" ht="14.25" hidden="false" customHeight="true" outlineLevel="0" collapsed="false">
      <c r="A315" s="167" t="s">
        <v>243</v>
      </c>
      <c r="B315" s="167" t="s">
        <v>236</v>
      </c>
      <c r="C315" s="167" t="n">
        <v>90</v>
      </c>
      <c r="D315" s="167" t="str">
        <f aca="false">A315&amp;" "&amp;B315&amp;" "&amp;C315</f>
        <v>1/2" Round AM 9015 90</v>
      </c>
      <c r="E315" s="167" t="n">
        <v>3</v>
      </c>
      <c r="I315" s="167" t="n">
        <v>1</v>
      </c>
    </row>
    <row r="316" customFormat="false" ht="14.25" hidden="false" customHeight="true" outlineLevel="0" collapsed="false">
      <c r="A316" s="167" t="s">
        <v>243</v>
      </c>
      <c r="B316" s="167" t="s">
        <v>236</v>
      </c>
      <c r="C316" s="167" t="n">
        <v>100</v>
      </c>
      <c r="D316" s="167" t="str">
        <f aca="false">A316&amp;" "&amp;B316&amp;" "&amp;C316</f>
        <v>1/2" Round AM 9015 100</v>
      </c>
      <c r="E316" s="167" t="n">
        <v>1</v>
      </c>
      <c r="I316" s="167" t="n">
        <v>0</v>
      </c>
    </row>
    <row r="317" customFormat="false" ht="14.25" hidden="false" customHeight="true" outlineLevel="0" collapsed="false">
      <c r="A317" s="167" t="s">
        <v>243</v>
      </c>
      <c r="B317" s="167" t="s">
        <v>237</v>
      </c>
      <c r="C317" s="167" t="n">
        <v>-3</v>
      </c>
      <c r="D317" s="167" t="str">
        <f aca="false">A317&amp;" "&amp;B317&amp;" "&amp;C317</f>
        <v>1/2" Round BB RS-550 -3</v>
      </c>
      <c r="E317" s="167" t="n">
        <v>1</v>
      </c>
      <c r="F317" s="167" t="n">
        <v>1</v>
      </c>
      <c r="G317" s="167" t="n">
        <v>1</v>
      </c>
      <c r="H317" s="167" t="n">
        <v>1</v>
      </c>
      <c r="I317" s="167" t="n">
        <v>1</v>
      </c>
    </row>
    <row r="318" customFormat="false" ht="14.25" hidden="false" customHeight="true" outlineLevel="0" collapsed="false">
      <c r="A318" s="167" t="s">
        <v>243</v>
      </c>
      <c r="B318" s="167" t="s">
        <v>237</v>
      </c>
      <c r="C318" s="167" t="n">
        <v>-4</v>
      </c>
      <c r="D318" s="167" t="str">
        <f aca="false">A318&amp;" "&amp;B318&amp;" "&amp;C318</f>
        <v>1/2" Round BB RS-550 -4</v>
      </c>
      <c r="E318" s="167" t="n">
        <v>1</v>
      </c>
      <c r="F318" s="167" t="n">
        <v>1</v>
      </c>
      <c r="G318" s="167" t="n">
        <v>1</v>
      </c>
      <c r="H318" s="167" t="n">
        <v>0</v>
      </c>
      <c r="I318" s="167" t="n">
        <v>1</v>
      </c>
    </row>
    <row r="319" customFormat="false" ht="14.25" hidden="false" customHeight="true" outlineLevel="0" collapsed="false">
      <c r="A319" s="167" t="s">
        <v>243</v>
      </c>
      <c r="B319" s="167" t="s">
        <v>237</v>
      </c>
      <c r="C319" s="167" t="n">
        <v>-5</v>
      </c>
      <c r="D319" s="167" t="str">
        <f aca="false">A319&amp;" "&amp;B319&amp;" "&amp;C319</f>
        <v>1/2" Round BB RS-550 -5</v>
      </c>
      <c r="E319" s="167" t="n">
        <v>1</v>
      </c>
      <c r="F319" s="167" t="n">
        <v>1</v>
      </c>
      <c r="G319" s="167" t="n">
        <v>1</v>
      </c>
      <c r="H319" s="167" t="n">
        <v>0</v>
      </c>
      <c r="I319" s="167" t="n">
        <v>1</v>
      </c>
    </row>
    <row r="320" customFormat="false" ht="14.25" hidden="false" customHeight="true" outlineLevel="0" collapsed="false">
      <c r="A320" s="167" t="s">
        <v>243</v>
      </c>
      <c r="B320" s="167" t="s">
        <v>237</v>
      </c>
      <c r="C320" s="167" t="n">
        <v>-7</v>
      </c>
      <c r="D320" s="167" t="str">
        <f aca="false">A320&amp;" "&amp;B320&amp;" "&amp;C320</f>
        <v>1/2" Round BB RS-550 -7</v>
      </c>
      <c r="E320" s="167" t="n">
        <v>1</v>
      </c>
      <c r="F320" s="167" t="n">
        <v>1</v>
      </c>
      <c r="G320" s="167" t="n">
        <v>1</v>
      </c>
      <c r="H320" s="167" t="n">
        <v>0</v>
      </c>
      <c r="I320" s="167" t="n">
        <v>1</v>
      </c>
    </row>
    <row r="321" customFormat="false" ht="14.25" hidden="false" customHeight="true" outlineLevel="0" collapsed="false">
      <c r="A321" s="167" t="s">
        <v>243</v>
      </c>
      <c r="B321" s="167" t="s">
        <v>237</v>
      </c>
      <c r="C321" s="167" t="n">
        <v>-9</v>
      </c>
      <c r="D321" s="167" t="str">
        <f aca="false">A321&amp;" "&amp;B321&amp;" "&amp;C321</f>
        <v>1/2" Round BB RS-550 -9</v>
      </c>
      <c r="E321" s="167" t="n">
        <v>1</v>
      </c>
      <c r="F321" s="167" t="n">
        <v>1</v>
      </c>
      <c r="G321" s="167" t="n">
        <v>0</v>
      </c>
      <c r="H321" s="167" t="n">
        <v>0</v>
      </c>
      <c r="I321" s="167" t="n">
        <v>1</v>
      </c>
    </row>
    <row r="322" customFormat="false" ht="14.25" hidden="false" customHeight="true" outlineLevel="0" collapsed="false">
      <c r="A322" s="167" t="s">
        <v>243</v>
      </c>
      <c r="B322" s="167" t="s">
        <v>237</v>
      </c>
      <c r="C322" s="167" t="n">
        <v>-10</v>
      </c>
      <c r="D322" s="167" t="str">
        <f aca="false">A322&amp;" "&amp;B322&amp;" "&amp;C322</f>
        <v>1/2" Round BB RS-550 -10</v>
      </c>
      <c r="E322" s="167" t="n">
        <v>1</v>
      </c>
      <c r="F322" s="167" t="n">
        <v>1</v>
      </c>
      <c r="G322" s="167" t="n">
        <v>0</v>
      </c>
      <c r="H322" s="167" t="n">
        <v>0</v>
      </c>
      <c r="I322" s="167" t="n">
        <v>1</v>
      </c>
    </row>
    <row r="323" customFormat="false" ht="14.25" hidden="false" customHeight="true" outlineLevel="0" collapsed="false">
      <c r="A323" s="167" t="s">
        <v>243</v>
      </c>
      <c r="B323" s="167" t="s">
        <v>237</v>
      </c>
      <c r="C323" s="167" t="n">
        <v>9</v>
      </c>
      <c r="D323" s="167" t="str">
        <f aca="false">A323&amp;" "&amp;B323&amp;" "&amp;C323</f>
        <v>1/2" Round BB RS-550 9</v>
      </c>
      <c r="E323" s="167" t="n">
        <v>10</v>
      </c>
      <c r="F323" s="167" t="n">
        <v>10</v>
      </c>
      <c r="G323" s="167" t="n">
        <v>1</v>
      </c>
      <c r="H323" s="167" t="n">
        <v>0</v>
      </c>
      <c r="I323" s="167" t="n">
        <v>10</v>
      </c>
    </row>
    <row r="324" customFormat="false" ht="14.25" hidden="false" customHeight="true" outlineLevel="0" collapsed="false">
      <c r="A324" s="167" t="s">
        <v>243</v>
      </c>
      <c r="B324" s="167" t="s">
        <v>237</v>
      </c>
      <c r="C324" s="167" t="n">
        <v>12</v>
      </c>
      <c r="D324" s="167" t="str">
        <f aca="false">A324&amp;" "&amp;B324&amp;" "&amp;C324</f>
        <v>1/2" Round BB RS-550 12</v>
      </c>
      <c r="E324" s="167" t="n">
        <v>10</v>
      </c>
      <c r="F324" s="167" t="n">
        <v>7</v>
      </c>
      <c r="G324" s="167" t="n">
        <v>0</v>
      </c>
      <c r="H324" s="167" t="n">
        <v>0</v>
      </c>
      <c r="I324" s="167" t="n">
        <v>7</v>
      </c>
    </row>
    <row r="325" customFormat="false" ht="14.25" hidden="false" customHeight="true" outlineLevel="0" collapsed="false">
      <c r="A325" s="167" t="s">
        <v>243</v>
      </c>
      <c r="B325" s="167" t="s">
        <v>237</v>
      </c>
      <c r="C325" s="167" t="n">
        <v>15</v>
      </c>
      <c r="D325" s="167" t="str">
        <f aca="false">A325&amp;" "&amp;B325&amp;" "&amp;C325</f>
        <v>1/2" Round BB RS-550 15</v>
      </c>
      <c r="E325" s="167" t="n">
        <v>10</v>
      </c>
      <c r="F325" s="167" t="n">
        <v>5</v>
      </c>
      <c r="G325" s="167" t="n">
        <v>0</v>
      </c>
      <c r="H325" s="167" t="n">
        <v>0</v>
      </c>
      <c r="I325" s="167" t="n">
        <v>5</v>
      </c>
    </row>
    <row r="326" customFormat="false" ht="14.25" hidden="false" customHeight="true" outlineLevel="0" collapsed="false">
      <c r="A326" s="167" t="s">
        <v>243</v>
      </c>
      <c r="B326" s="167" t="s">
        <v>237</v>
      </c>
      <c r="C326" s="167" t="n">
        <v>16</v>
      </c>
      <c r="D326" s="167" t="str">
        <f aca="false">A326&amp;" "&amp;B326&amp;" "&amp;C326</f>
        <v>1/2" Round BB RS-550 16</v>
      </c>
      <c r="E326" s="167" t="n">
        <v>10</v>
      </c>
      <c r="F326" s="167" t="n">
        <v>5</v>
      </c>
      <c r="G326" s="167" t="n">
        <v>0</v>
      </c>
      <c r="H326" s="167" t="n">
        <v>0</v>
      </c>
      <c r="I326" s="167" t="n">
        <v>5</v>
      </c>
    </row>
    <row r="327" customFormat="false" ht="14.25" hidden="false" customHeight="true" outlineLevel="0" collapsed="false">
      <c r="A327" s="167" t="s">
        <v>243</v>
      </c>
      <c r="B327" s="167" t="s">
        <v>237</v>
      </c>
      <c r="C327" s="167" t="n">
        <v>20</v>
      </c>
      <c r="D327" s="167" t="str">
        <f aca="false">A327&amp;" "&amp;B327&amp;" "&amp;C327</f>
        <v>1/2" Round BB RS-550 20</v>
      </c>
      <c r="E327" s="167" t="n">
        <v>9</v>
      </c>
      <c r="F327" s="167" t="n">
        <v>5</v>
      </c>
      <c r="G327" s="167" t="n">
        <v>0</v>
      </c>
      <c r="H327" s="167" t="n">
        <v>0</v>
      </c>
      <c r="I327" s="167" t="n">
        <v>4</v>
      </c>
    </row>
    <row r="328" customFormat="false" ht="14.25" hidden="false" customHeight="true" outlineLevel="0" collapsed="false">
      <c r="A328" s="167" t="s">
        <v>243</v>
      </c>
      <c r="B328" s="167" t="s">
        <v>237</v>
      </c>
      <c r="C328" s="167" t="n">
        <v>21</v>
      </c>
      <c r="D328" s="167" t="str">
        <f aca="false">A328&amp;" "&amp;B328&amp;" "&amp;C328</f>
        <v>1/2" Round BB RS-550 21</v>
      </c>
      <c r="E328" s="167" t="n">
        <v>9</v>
      </c>
      <c r="F328" s="167" t="n">
        <v>5</v>
      </c>
      <c r="G328" s="167" t="n">
        <v>0</v>
      </c>
      <c r="H328" s="167" t="n">
        <v>0</v>
      </c>
      <c r="I328" s="167" t="n">
        <v>4</v>
      </c>
    </row>
    <row r="329" customFormat="false" ht="14.25" hidden="false" customHeight="true" outlineLevel="0" collapsed="false">
      <c r="A329" s="167" t="s">
        <v>243</v>
      </c>
      <c r="B329" s="167" t="s">
        <v>237</v>
      </c>
      <c r="C329" s="167" t="n">
        <v>25</v>
      </c>
      <c r="D329" s="167" t="str">
        <f aca="false">A329&amp;" "&amp;B329&amp;" "&amp;C329</f>
        <v>1/2" Round BB RS-550 25</v>
      </c>
      <c r="E329" s="167" t="n">
        <v>7</v>
      </c>
      <c r="F329" s="167" t="n">
        <v>5</v>
      </c>
      <c r="G329" s="167" t="n">
        <v>0</v>
      </c>
      <c r="H329" s="167" t="n">
        <v>0</v>
      </c>
      <c r="I329" s="167" t="n">
        <v>3</v>
      </c>
    </row>
    <row r="330" customFormat="false" ht="14.25" hidden="false" customHeight="true" outlineLevel="0" collapsed="false">
      <c r="A330" s="167" t="s">
        <v>243</v>
      </c>
      <c r="B330" s="167" t="s">
        <v>237</v>
      </c>
      <c r="C330" s="167" t="n">
        <v>27</v>
      </c>
      <c r="D330" s="167" t="str">
        <f aca="false">A330&amp;" "&amp;B330&amp;" "&amp;C330</f>
        <v>1/2" Round BB RS-550 27</v>
      </c>
      <c r="E330" s="167" t="n">
        <v>7</v>
      </c>
      <c r="F330" s="167" t="n">
        <v>4</v>
      </c>
      <c r="G330" s="167" t="n">
        <v>0</v>
      </c>
      <c r="H330" s="167" t="n">
        <v>0</v>
      </c>
      <c r="I330" s="167" t="n">
        <v>3</v>
      </c>
    </row>
    <row r="331" customFormat="false" ht="14.25" hidden="false" customHeight="true" outlineLevel="0" collapsed="false">
      <c r="A331" s="167" t="s">
        <v>243</v>
      </c>
      <c r="B331" s="167" t="s">
        <v>237</v>
      </c>
      <c r="C331" s="167" t="n">
        <v>28</v>
      </c>
      <c r="D331" s="167" t="str">
        <f aca="false">A331&amp;" "&amp;B331&amp;" "&amp;C331</f>
        <v>1/2" Round BB RS-550 28</v>
      </c>
      <c r="E331" s="167" t="n">
        <v>7</v>
      </c>
      <c r="F331" s="167" t="n">
        <v>4</v>
      </c>
      <c r="G331" s="167" t="n">
        <v>0</v>
      </c>
      <c r="H331" s="167" t="n">
        <v>0</v>
      </c>
      <c r="I331" s="167" t="n">
        <v>3</v>
      </c>
    </row>
    <row r="332" customFormat="false" ht="14.25" hidden="false" customHeight="true" outlineLevel="0" collapsed="false">
      <c r="A332" s="167" t="s">
        <v>243</v>
      </c>
      <c r="B332" s="167" t="s">
        <v>237</v>
      </c>
      <c r="C332" s="167" t="n">
        <v>30</v>
      </c>
      <c r="D332" s="167" t="str">
        <f aca="false">A332&amp;" "&amp;B332&amp;" "&amp;C332</f>
        <v>1/2" Round BB RS-550 30</v>
      </c>
      <c r="E332" s="167" t="n">
        <v>5</v>
      </c>
      <c r="F332" s="167" t="n">
        <v>4</v>
      </c>
      <c r="G332" s="167" t="n">
        <v>0</v>
      </c>
      <c r="H332" s="167" t="n">
        <v>0</v>
      </c>
      <c r="I332" s="167" t="n">
        <v>3</v>
      </c>
    </row>
    <row r="333" customFormat="false" ht="14.25" hidden="false" customHeight="true" outlineLevel="0" collapsed="false">
      <c r="A333" s="167" t="s">
        <v>243</v>
      </c>
      <c r="B333" s="167" t="s">
        <v>237</v>
      </c>
      <c r="C333" s="167" t="n">
        <v>35</v>
      </c>
      <c r="D333" s="167" t="str">
        <f aca="false">A333&amp;" "&amp;B333&amp;" "&amp;C333</f>
        <v>1/2" Round BB RS-550 35</v>
      </c>
      <c r="E333" s="167" t="n">
        <v>5</v>
      </c>
      <c r="F333" s="167" t="n">
        <v>3</v>
      </c>
      <c r="G333" s="167" t="n">
        <v>0</v>
      </c>
      <c r="H333" s="167" t="n">
        <v>0</v>
      </c>
      <c r="I333" s="167" t="n">
        <v>1</v>
      </c>
    </row>
    <row r="334" customFormat="false" ht="14.25" hidden="false" customHeight="true" outlineLevel="0" collapsed="false">
      <c r="A334" s="167" t="s">
        <v>243</v>
      </c>
      <c r="B334" s="167" t="s">
        <v>237</v>
      </c>
      <c r="C334" s="167" t="n">
        <v>36</v>
      </c>
      <c r="D334" s="167" t="str">
        <f aca="false">A334&amp;" "&amp;B334&amp;" "&amp;C334</f>
        <v>1/2" Round BB RS-550 36</v>
      </c>
      <c r="E334" s="167" t="n">
        <v>5</v>
      </c>
      <c r="F334" s="167" t="n">
        <v>3</v>
      </c>
      <c r="G334" s="167" t="n">
        <v>0</v>
      </c>
      <c r="H334" s="167" t="n">
        <v>0</v>
      </c>
      <c r="I334" s="167" t="n">
        <v>1</v>
      </c>
    </row>
    <row r="335" customFormat="false" ht="14.25" hidden="false" customHeight="true" outlineLevel="0" collapsed="false">
      <c r="A335" s="167" t="s">
        <v>243</v>
      </c>
      <c r="B335" s="167" t="s">
        <v>237</v>
      </c>
      <c r="C335" s="167" t="n">
        <v>40</v>
      </c>
      <c r="D335" s="167" t="str">
        <f aca="false">A335&amp;" "&amp;B335&amp;" "&amp;C335</f>
        <v>1/2" Round BB RS-550 40</v>
      </c>
      <c r="E335" s="167" t="n">
        <v>5</v>
      </c>
      <c r="F335" s="167" t="n">
        <v>3</v>
      </c>
      <c r="G335" s="167" t="n">
        <v>0</v>
      </c>
      <c r="H335" s="167" t="n">
        <v>0</v>
      </c>
      <c r="I335" s="167" t="n">
        <v>1</v>
      </c>
    </row>
    <row r="336" customFormat="false" ht="14.25" hidden="false" customHeight="true" outlineLevel="0" collapsed="false">
      <c r="A336" s="167" t="s">
        <v>243</v>
      </c>
      <c r="B336" s="167" t="s">
        <v>237</v>
      </c>
      <c r="C336" s="167" t="n">
        <v>45</v>
      </c>
      <c r="D336" s="167" t="str">
        <f aca="false">A336&amp;" "&amp;B336&amp;" "&amp;C336</f>
        <v>1/2" Round BB RS-550 45</v>
      </c>
      <c r="E336" s="167" t="n">
        <v>5</v>
      </c>
      <c r="F336" s="167" t="n">
        <v>1</v>
      </c>
      <c r="G336" s="167" t="n">
        <v>0</v>
      </c>
      <c r="H336" s="167" t="n">
        <v>0</v>
      </c>
      <c r="I336" s="167" t="n">
        <v>1</v>
      </c>
    </row>
    <row r="337" customFormat="false" ht="14.25" hidden="false" customHeight="true" outlineLevel="0" collapsed="false">
      <c r="A337" s="167" t="s">
        <v>243</v>
      </c>
      <c r="B337" s="167" t="s">
        <v>237</v>
      </c>
      <c r="C337" s="167" t="n">
        <v>49</v>
      </c>
      <c r="D337" s="167" t="str">
        <f aca="false">A337&amp;" "&amp;B337&amp;" "&amp;C337</f>
        <v>1/2" Round BB RS-550 49</v>
      </c>
      <c r="E337" s="167" t="n">
        <v>5</v>
      </c>
      <c r="F337" s="167" t="n">
        <v>1</v>
      </c>
      <c r="G337" s="167" t="n">
        <v>0</v>
      </c>
      <c r="H337" s="167" t="n">
        <v>0</v>
      </c>
      <c r="I337" s="167" t="n">
        <v>1</v>
      </c>
    </row>
    <row r="338" customFormat="false" ht="14.25" hidden="false" customHeight="true" outlineLevel="0" collapsed="false">
      <c r="A338" s="167" t="s">
        <v>243</v>
      </c>
      <c r="B338" s="167" t="s">
        <v>237</v>
      </c>
      <c r="C338" s="167" t="n">
        <v>50</v>
      </c>
      <c r="D338" s="167" t="str">
        <f aca="false">A338&amp;" "&amp;B338&amp;" "&amp;C338</f>
        <v>1/2" Round BB RS-550 50</v>
      </c>
      <c r="E338" s="167" t="n">
        <v>5</v>
      </c>
      <c r="F338" s="167" t="n">
        <v>1</v>
      </c>
      <c r="G338" s="167" t="n">
        <v>0</v>
      </c>
      <c r="H338" s="167" t="n">
        <v>0</v>
      </c>
      <c r="I338" s="167" t="n">
        <v>1</v>
      </c>
    </row>
    <row r="339" customFormat="false" ht="14.25" hidden="false" customHeight="true" outlineLevel="0" collapsed="false">
      <c r="A339" s="167" t="s">
        <v>243</v>
      </c>
      <c r="B339" s="167" t="s">
        <v>237</v>
      </c>
      <c r="C339" s="167" t="n">
        <v>63</v>
      </c>
      <c r="D339" s="167" t="str">
        <f aca="false">A339&amp;" "&amp;B339&amp;" "&amp;C339</f>
        <v>1/2" Round BB RS-550 63</v>
      </c>
      <c r="E339" s="167" t="n">
        <v>4</v>
      </c>
      <c r="F339" s="167" t="n">
        <v>1</v>
      </c>
      <c r="G339" s="167" t="n">
        <v>0</v>
      </c>
      <c r="H339" s="167" t="n">
        <v>0</v>
      </c>
      <c r="I339" s="167" t="n">
        <v>1</v>
      </c>
    </row>
    <row r="340" customFormat="false" ht="14.25" hidden="false" customHeight="true" outlineLevel="0" collapsed="false">
      <c r="A340" s="167" t="s">
        <v>243</v>
      </c>
      <c r="B340" s="167" t="s">
        <v>237</v>
      </c>
      <c r="C340" s="167" t="n">
        <v>70</v>
      </c>
      <c r="D340" s="167" t="str">
        <f aca="false">A340&amp;" "&amp;B340&amp;" "&amp;C340</f>
        <v>1/2" Round BB RS-550 70</v>
      </c>
      <c r="E340" s="167" t="n">
        <v>3</v>
      </c>
      <c r="F340" s="167" t="n">
        <v>1</v>
      </c>
      <c r="G340" s="167" t="n">
        <v>0</v>
      </c>
      <c r="H340" s="167" t="n">
        <v>0</v>
      </c>
      <c r="I340" s="167" t="n">
        <v>1</v>
      </c>
    </row>
    <row r="341" customFormat="false" ht="14.25" hidden="false" customHeight="true" outlineLevel="0" collapsed="false">
      <c r="A341" s="167" t="s">
        <v>243</v>
      </c>
      <c r="B341" s="167" t="s">
        <v>237</v>
      </c>
      <c r="C341" s="167" t="n">
        <v>81</v>
      </c>
      <c r="D341" s="167" t="str">
        <f aca="false">A341&amp;" "&amp;B341&amp;" "&amp;C341</f>
        <v>1/2" Round BB RS-550 81</v>
      </c>
      <c r="E341" s="167" t="n">
        <v>3</v>
      </c>
      <c r="F341" s="167" t="n">
        <v>1</v>
      </c>
      <c r="G341" s="167" t="n">
        <v>0</v>
      </c>
      <c r="H341" s="167" t="n">
        <v>0</v>
      </c>
      <c r="I341" s="167" t="n">
        <v>1</v>
      </c>
    </row>
    <row r="342" customFormat="false" ht="14.25" hidden="false" customHeight="true" outlineLevel="0" collapsed="false">
      <c r="A342" s="167" t="s">
        <v>243</v>
      </c>
      <c r="B342" s="167" t="s">
        <v>237</v>
      </c>
      <c r="C342" s="167" t="n">
        <v>90</v>
      </c>
      <c r="D342" s="167" t="str">
        <f aca="false">A342&amp;" "&amp;B342&amp;" "&amp;C342</f>
        <v>1/2" Round BB RS-550 90</v>
      </c>
      <c r="E342" s="167" t="n">
        <v>1</v>
      </c>
      <c r="F342" s="167" t="n">
        <v>1</v>
      </c>
      <c r="G342" s="167" t="n">
        <v>0</v>
      </c>
      <c r="H342" s="167" t="n">
        <v>0</v>
      </c>
      <c r="I342" s="167" t="n">
        <v>1</v>
      </c>
    </row>
    <row r="343" customFormat="false" ht="14.25" hidden="false" customHeight="true" outlineLevel="0" collapsed="false">
      <c r="A343" s="167" t="s">
        <v>243</v>
      </c>
      <c r="B343" s="167" t="s">
        <v>237</v>
      </c>
      <c r="C343" s="167" t="n">
        <v>100</v>
      </c>
      <c r="D343" s="167" t="str">
        <f aca="false">A343&amp;" "&amp;B343&amp;" "&amp;C343</f>
        <v>1/2" Round BB RS-550 100</v>
      </c>
      <c r="E343" s="167" t="n">
        <v>1</v>
      </c>
      <c r="F343" s="167" t="n">
        <v>0</v>
      </c>
      <c r="G343" s="167" t="n">
        <v>0</v>
      </c>
      <c r="H343" s="167" t="n">
        <v>0</v>
      </c>
      <c r="I343" s="167" t="n">
        <v>0</v>
      </c>
    </row>
    <row r="344" customFormat="false" ht="14.25" hidden="false" customHeight="true" outlineLevel="0" collapsed="false">
      <c r="A344" s="167" t="s">
        <v>243</v>
      </c>
      <c r="B344" s="167" t="s">
        <v>239</v>
      </c>
      <c r="C344" s="167" t="n">
        <v>-3</v>
      </c>
      <c r="D344" s="167" t="str">
        <f aca="false">A344&amp;" "&amp;B344&amp;" "&amp;C344</f>
        <v>1/2" Round BB RS-775 -3</v>
      </c>
      <c r="E344" s="167" t="n">
        <v>1</v>
      </c>
      <c r="F344" s="167" t="n">
        <v>1</v>
      </c>
      <c r="G344" s="167" t="n">
        <v>1</v>
      </c>
      <c r="H344" s="167" t="n">
        <v>0</v>
      </c>
      <c r="I344" s="167" t="n">
        <v>1</v>
      </c>
    </row>
    <row r="345" customFormat="false" ht="14.25" hidden="false" customHeight="true" outlineLevel="0" collapsed="false">
      <c r="A345" s="167" t="s">
        <v>243</v>
      </c>
      <c r="B345" s="167" t="s">
        <v>239</v>
      </c>
      <c r="C345" s="167" t="n">
        <v>-4</v>
      </c>
      <c r="D345" s="167" t="str">
        <f aca="false">A345&amp;" "&amp;B345&amp;" "&amp;C345</f>
        <v>1/2" Round BB RS-775 -4</v>
      </c>
      <c r="E345" s="167" t="n">
        <v>1</v>
      </c>
      <c r="F345" s="167" t="n">
        <v>1</v>
      </c>
      <c r="G345" s="167" t="n">
        <v>1</v>
      </c>
      <c r="H345" s="167" t="n">
        <v>0</v>
      </c>
      <c r="I345" s="167" t="n">
        <v>1</v>
      </c>
    </row>
    <row r="346" customFormat="false" ht="14.25" hidden="false" customHeight="true" outlineLevel="0" collapsed="false">
      <c r="A346" s="167" t="s">
        <v>243</v>
      </c>
      <c r="B346" s="167" t="s">
        <v>239</v>
      </c>
      <c r="C346" s="167" t="n">
        <v>-5</v>
      </c>
      <c r="D346" s="167" t="str">
        <f aca="false">A346&amp;" "&amp;B346&amp;" "&amp;C346</f>
        <v>1/2" Round BB RS-775 -5</v>
      </c>
      <c r="E346" s="167" t="n">
        <v>1</v>
      </c>
      <c r="F346" s="167" t="n">
        <v>1</v>
      </c>
      <c r="G346" s="167" t="n">
        <v>1</v>
      </c>
      <c r="H346" s="167" t="n">
        <v>0</v>
      </c>
      <c r="I346" s="167" t="n">
        <v>1</v>
      </c>
    </row>
    <row r="347" customFormat="false" ht="14.25" hidden="false" customHeight="true" outlineLevel="0" collapsed="false">
      <c r="A347" s="167" t="s">
        <v>243</v>
      </c>
      <c r="B347" s="167" t="s">
        <v>239</v>
      </c>
      <c r="C347" s="167" t="n">
        <v>-7</v>
      </c>
      <c r="D347" s="167" t="str">
        <f aca="false">A347&amp;" "&amp;B347&amp;" "&amp;C347</f>
        <v>1/2" Round BB RS-775 -7</v>
      </c>
      <c r="E347" s="167" t="n">
        <v>1</v>
      </c>
      <c r="F347" s="167" t="n">
        <v>1</v>
      </c>
      <c r="G347" s="167" t="n">
        <v>0</v>
      </c>
      <c r="H347" s="167" t="n">
        <v>0</v>
      </c>
      <c r="I347" s="167" t="n">
        <v>1</v>
      </c>
    </row>
    <row r="348" customFormat="false" ht="14.25" hidden="false" customHeight="true" outlineLevel="0" collapsed="false">
      <c r="A348" s="167" t="s">
        <v>243</v>
      </c>
      <c r="B348" s="167" t="s">
        <v>239</v>
      </c>
      <c r="C348" s="167" t="n">
        <v>-9</v>
      </c>
      <c r="D348" s="167" t="str">
        <f aca="false">A348&amp;" "&amp;B348&amp;" "&amp;C348</f>
        <v>1/2" Round BB RS-775 -9</v>
      </c>
      <c r="E348" s="167" t="n">
        <v>1</v>
      </c>
      <c r="F348" s="167" t="n">
        <v>1</v>
      </c>
      <c r="G348" s="167" t="n">
        <v>0</v>
      </c>
      <c r="H348" s="167" t="n">
        <v>0</v>
      </c>
      <c r="I348" s="167" t="n">
        <v>1</v>
      </c>
    </row>
    <row r="349" customFormat="false" ht="14.25" hidden="false" customHeight="true" outlineLevel="0" collapsed="false">
      <c r="A349" s="167" t="s">
        <v>243</v>
      </c>
      <c r="B349" s="167" t="s">
        <v>239</v>
      </c>
      <c r="C349" s="167" t="n">
        <v>-10</v>
      </c>
      <c r="D349" s="167" t="str">
        <f aca="false">A349&amp;" "&amp;B349&amp;" "&amp;C349</f>
        <v>1/2" Round BB RS-775 -10</v>
      </c>
      <c r="E349" s="167" t="n">
        <v>1</v>
      </c>
      <c r="F349" s="167" t="n">
        <v>1</v>
      </c>
      <c r="G349" s="167" t="n">
        <v>0</v>
      </c>
      <c r="H349" s="167" t="n">
        <v>0</v>
      </c>
      <c r="I349" s="167" t="n">
        <v>1</v>
      </c>
    </row>
    <row r="350" customFormat="false" ht="14.25" hidden="false" customHeight="true" outlineLevel="0" collapsed="false">
      <c r="A350" s="167" t="s">
        <v>243</v>
      </c>
      <c r="B350" s="167" t="s">
        <v>239</v>
      </c>
      <c r="C350" s="167" t="n">
        <v>9</v>
      </c>
      <c r="D350" s="167" t="str">
        <f aca="false">A350&amp;" "&amp;B350&amp;" "&amp;C350</f>
        <v>1/2" Round BB RS-775 9</v>
      </c>
      <c r="E350" s="167" t="n">
        <v>10</v>
      </c>
      <c r="F350" s="167" t="n">
        <v>5</v>
      </c>
      <c r="G350" s="167" t="n">
        <v>0</v>
      </c>
      <c r="H350" s="167" t="n">
        <v>0</v>
      </c>
      <c r="I350" s="167" t="n">
        <v>10</v>
      </c>
    </row>
    <row r="351" customFormat="false" ht="14.25" hidden="false" customHeight="true" outlineLevel="0" collapsed="false">
      <c r="A351" s="167" t="s">
        <v>243</v>
      </c>
      <c r="B351" s="167" t="s">
        <v>239</v>
      </c>
      <c r="C351" s="167" t="n">
        <v>12</v>
      </c>
      <c r="D351" s="167" t="str">
        <f aca="false">A351&amp;" "&amp;B351&amp;" "&amp;C351</f>
        <v>1/2" Round BB RS-775 12</v>
      </c>
      <c r="E351" s="167" t="n">
        <v>10</v>
      </c>
      <c r="F351" s="167" t="n">
        <v>5</v>
      </c>
      <c r="G351" s="167" t="n">
        <v>0</v>
      </c>
      <c r="H351" s="167" t="n">
        <v>0</v>
      </c>
      <c r="I351" s="167" t="n">
        <v>10</v>
      </c>
    </row>
    <row r="352" customFormat="false" ht="14.25" hidden="false" customHeight="true" outlineLevel="0" collapsed="false">
      <c r="A352" s="167" t="s">
        <v>243</v>
      </c>
      <c r="B352" s="167" t="s">
        <v>239</v>
      </c>
      <c r="C352" s="167" t="n">
        <v>15</v>
      </c>
      <c r="D352" s="167" t="str">
        <f aca="false">A352&amp;" "&amp;B352&amp;" "&amp;C352</f>
        <v>1/2" Round BB RS-775 15</v>
      </c>
      <c r="E352" s="167" t="n">
        <v>7</v>
      </c>
      <c r="F352" s="167" t="n">
        <v>5</v>
      </c>
      <c r="G352" s="167" t="n">
        <v>0</v>
      </c>
      <c r="H352" s="167" t="n">
        <v>0</v>
      </c>
      <c r="I352" s="167" t="n">
        <v>7</v>
      </c>
    </row>
    <row r="353" customFormat="false" ht="14.25" hidden="false" customHeight="true" outlineLevel="0" collapsed="false">
      <c r="A353" s="167" t="s">
        <v>243</v>
      </c>
      <c r="B353" s="167" t="s">
        <v>239</v>
      </c>
      <c r="C353" s="167" t="n">
        <v>16</v>
      </c>
      <c r="D353" s="167" t="str">
        <f aca="false">A353&amp;" "&amp;B353&amp;" "&amp;C353</f>
        <v>1/2" Round BB RS-775 16</v>
      </c>
      <c r="E353" s="167" t="n">
        <v>7</v>
      </c>
      <c r="F353" s="167" t="n">
        <v>5</v>
      </c>
      <c r="G353" s="167" t="n">
        <v>0</v>
      </c>
      <c r="H353" s="167" t="n">
        <v>0</v>
      </c>
      <c r="I353" s="167" t="n">
        <v>7</v>
      </c>
    </row>
    <row r="354" customFormat="false" ht="14.25" hidden="false" customHeight="true" outlineLevel="0" collapsed="false">
      <c r="A354" s="167" t="s">
        <v>243</v>
      </c>
      <c r="B354" s="167" t="s">
        <v>239</v>
      </c>
      <c r="C354" s="167" t="n">
        <v>20</v>
      </c>
      <c r="D354" s="167" t="str">
        <f aca="false">A354&amp;" "&amp;B354&amp;" "&amp;C354</f>
        <v>1/2" Round BB RS-775 20</v>
      </c>
      <c r="E354" s="167" t="n">
        <v>5</v>
      </c>
      <c r="F354" s="167" t="n">
        <v>4</v>
      </c>
      <c r="G354" s="167" t="n">
        <v>0</v>
      </c>
      <c r="H354" s="167" t="n">
        <v>0</v>
      </c>
      <c r="I354" s="167" t="n">
        <v>5</v>
      </c>
    </row>
    <row r="355" customFormat="false" ht="14.25" hidden="false" customHeight="true" outlineLevel="0" collapsed="false">
      <c r="A355" s="167" t="s">
        <v>243</v>
      </c>
      <c r="B355" s="167" t="s">
        <v>239</v>
      </c>
      <c r="C355" s="167" t="n">
        <v>21</v>
      </c>
      <c r="D355" s="167" t="str">
        <f aca="false">A355&amp;" "&amp;B355&amp;" "&amp;C355</f>
        <v>1/2" Round BB RS-775 21</v>
      </c>
      <c r="E355" s="167" t="n">
        <v>5</v>
      </c>
      <c r="F355" s="167" t="n">
        <v>3</v>
      </c>
      <c r="G355" s="167" t="n">
        <v>0</v>
      </c>
      <c r="H355" s="167" t="n">
        <v>0</v>
      </c>
      <c r="I355" s="167" t="n">
        <v>5</v>
      </c>
    </row>
    <row r="356" customFormat="false" ht="14.25" hidden="false" customHeight="true" outlineLevel="0" collapsed="false">
      <c r="A356" s="167" t="s">
        <v>243</v>
      </c>
      <c r="B356" s="167" t="s">
        <v>239</v>
      </c>
      <c r="C356" s="167" t="n">
        <v>25</v>
      </c>
      <c r="D356" s="167" t="str">
        <f aca="false">A356&amp;" "&amp;B356&amp;" "&amp;C356</f>
        <v>1/2" Round BB RS-775 25</v>
      </c>
      <c r="E356" s="167" t="n">
        <v>5</v>
      </c>
      <c r="F356" s="167" t="n">
        <v>3</v>
      </c>
      <c r="G356" s="167" t="n">
        <v>0</v>
      </c>
      <c r="H356" s="167" t="n">
        <v>0</v>
      </c>
      <c r="I356" s="167" t="n">
        <v>5</v>
      </c>
    </row>
    <row r="357" customFormat="false" ht="14.25" hidden="false" customHeight="true" outlineLevel="0" collapsed="false">
      <c r="A357" s="167" t="s">
        <v>243</v>
      </c>
      <c r="B357" s="167" t="s">
        <v>239</v>
      </c>
      <c r="C357" s="167" t="n">
        <v>27</v>
      </c>
      <c r="D357" s="167" t="str">
        <f aca="false">A357&amp;" "&amp;B357&amp;" "&amp;C357</f>
        <v>1/2" Round BB RS-775 27</v>
      </c>
      <c r="E357" s="167" t="n">
        <v>5</v>
      </c>
      <c r="F357" s="167" t="n">
        <v>3</v>
      </c>
      <c r="G357" s="167" t="n">
        <v>0</v>
      </c>
      <c r="H357" s="167" t="n">
        <v>0</v>
      </c>
      <c r="I357" s="167" t="n">
        <v>4</v>
      </c>
    </row>
    <row r="358" customFormat="false" ht="14.25" hidden="false" customHeight="true" outlineLevel="0" collapsed="false">
      <c r="A358" s="167" t="s">
        <v>243</v>
      </c>
      <c r="B358" s="167" t="s">
        <v>239</v>
      </c>
      <c r="C358" s="167" t="n">
        <v>28</v>
      </c>
      <c r="D358" s="167" t="str">
        <f aca="false">A358&amp;" "&amp;B358&amp;" "&amp;C358</f>
        <v>1/2" Round BB RS-775 28</v>
      </c>
      <c r="E358" s="167" t="n">
        <v>5</v>
      </c>
      <c r="F358" s="167" t="n">
        <v>1</v>
      </c>
      <c r="G358" s="167" t="n">
        <v>0</v>
      </c>
      <c r="H358" s="167" t="n">
        <v>0</v>
      </c>
      <c r="I358" s="167" t="n">
        <v>4</v>
      </c>
    </row>
    <row r="359" customFormat="false" ht="14.25" hidden="false" customHeight="true" outlineLevel="0" collapsed="false">
      <c r="A359" s="167" t="s">
        <v>243</v>
      </c>
      <c r="B359" s="167" t="s">
        <v>239</v>
      </c>
      <c r="C359" s="167" t="n">
        <v>30</v>
      </c>
      <c r="D359" s="167" t="str">
        <f aca="false">A359&amp;" "&amp;B359&amp;" "&amp;C359</f>
        <v>1/2" Round BB RS-775 30</v>
      </c>
      <c r="E359" s="167" t="n">
        <v>5</v>
      </c>
      <c r="F359" s="167" t="n">
        <v>1</v>
      </c>
      <c r="G359" s="167" t="n">
        <v>0</v>
      </c>
      <c r="H359" s="167" t="n">
        <v>0</v>
      </c>
      <c r="I359" s="167" t="n">
        <v>4</v>
      </c>
    </row>
    <row r="360" customFormat="false" ht="14.25" hidden="false" customHeight="true" outlineLevel="0" collapsed="false">
      <c r="A360" s="167" t="s">
        <v>243</v>
      </c>
      <c r="B360" s="167" t="s">
        <v>239</v>
      </c>
      <c r="C360" s="167" t="n">
        <v>35</v>
      </c>
      <c r="D360" s="167" t="str">
        <f aca="false">A360&amp;" "&amp;B360&amp;" "&amp;C360</f>
        <v>1/2" Round BB RS-775 35</v>
      </c>
      <c r="E360" s="167" t="n">
        <v>4</v>
      </c>
      <c r="F360" s="167" t="n">
        <v>1</v>
      </c>
      <c r="G360" s="167" t="n">
        <v>0</v>
      </c>
      <c r="H360" s="167" t="n">
        <v>0</v>
      </c>
      <c r="I360" s="167" t="n">
        <v>3</v>
      </c>
    </row>
    <row r="361" customFormat="false" ht="14.25" hidden="false" customHeight="true" outlineLevel="0" collapsed="false">
      <c r="A361" s="167" t="s">
        <v>243</v>
      </c>
      <c r="B361" s="167" t="s">
        <v>239</v>
      </c>
      <c r="C361" s="167" t="n">
        <v>36</v>
      </c>
      <c r="D361" s="167" t="str">
        <f aca="false">A361&amp;" "&amp;B361&amp;" "&amp;C361</f>
        <v>1/2" Round BB RS-775 36</v>
      </c>
      <c r="E361" s="167" t="n">
        <v>4</v>
      </c>
      <c r="F361" s="167" t="n">
        <v>1</v>
      </c>
      <c r="G361" s="167" t="n">
        <v>0</v>
      </c>
      <c r="H361" s="167" t="n">
        <v>0</v>
      </c>
      <c r="I361" s="167" t="n">
        <v>3</v>
      </c>
    </row>
    <row r="362" customFormat="false" ht="14.25" hidden="false" customHeight="true" outlineLevel="0" collapsed="false">
      <c r="A362" s="167" t="s">
        <v>243</v>
      </c>
      <c r="B362" s="167" t="s">
        <v>239</v>
      </c>
      <c r="C362" s="167" t="n">
        <v>40</v>
      </c>
      <c r="D362" s="167" t="str">
        <f aca="false">A362&amp;" "&amp;B362&amp;" "&amp;C362</f>
        <v>1/2" Round BB RS-775 40</v>
      </c>
      <c r="E362" s="167" t="n">
        <v>4</v>
      </c>
      <c r="F362" s="167" t="n">
        <v>1</v>
      </c>
      <c r="G362" s="167" t="n">
        <v>0</v>
      </c>
      <c r="H362" s="167" t="n">
        <v>0</v>
      </c>
      <c r="I362" s="167" t="n">
        <v>3</v>
      </c>
    </row>
    <row r="363" customFormat="false" ht="14.25" hidden="false" customHeight="true" outlineLevel="0" collapsed="false">
      <c r="A363" s="167" t="s">
        <v>243</v>
      </c>
      <c r="B363" s="167" t="s">
        <v>239</v>
      </c>
      <c r="C363" s="167" t="n">
        <v>45</v>
      </c>
      <c r="D363" s="167" t="str">
        <f aca="false">A363&amp;" "&amp;B363&amp;" "&amp;C363</f>
        <v>1/2" Round BB RS-775 45</v>
      </c>
      <c r="E363" s="167" t="n">
        <v>3</v>
      </c>
      <c r="F363" s="167" t="n">
        <v>1</v>
      </c>
      <c r="G363" s="167" t="n">
        <v>0</v>
      </c>
      <c r="H363" s="167" t="n">
        <v>0</v>
      </c>
      <c r="I363" s="167" t="n">
        <v>1</v>
      </c>
    </row>
    <row r="364" customFormat="false" ht="14.25" hidden="false" customHeight="true" outlineLevel="0" collapsed="false">
      <c r="A364" s="167" t="s">
        <v>243</v>
      </c>
      <c r="B364" s="167" t="s">
        <v>239</v>
      </c>
      <c r="C364" s="167" t="n">
        <v>49</v>
      </c>
      <c r="D364" s="167" t="str">
        <f aca="false">A364&amp;" "&amp;B364&amp;" "&amp;C364</f>
        <v>1/2" Round BB RS-775 49</v>
      </c>
      <c r="E364" s="167" t="n">
        <v>3</v>
      </c>
      <c r="F364" s="167" t="n">
        <v>1</v>
      </c>
      <c r="G364" s="167" t="n">
        <v>0</v>
      </c>
      <c r="H364" s="167" t="n">
        <v>0</v>
      </c>
      <c r="I364" s="167" t="n">
        <v>1</v>
      </c>
    </row>
    <row r="365" customFormat="false" ht="14.25" hidden="false" customHeight="true" outlineLevel="0" collapsed="false">
      <c r="A365" s="167" t="s">
        <v>243</v>
      </c>
      <c r="B365" s="167" t="s">
        <v>239</v>
      </c>
      <c r="C365" s="167" t="n">
        <v>50</v>
      </c>
      <c r="D365" s="167" t="str">
        <f aca="false">A365&amp;" "&amp;B365&amp;" "&amp;C365</f>
        <v>1/2" Round BB RS-775 50</v>
      </c>
      <c r="E365" s="167" t="n">
        <v>3</v>
      </c>
      <c r="F365" s="167" t="n">
        <v>1</v>
      </c>
      <c r="G365" s="167" t="n">
        <v>0</v>
      </c>
      <c r="H365" s="167" t="n">
        <v>0</v>
      </c>
      <c r="I365" s="167" t="n">
        <v>1</v>
      </c>
    </row>
    <row r="366" customFormat="false" ht="14.25" hidden="false" customHeight="true" outlineLevel="0" collapsed="false">
      <c r="A366" s="167" t="s">
        <v>243</v>
      </c>
      <c r="B366" s="167" t="s">
        <v>239</v>
      </c>
      <c r="C366" s="167" t="n">
        <v>63</v>
      </c>
      <c r="D366" s="167" t="str">
        <f aca="false">A366&amp;" "&amp;B366&amp;" "&amp;C366</f>
        <v>1/2" Round BB RS-775 63</v>
      </c>
      <c r="E366" s="167" t="n">
        <v>1</v>
      </c>
      <c r="F366" s="167" t="n">
        <v>0</v>
      </c>
      <c r="G366" s="167" t="n">
        <v>0</v>
      </c>
      <c r="H366" s="167" t="n">
        <v>0</v>
      </c>
      <c r="I366" s="167" t="n">
        <v>1</v>
      </c>
    </row>
    <row r="367" customFormat="false" ht="14.25" hidden="false" customHeight="true" outlineLevel="0" collapsed="false">
      <c r="A367" s="167" t="s">
        <v>243</v>
      </c>
      <c r="B367" s="167" t="s">
        <v>239</v>
      </c>
      <c r="C367" s="167" t="n">
        <v>70</v>
      </c>
      <c r="D367" s="167" t="str">
        <f aca="false">A367&amp;" "&amp;B367&amp;" "&amp;C367</f>
        <v>1/2" Round BB RS-775 70</v>
      </c>
      <c r="E367" s="167" t="n">
        <v>1</v>
      </c>
      <c r="F367" s="167" t="n">
        <v>0</v>
      </c>
      <c r="G367" s="167" t="n">
        <v>0</v>
      </c>
      <c r="H367" s="167" t="n">
        <v>0</v>
      </c>
      <c r="I367" s="167" t="n">
        <v>1</v>
      </c>
    </row>
    <row r="368" customFormat="false" ht="14.25" hidden="false" customHeight="true" outlineLevel="0" collapsed="false">
      <c r="A368" s="167" t="s">
        <v>243</v>
      </c>
      <c r="B368" s="167" t="s">
        <v>239</v>
      </c>
      <c r="C368" s="167" t="n">
        <v>81</v>
      </c>
      <c r="D368" s="167" t="str">
        <f aca="false">A368&amp;" "&amp;B368&amp;" "&amp;C368</f>
        <v>1/2" Round BB RS-775 81</v>
      </c>
      <c r="E368" s="167" t="n">
        <v>1</v>
      </c>
      <c r="F368" s="167" t="n">
        <v>0</v>
      </c>
      <c r="G368" s="167" t="n">
        <v>0</v>
      </c>
      <c r="H368" s="167" t="n">
        <v>0</v>
      </c>
      <c r="I368" s="167" t="n">
        <v>1</v>
      </c>
    </row>
    <row r="369" customFormat="false" ht="14.25" hidden="false" customHeight="true" outlineLevel="0" collapsed="false">
      <c r="A369" s="167" t="s">
        <v>243</v>
      </c>
      <c r="B369" s="167" t="s">
        <v>239</v>
      </c>
      <c r="C369" s="167" t="n">
        <v>90</v>
      </c>
      <c r="D369" s="167" t="str">
        <f aca="false">A369&amp;" "&amp;B369&amp;" "&amp;C369</f>
        <v>1/2" Round BB RS-775 90</v>
      </c>
      <c r="E369" s="167" t="n">
        <v>1</v>
      </c>
      <c r="F369" s="167" t="n">
        <v>0</v>
      </c>
      <c r="G369" s="167" t="n">
        <v>0</v>
      </c>
      <c r="H369" s="167" t="n">
        <v>0</v>
      </c>
      <c r="I369" s="167" t="n">
        <v>1</v>
      </c>
    </row>
    <row r="370" customFormat="false" ht="14.25" hidden="false" customHeight="true" outlineLevel="0" collapsed="false">
      <c r="A370" s="167" t="s">
        <v>243</v>
      </c>
      <c r="B370" s="167" t="s">
        <v>239</v>
      </c>
      <c r="C370" s="167" t="n">
        <v>100</v>
      </c>
      <c r="D370" s="167" t="str">
        <f aca="false">A370&amp;" "&amp;B370&amp;" "&amp;C370</f>
        <v>1/2" Round BB RS-775 100</v>
      </c>
      <c r="E370" s="167" t="n">
        <v>1</v>
      </c>
      <c r="F370" s="167" t="n">
        <v>0</v>
      </c>
      <c r="G370" s="167" t="n">
        <v>0</v>
      </c>
      <c r="H370" s="167" t="n">
        <v>0</v>
      </c>
      <c r="I370" s="167" t="n">
        <v>1</v>
      </c>
    </row>
    <row r="371" customFormat="false" ht="14.25" hidden="false" customHeight="true" outlineLevel="0" collapsed="false">
      <c r="A371" s="167" t="s">
        <v>243</v>
      </c>
      <c r="B371" s="167" t="s">
        <v>242</v>
      </c>
      <c r="C371" s="167" t="n">
        <v>-3</v>
      </c>
      <c r="D371" s="167" t="str">
        <f aca="false">A371&amp;" "&amp;B371&amp;" "&amp;C371</f>
        <v>1/2" Round BAG Motor -3</v>
      </c>
      <c r="E371" s="167" t="n">
        <v>1</v>
      </c>
      <c r="F371" s="167" t="n">
        <v>1</v>
      </c>
      <c r="G371" s="167" t="n">
        <v>1</v>
      </c>
      <c r="H371" s="167" t="n">
        <v>0</v>
      </c>
      <c r="I371" s="167" t="n">
        <v>1</v>
      </c>
    </row>
    <row r="372" customFormat="false" ht="14.25" hidden="false" customHeight="true" outlineLevel="0" collapsed="false">
      <c r="A372" s="167" t="s">
        <v>243</v>
      </c>
      <c r="B372" s="167" t="s">
        <v>242</v>
      </c>
      <c r="C372" s="167" t="n">
        <v>-4</v>
      </c>
      <c r="D372" s="167" t="str">
        <f aca="false">A372&amp;" "&amp;B372&amp;" "&amp;C372</f>
        <v>1/2" Round BAG Motor -4</v>
      </c>
      <c r="E372" s="167" t="n">
        <v>1</v>
      </c>
      <c r="F372" s="167" t="n">
        <v>1</v>
      </c>
      <c r="G372" s="167" t="n">
        <v>1</v>
      </c>
      <c r="H372" s="167" t="n">
        <v>0</v>
      </c>
      <c r="I372" s="167" t="n">
        <v>1</v>
      </c>
    </row>
    <row r="373" customFormat="false" ht="14.25" hidden="false" customHeight="true" outlineLevel="0" collapsed="false">
      <c r="A373" s="167" t="s">
        <v>243</v>
      </c>
      <c r="B373" s="167" t="s">
        <v>242</v>
      </c>
      <c r="C373" s="167" t="n">
        <v>-5</v>
      </c>
      <c r="D373" s="167" t="str">
        <f aca="false">A373&amp;" "&amp;B373&amp;" "&amp;C373</f>
        <v>1/2" Round BAG Motor -5</v>
      </c>
      <c r="E373" s="167" t="n">
        <v>1</v>
      </c>
      <c r="F373" s="167" t="n">
        <v>1</v>
      </c>
      <c r="G373" s="167" t="n">
        <v>1</v>
      </c>
      <c r="H373" s="167" t="n">
        <v>0</v>
      </c>
      <c r="I373" s="167" t="n">
        <v>1</v>
      </c>
    </row>
    <row r="374" customFormat="false" ht="14.25" hidden="false" customHeight="true" outlineLevel="0" collapsed="false">
      <c r="A374" s="167" t="s">
        <v>243</v>
      </c>
      <c r="B374" s="167" t="s">
        <v>242</v>
      </c>
      <c r="C374" s="167" t="n">
        <v>-7</v>
      </c>
      <c r="D374" s="167" t="str">
        <f aca="false">A374&amp;" "&amp;B374&amp;" "&amp;C374</f>
        <v>1/2" Round BAG Motor -7</v>
      </c>
      <c r="E374" s="167" t="n">
        <v>1</v>
      </c>
      <c r="F374" s="167" t="n">
        <v>1</v>
      </c>
      <c r="G374" s="167" t="n">
        <v>1</v>
      </c>
      <c r="H374" s="167" t="n">
        <v>0</v>
      </c>
      <c r="I374" s="167" t="n">
        <v>1</v>
      </c>
    </row>
    <row r="375" customFormat="false" ht="14.25" hidden="false" customHeight="true" outlineLevel="0" collapsed="false">
      <c r="A375" s="167" t="s">
        <v>243</v>
      </c>
      <c r="B375" s="167" t="s">
        <v>242</v>
      </c>
      <c r="C375" s="167" t="n">
        <v>-9</v>
      </c>
      <c r="D375" s="167" t="str">
        <f aca="false">A375&amp;" "&amp;B375&amp;" "&amp;C375</f>
        <v>1/2" Round BAG Motor -9</v>
      </c>
      <c r="E375" s="167" t="n">
        <v>1</v>
      </c>
      <c r="F375" s="167" t="n">
        <v>1</v>
      </c>
      <c r="G375" s="167" t="n">
        <v>0</v>
      </c>
      <c r="H375" s="167" t="n">
        <v>0</v>
      </c>
      <c r="I375" s="167" t="n">
        <v>1</v>
      </c>
    </row>
    <row r="376" customFormat="false" ht="14.25" hidden="false" customHeight="true" outlineLevel="0" collapsed="false">
      <c r="A376" s="167" t="s">
        <v>243</v>
      </c>
      <c r="B376" s="167" t="s">
        <v>242</v>
      </c>
      <c r="C376" s="167" t="n">
        <v>-10</v>
      </c>
      <c r="D376" s="167" t="str">
        <f aca="false">A376&amp;" "&amp;B376&amp;" "&amp;C376</f>
        <v>1/2" Round BAG Motor -10</v>
      </c>
      <c r="E376" s="167" t="n">
        <v>1</v>
      </c>
      <c r="F376" s="167" t="n">
        <v>1</v>
      </c>
      <c r="G376" s="167" t="n">
        <v>0</v>
      </c>
      <c r="H376" s="167" t="n">
        <v>0</v>
      </c>
      <c r="I376" s="167" t="n">
        <v>1</v>
      </c>
    </row>
    <row r="377" customFormat="false" ht="14.25" hidden="false" customHeight="true" outlineLevel="0" collapsed="false">
      <c r="A377" s="167" t="s">
        <v>243</v>
      </c>
      <c r="B377" s="167" t="s">
        <v>242</v>
      </c>
      <c r="C377" s="167" t="n">
        <v>9</v>
      </c>
      <c r="D377" s="167" t="str">
        <f aca="false">A377&amp;" "&amp;B377&amp;" "&amp;C377</f>
        <v>1/2" Round BAG Motor 9</v>
      </c>
      <c r="E377" s="167" t="n">
        <v>10</v>
      </c>
      <c r="F377" s="167" t="n">
        <v>10</v>
      </c>
      <c r="G377" s="167" t="n">
        <v>1</v>
      </c>
      <c r="H377" s="167" t="n">
        <v>0</v>
      </c>
      <c r="I377" s="167" t="n">
        <v>9</v>
      </c>
    </row>
    <row r="378" customFormat="false" ht="14.25" hidden="false" customHeight="true" outlineLevel="0" collapsed="false">
      <c r="A378" s="167" t="s">
        <v>243</v>
      </c>
      <c r="B378" s="167" t="s">
        <v>242</v>
      </c>
      <c r="C378" s="167" t="n">
        <v>12</v>
      </c>
      <c r="D378" s="167" t="str">
        <f aca="false">A378&amp;" "&amp;B378&amp;" "&amp;C378</f>
        <v>1/2" Round BAG Motor 12</v>
      </c>
      <c r="E378" s="167" t="n">
        <v>10</v>
      </c>
      <c r="F378" s="167" t="n">
        <v>9</v>
      </c>
      <c r="G378" s="167" t="n">
        <v>1</v>
      </c>
      <c r="H378" s="167" t="n">
        <v>0</v>
      </c>
      <c r="I378" s="167" t="n">
        <v>5</v>
      </c>
    </row>
    <row r="379" customFormat="false" ht="14.25" hidden="false" customHeight="true" outlineLevel="0" collapsed="false">
      <c r="A379" s="167" t="s">
        <v>243</v>
      </c>
      <c r="B379" s="167" t="s">
        <v>242</v>
      </c>
      <c r="C379" s="167" t="n">
        <v>15</v>
      </c>
      <c r="D379" s="167" t="str">
        <f aca="false">A379&amp;" "&amp;B379&amp;" "&amp;C379</f>
        <v>1/2" Round BAG Motor 15</v>
      </c>
      <c r="E379" s="167" t="n">
        <v>10</v>
      </c>
      <c r="F379" s="167" t="n">
        <v>7</v>
      </c>
      <c r="G379" s="167" t="n">
        <v>0</v>
      </c>
      <c r="H379" s="167" t="n">
        <v>0</v>
      </c>
      <c r="I379" s="167" t="n">
        <v>5</v>
      </c>
    </row>
    <row r="380" customFormat="false" ht="14.25" hidden="false" customHeight="true" outlineLevel="0" collapsed="false">
      <c r="A380" s="167" t="s">
        <v>243</v>
      </c>
      <c r="B380" s="167" t="s">
        <v>242</v>
      </c>
      <c r="C380" s="167" t="n">
        <v>16</v>
      </c>
      <c r="D380" s="167" t="str">
        <f aca="false">A380&amp;" "&amp;B380&amp;" "&amp;C380</f>
        <v>1/2" Round BAG Motor 16</v>
      </c>
      <c r="E380" s="167" t="n">
        <v>10</v>
      </c>
      <c r="F380" s="167" t="n">
        <v>5</v>
      </c>
      <c r="G380" s="167" t="n">
        <v>0</v>
      </c>
      <c r="H380" s="167" t="n">
        <v>0</v>
      </c>
      <c r="I380" s="167" t="n">
        <v>5</v>
      </c>
    </row>
    <row r="381" customFormat="false" ht="14.25" hidden="false" customHeight="true" outlineLevel="0" collapsed="false">
      <c r="A381" s="167" t="s">
        <v>243</v>
      </c>
      <c r="B381" s="167" t="s">
        <v>242</v>
      </c>
      <c r="C381" s="167" t="n">
        <v>20</v>
      </c>
      <c r="D381" s="167" t="str">
        <f aca="false">A381&amp;" "&amp;B381&amp;" "&amp;C381</f>
        <v>1/2" Round BAG Motor 20</v>
      </c>
      <c r="E381" s="167" t="n">
        <v>10</v>
      </c>
      <c r="F381" s="167" t="n">
        <v>5</v>
      </c>
      <c r="G381" s="167" t="n">
        <v>0</v>
      </c>
      <c r="H381" s="167" t="n">
        <v>0</v>
      </c>
      <c r="I381" s="167" t="n">
        <v>4</v>
      </c>
    </row>
    <row r="382" customFormat="false" ht="14.25" hidden="false" customHeight="true" outlineLevel="0" collapsed="false">
      <c r="A382" s="167" t="s">
        <v>243</v>
      </c>
      <c r="B382" s="167" t="s">
        <v>242</v>
      </c>
      <c r="C382" s="167" t="n">
        <v>21</v>
      </c>
      <c r="D382" s="167" t="str">
        <f aca="false">A382&amp;" "&amp;B382&amp;" "&amp;C382</f>
        <v>1/2" Round BAG Motor 21</v>
      </c>
      <c r="E382" s="167" t="n">
        <v>10</v>
      </c>
      <c r="F382" s="167" t="n">
        <v>5</v>
      </c>
      <c r="G382" s="167" t="n">
        <v>0</v>
      </c>
      <c r="H382" s="167" t="n">
        <v>0</v>
      </c>
      <c r="I382" s="167" t="n">
        <v>3</v>
      </c>
    </row>
    <row r="383" customFormat="false" ht="14.25" hidden="false" customHeight="true" outlineLevel="0" collapsed="false">
      <c r="A383" s="167" t="s">
        <v>243</v>
      </c>
      <c r="B383" s="167" t="s">
        <v>242</v>
      </c>
      <c r="C383" s="167" t="n">
        <v>25</v>
      </c>
      <c r="D383" s="167" t="str">
        <f aca="false">A383&amp;" "&amp;B383&amp;" "&amp;C383</f>
        <v>1/2" Round BAG Motor 25</v>
      </c>
      <c r="E383" s="167" t="n">
        <v>7</v>
      </c>
      <c r="F383" s="167" t="n">
        <v>5</v>
      </c>
      <c r="G383" s="167" t="n">
        <v>0</v>
      </c>
      <c r="H383" s="167" t="n">
        <v>0</v>
      </c>
      <c r="I383" s="167" t="n">
        <v>3</v>
      </c>
    </row>
    <row r="384" customFormat="false" ht="14.25" hidden="false" customHeight="true" outlineLevel="0" collapsed="false">
      <c r="A384" s="167" t="s">
        <v>243</v>
      </c>
      <c r="B384" s="167" t="s">
        <v>242</v>
      </c>
      <c r="C384" s="167" t="n">
        <v>27</v>
      </c>
      <c r="D384" s="167" t="str">
        <f aca="false">A384&amp;" "&amp;B384&amp;" "&amp;C384</f>
        <v>1/2" Round BAG Motor 27</v>
      </c>
      <c r="E384" s="167" t="n">
        <v>7</v>
      </c>
      <c r="F384" s="167" t="n">
        <v>5</v>
      </c>
      <c r="G384" s="167" t="n">
        <v>0</v>
      </c>
      <c r="H384" s="167" t="n">
        <v>0</v>
      </c>
      <c r="I384" s="167" t="n">
        <v>3</v>
      </c>
    </row>
    <row r="385" customFormat="false" ht="14.25" hidden="false" customHeight="true" outlineLevel="0" collapsed="false">
      <c r="A385" s="167" t="s">
        <v>243</v>
      </c>
      <c r="B385" s="167" t="s">
        <v>242</v>
      </c>
      <c r="C385" s="167" t="n">
        <v>28</v>
      </c>
      <c r="D385" s="167" t="str">
        <f aca="false">A385&amp;" "&amp;B385&amp;" "&amp;C385</f>
        <v>1/2" Round BAG Motor 28</v>
      </c>
      <c r="E385" s="167" t="n">
        <v>7</v>
      </c>
      <c r="F385" s="167" t="n">
        <v>5</v>
      </c>
      <c r="G385" s="167" t="n">
        <v>0</v>
      </c>
      <c r="H385" s="167" t="n">
        <v>0</v>
      </c>
      <c r="I385" s="167" t="n">
        <v>1</v>
      </c>
    </row>
    <row r="386" customFormat="false" ht="14.25" hidden="false" customHeight="true" outlineLevel="0" collapsed="false">
      <c r="A386" s="167" t="s">
        <v>243</v>
      </c>
      <c r="B386" s="167" t="s">
        <v>242</v>
      </c>
      <c r="C386" s="167" t="n">
        <v>30</v>
      </c>
      <c r="D386" s="167" t="str">
        <f aca="false">A386&amp;" "&amp;B386&amp;" "&amp;C386</f>
        <v>1/2" Round BAG Motor 30</v>
      </c>
      <c r="E386" s="167" t="n">
        <v>7</v>
      </c>
      <c r="F386" s="167" t="n">
        <v>4</v>
      </c>
      <c r="G386" s="167" t="n">
        <v>0</v>
      </c>
      <c r="H386" s="167" t="n">
        <v>0</v>
      </c>
      <c r="I386" s="167" t="n">
        <v>1</v>
      </c>
    </row>
    <row r="387" customFormat="false" ht="14.25" hidden="false" customHeight="true" outlineLevel="0" collapsed="false">
      <c r="A387" s="167" t="s">
        <v>243</v>
      </c>
      <c r="B387" s="167" t="s">
        <v>242</v>
      </c>
      <c r="C387" s="167" t="n">
        <v>35</v>
      </c>
      <c r="D387" s="167" t="str">
        <f aca="false">A387&amp;" "&amp;B387&amp;" "&amp;C387</f>
        <v>1/2" Round BAG Motor 35</v>
      </c>
      <c r="E387" s="167" t="n">
        <v>5</v>
      </c>
      <c r="F387" s="167" t="n">
        <v>4</v>
      </c>
      <c r="G387" s="167" t="n">
        <v>0</v>
      </c>
      <c r="H387" s="167" t="n">
        <v>0</v>
      </c>
      <c r="I387" s="167" t="n">
        <v>1</v>
      </c>
    </row>
    <row r="388" customFormat="false" ht="14.25" hidden="false" customHeight="true" outlineLevel="0" collapsed="false">
      <c r="A388" s="167" t="s">
        <v>243</v>
      </c>
      <c r="B388" s="167" t="s">
        <v>242</v>
      </c>
      <c r="C388" s="167" t="n">
        <v>36</v>
      </c>
      <c r="D388" s="167" t="str">
        <f aca="false">A388&amp;" "&amp;B388&amp;" "&amp;C388</f>
        <v>1/2" Round BAG Motor 36</v>
      </c>
      <c r="E388" s="167" t="n">
        <v>5</v>
      </c>
      <c r="F388" s="167" t="n">
        <v>4</v>
      </c>
      <c r="G388" s="167" t="n">
        <v>0</v>
      </c>
      <c r="H388" s="167" t="n">
        <v>0</v>
      </c>
      <c r="I388" s="167" t="n">
        <v>1</v>
      </c>
    </row>
    <row r="389" customFormat="false" ht="14.25" hidden="false" customHeight="true" outlineLevel="0" collapsed="false">
      <c r="A389" s="167" t="s">
        <v>243</v>
      </c>
      <c r="B389" s="167" t="s">
        <v>242</v>
      </c>
      <c r="C389" s="167" t="n">
        <v>40</v>
      </c>
      <c r="D389" s="167" t="str">
        <f aca="false">A389&amp;" "&amp;B389&amp;" "&amp;C389</f>
        <v>1/2" Round BAG Motor 40</v>
      </c>
      <c r="E389" s="167" t="n">
        <v>5</v>
      </c>
      <c r="F389" s="167" t="n">
        <v>3</v>
      </c>
      <c r="G389" s="167" t="n">
        <v>0</v>
      </c>
      <c r="H389" s="167" t="n">
        <v>0</v>
      </c>
      <c r="I389" s="167" t="n">
        <v>1</v>
      </c>
    </row>
    <row r="390" customFormat="false" ht="14.25" hidden="false" customHeight="true" outlineLevel="0" collapsed="false">
      <c r="A390" s="167" t="s">
        <v>243</v>
      </c>
      <c r="B390" s="167" t="s">
        <v>242</v>
      </c>
      <c r="C390" s="167" t="n">
        <v>45</v>
      </c>
      <c r="D390" s="167" t="str">
        <f aca="false">A390&amp;" "&amp;B390&amp;" "&amp;C390</f>
        <v>1/2" Round BAG Motor 45</v>
      </c>
      <c r="E390" s="167" t="n">
        <v>5</v>
      </c>
      <c r="F390" s="167" t="n">
        <v>3</v>
      </c>
      <c r="G390" s="167" t="n">
        <v>0</v>
      </c>
      <c r="H390" s="167" t="n">
        <v>0</v>
      </c>
      <c r="I390" s="167" t="n">
        <v>1</v>
      </c>
    </row>
    <row r="391" customFormat="false" ht="14.25" hidden="false" customHeight="true" outlineLevel="0" collapsed="false">
      <c r="A391" s="167" t="s">
        <v>243</v>
      </c>
      <c r="B391" s="167" t="s">
        <v>242</v>
      </c>
      <c r="C391" s="167" t="n">
        <v>49</v>
      </c>
      <c r="D391" s="167" t="str">
        <f aca="false">A391&amp;" "&amp;B391&amp;" "&amp;C391</f>
        <v>1/2" Round BAG Motor 49</v>
      </c>
      <c r="E391" s="167" t="n">
        <v>5</v>
      </c>
      <c r="F391" s="167" t="n">
        <v>1</v>
      </c>
      <c r="G391" s="167" t="n">
        <v>0</v>
      </c>
      <c r="H391" s="167" t="n">
        <v>0</v>
      </c>
      <c r="I391" s="167" t="n">
        <v>1</v>
      </c>
    </row>
    <row r="392" customFormat="false" ht="14.25" hidden="false" customHeight="true" outlineLevel="0" collapsed="false">
      <c r="A392" s="167" t="s">
        <v>243</v>
      </c>
      <c r="B392" s="167" t="s">
        <v>242</v>
      </c>
      <c r="C392" s="167" t="n">
        <v>50</v>
      </c>
      <c r="D392" s="167" t="str">
        <f aca="false">A392&amp;" "&amp;B392&amp;" "&amp;C392</f>
        <v>1/2" Round BAG Motor 50</v>
      </c>
      <c r="E392" s="167" t="n">
        <v>5</v>
      </c>
      <c r="F392" s="167" t="n">
        <v>1</v>
      </c>
      <c r="G392" s="167" t="n">
        <v>0</v>
      </c>
      <c r="H392" s="167" t="n">
        <v>0</v>
      </c>
      <c r="I392" s="167" t="n">
        <v>1</v>
      </c>
    </row>
    <row r="393" customFormat="false" ht="14.25" hidden="false" customHeight="true" outlineLevel="0" collapsed="false">
      <c r="A393" s="167" t="s">
        <v>243</v>
      </c>
      <c r="B393" s="167" t="s">
        <v>242</v>
      </c>
      <c r="C393" s="167" t="n">
        <v>63</v>
      </c>
      <c r="D393" s="167" t="str">
        <f aca="false">A393&amp;" "&amp;B393&amp;" "&amp;C393</f>
        <v>1/2" Round BAG Motor 63</v>
      </c>
      <c r="E393" s="167" t="n">
        <v>4</v>
      </c>
      <c r="F393" s="167" t="n">
        <v>1</v>
      </c>
      <c r="G393" s="167" t="n">
        <v>0</v>
      </c>
      <c r="H393" s="167" t="n">
        <v>0</v>
      </c>
      <c r="I393" s="167" t="n">
        <v>1</v>
      </c>
    </row>
    <row r="394" customFormat="false" ht="14.25" hidden="false" customHeight="true" outlineLevel="0" collapsed="false">
      <c r="A394" s="167" t="s">
        <v>243</v>
      </c>
      <c r="B394" s="167" t="s">
        <v>242</v>
      </c>
      <c r="C394" s="167" t="n">
        <v>70</v>
      </c>
      <c r="D394" s="167" t="str">
        <f aca="false">A394&amp;" "&amp;B394&amp;" "&amp;C394</f>
        <v>1/2" Round BAG Motor 70</v>
      </c>
      <c r="E394" s="167" t="n">
        <v>4</v>
      </c>
      <c r="F394" s="167" t="n">
        <v>1</v>
      </c>
      <c r="G394" s="167" t="n">
        <v>0</v>
      </c>
      <c r="H394" s="167" t="n">
        <v>0</v>
      </c>
      <c r="I394" s="167" t="n">
        <v>1</v>
      </c>
    </row>
    <row r="395" customFormat="false" ht="14.25" hidden="false" customHeight="true" outlineLevel="0" collapsed="false">
      <c r="A395" s="167" t="s">
        <v>243</v>
      </c>
      <c r="B395" s="167" t="s">
        <v>242</v>
      </c>
      <c r="C395" s="167" t="n">
        <v>81</v>
      </c>
      <c r="D395" s="167" t="str">
        <f aca="false">A395&amp;" "&amp;B395&amp;" "&amp;C395</f>
        <v>1/2" Round BAG Motor 81</v>
      </c>
      <c r="E395" s="167" t="n">
        <v>3</v>
      </c>
      <c r="F395" s="167" t="n">
        <v>1</v>
      </c>
      <c r="G395" s="167" t="n">
        <v>0</v>
      </c>
      <c r="H395" s="167" t="n">
        <v>0</v>
      </c>
      <c r="I395" s="167" t="n">
        <v>1</v>
      </c>
    </row>
    <row r="396" customFormat="false" ht="14.25" hidden="false" customHeight="true" outlineLevel="0" collapsed="false">
      <c r="A396" s="167" t="s">
        <v>243</v>
      </c>
      <c r="B396" s="167" t="s">
        <v>242</v>
      </c>
      <c r="C396" s="167" t="n">
        <v>90</v>
      </c>
      <c r="D396" s="167" t="str">
        <f aca="false">A396&amp;" "&amp;B396&amp;" "&amp;C396</f>
        <v>1/2" Round BAG Motor 90</v>
      </c>
      <c r="E396" s="167" t="n">
        <v>3</v>
      </c>
      <c r="F396" s="167" t="n">
        <v>1</v>
      </c>
      <c r="G396" s="167" t="n">
        <v>0</v>
      </c>
      <c r="H396" s="167" t="n">
        <v>0</v>
      </c>
      <c r="I396" s="167" t="n">
        <v>0</v>
      </c>
    </row>
    <row r="397" customFormat="false" ht="14.25" hidden="false" customHeight="true" outlineLevel="0" collapsed="false">
      <c r="A397" s="167" t="s">
        <v>243</v>
      </c>
      <c r="B397" s="167" t="s">
        <v>242</v>
      </c>
      <c r="C397" s="167" t="n">
        <v>100</v>
      </c>
      <c r="D397" s="167" t="str">
        <f aca="false">A397&amp;" "&amp;B397&amp;" "&amp;C397</f>
        <v>1/2" Round BAG Motor 100</v>
      </c>
      <c r="E397" s="167" t="n">
        <v>1</v>
      </c>
      <c r="F397" s="167" t="n">
        <v>1</v>
      </c>
      <c r="G397" s="167" t="n">
        <v>0</v>
      </c>
      <c r="H397" s="167" t="n">
        <v>0</v>
      </c>
      <c r="I397" s="167" t="n">
        <v>0</v>
      </c>
    </row>
    <row r="398" customFormat="false" ht="14.25" hidden="false" customHeight="true" outlineLevel="0" collapsed="false">
      <c r="A398" s="167" t="s">
        <v>243</v>
      </c>
      <c r="B398" s="167" t="s">
        <v>41</v>
      </c>
      <c r="C398" s="167" t="n">
        <v>-3</v>
      </c>
      <c r="D398" s="167" t="str">
        <f aca="false">A398&amp;" "&amp;B398&amp;" "&amp;C398</f>
        <v>1/2" Round 775pro -3</v>
      </c>
      <c r="E398" s="167" t="n">
        <v>1</v>
      </c>
      <c r="F398" s="167" t="n">
        <v>1</v>
      </c>
      <c r="G398" s="167" t="n">
        <v>1</v>
      </c>
      <c r="H398" s="167" t="n">
        <v>0</v>
      </c>
      <c r="I398" s="167" t="n">
        <v>1</v>
      </c>
    </row>
    <row r="399" customFormat="false" ht="14.25" hidden="false" customHeight="true" outlineLevel="0" collapsed="false">
      <c r="A399" s="167" t="s">
        <v>243</v>
      </c>
      <c r="B399" s="167" t="s">
        <v>41</v>
      </c>
      <c r="C399" s="167" t="n">
        <v>-4</v>
      </c>
      <c r="D399" s="167" t="str">
        <f aca="false">A399&amp;" "&amp;B399&amp;" "&amp;C399</f>
        <v>1/2" Round 775pro -4</v>
      </c>
      <c r="E399" s="167" t="n">
        <v>1</v>
      </c>
      <c r="F399" s="167" t="n">
        <v>1</v>
      </c>
      <c r="G399" s="167" t="n">
        <v>1</v>
      </c>
      <c r="H399" s="167" t="n">
        <v>0</v>
      </c>
      <c r="I399" s="167" t="n">
        <v>1</v>
      </c>
    </row>
    <row r="400" customFormat="false" ht="14.25" hidden="false" customHeight="true" outlineLevel="0" collapsed="false">
      <c r="A400" s="167" t="s">
        <v>243</v>
      </c>
      <c r="B400" s="167" t="s">
        <v>41</v>
      </c>
      <c r="C400" s="167" t="n">
        <v>-5</v>
      </c>
      <c r="D400" s="167" t="str">
        <f aca="false">A400&amp;" "&amp;B400&amp;" "&amp;C400</f>
        <v>1/2" Round 775pro -5</v>
      </c>
      <c r="E400" s="167" t="n">
        <v>1</v>
      </c>
      <c r="F400" s="167" t="n">
        <v>1</v>
      </c>
      <c r="G400" s="167" t="n">
        <v>1</v>
      </c>
      <c r="H400" s="167" t="n">
        <v>0</v>
      </c>
      <c r="I400" s="167" t="n">
        <v>1</v>
      </c>
    </row>
    <row r="401" customFormat="false" ht="14.25" hidden="false" customHeight="true" outlineLevel="0" collapsed="false">
      <c r="A401" s="167" t="s">
        <v>243</v>
      </c>
      <c r="B401" s="167" t="s">
        <v>41</v>
      </c>
      <c r="C401" s="167" t="n">
        <v>-7</v>
      </c>
      <c r="D401" s="167" t="str">
        <f aca="false">A401&amp;" "&amp;B401&amp;" "&amp;C401</f>
        <v>1/2" Round 775pro -7</v>
      </c>
      <c r="E401" s="167" t="n">
        <v>1</v>
      </c>
      <c r="F401" s="167" t="n">
        <v>1</v>
      </c>
      <c r="G401" s="167" t="n">
        <v>0</v>
      </c>
      <c r="H401" s="167" t="n">
        <v>0</v>
      </c>
      <c r="I401" s="167" t="n">
        <v>1</v>
      </c>
    </row>
    <row r="402" customFormat="false" ht="14.25" hidden="false" customHeight="true" outlineLevel="0" collapsed="false">
      <c r="A402" s="167" t="s">
        <v>243</v>
      </c>
      <c r="B402" s="167" t="s">
        <v>41</v>
      </c>
      <c r="C402" s="167" t="n">
        <v>-9</v>
      </c>
      <c r="D402" s="167" t="str">
        <f aca="false">A402&amp;" "&amp;B402&amp;" "&amp;C402</f>
        <v>1/2" Round 775pro -9</v>
      </c>
      <c r="E402" s="167" t="n">
        <v>1</v>
      </c>
      <c r="F402" s="167" t="n">
        <v>1</v>
      </c>
      <c r="G402" s="167" t="n">
        <v>0</v>
      </c>
      <c r="H402" s="167" t="n">
        <v>0</v>
      </c>
      <c r="I402" s="167" t="n">
        <v>1</v>
      </c>
    </row>
    <row r="403" customFormat="false" ht="14.25" hidden="false" customHeight="true" outlineLevel="0" collapsed="false">
      <c r="A403" s="167" t="s">
        <v>243</v>
      </c>
      <c r="B403" s="167" t="s">
        <v>41</v>
      </c>
      <c r="C403" s="167" t="n">
        <v>-10</v>
      </c>
      <c r="D403" s="167" t="str">
        <f aca="false">A403&amp;" "&amp;B403&amp;" "&amp;C403</f>
        <v>1/2" Round 775pro -10</v>
      </c>
      <c r="E403" s="167" t="n">
        <v>1</v>
      </c>
      <c r="F403" s="167" t="n">
        <v>1</v>
      </c>
      <c r="G403" s="167" t="n">
        <v>0</v>
      </c>
      <c r="H403" s="167" t="n">
        <v>0</v>
      </c>
      <c r="I403" s="167" t="n">
        <v>1</v>
      </c>
    </row>
    <row r="404" customFormat="false" ht="14.25" hidden="false" customHeight="true" outlineLevel="0" collapsed="false">
      <c r="A404" s="167" t="s">
        <v>243</v>
      </c>
      <c r="B404" s="167" t="s">
        <v>41</v>
      </c>
      <c r="C404" s="167" t="n">
        <v>9</v>
      </c>
      <c r="D404" s="167" t="str">
        <f aca="false">A404&amp;" "&amp;B404&amp;" "&amp;C404</f>
        <v>1/2" Round 775pro 9</v>
      </c>
      <c r="E404" s="167" t="n">
        <v>10</v>
      </c>
      <c r="F404" s="167" t="n">
        <v>7</v>
      </c>
      <c r="G404" s="167" t="n">
        <v>0</v>
      </c>
      <c r="H404" s="167" t="n">
        <v>0</v>
      </c>
      <c r="I404" s="167" t="n">
        <v>5</v>
      </c>
    </row>
    <row r="405" customFormat="false" ht="14.25" hidden="false" customHeight="true" outlineLevel="0" collapsed="false">
      <c r="A405" s="167" t="s">
        <v>243</v>
      </c>
      <c r="B405" s="167" t="s">
        <v>41</v>
      </c>
      <c r="C405" s="167" t="n">
        <v>12</v>
      </c>
      <c r="D405" s="167" t="str">
        <f aca="false">A405&amp;" "&amp;B405&amp;" "&amp;C405</f>
        <v>1/2" Round 775pro 12</v>
      </c>
      <c r="E405" s="167" t="n">
        <v>10</v>
      </c>
      <c r="F405" s="167" t="n">
        <v>5</v>
      </c>
      <c r="G405" s="167" t="n">
        <v>0</v>
      </c>
      <c r="H405" s="167" t="n">
        <v>0</v>
      </c>
      <c r="I405" s="167" t="n">
        <v>4</v>
      </c>
    </row>
    <row r="406" customFormat="false" ht="14.25" hidden="false" customHeight="true" outlineLevel="0" collapsed="false">
      <c r="A406" s="167" t="s">
        <v>243</v>
      </c>
      <c r="B406" s="167" t="s">
        <v>41</v>
      </c>
      <c r="C406" s="167" t="n">
        <v>15</v>
      </c>
      <c r="D406" s="167" t="str">
        <f aca="false">A406&amp;" "&amp;B406&amp;" "&amp;C406</f>
        <v>1/2" Round 775pro 15</v>
      </c>
      <c r="E406" s="167" t="n">
        <v>9</v>
      </c>
      <c r="F406" s="167" t="n">
        <v>5</v>
      </c>
      <c r="G406" s="167" t="n">
        <v>0</v>
      </c>
      <c r="H406" s="167" t="n">
        <v>0</v>
      </c>
      <c r="I406" s="167" t="n">
        <v>3</v>
      </c>
    </row>
    <row r="407" customFormat="false" ht="14.25" hidden="false" customHeight="true" outlineLevel="0" collapsed="false">
      <c r="A407" s="167" t="s">
        <v>243</v>
      </c>
      <c r="B407" s="167" t="s">
        <v>41</v>
      </c>
      <c r="C407" s="167" t="n">
        <v>16</v>
      </c>
      <c r="D407" s="167" t="str">
        <f aca="false">A407&amp;" "&amp;B407&amp;" "&amp;C407</f>
        <v>1/2" Round 775pro 16</v>
      </c>
      <c r="E407" s="167" t="n">
        <v>7</v>
      </c>
      <c r="F407" s="167" t="n">
        <v>5</v>
      </c>
      <c r="G407" s="167" t="n">
        <v>0</v>
      </c>
      <c r="H407" s="167" t="n">
        <v>0</v>
      </c>
      <c r="I407" s="167" t="n">
        <v>3</v>
      </c>
    </row>
    <row r="408" customFormat="false" ht="14.25" hidden="false" customHeight="true" outlineLevel="0" collapsed="false">
      <c r="A408" s="167" t="s">
        <v>243</v>
      </c>
      <c r="B408" s="167" t="s">
        <v>41</v>
      </c>
      <c r="C408" s="167" t="n">
        <v>20</v>
      </c>
      <c r="D408" s="167" t="str">
        <f aca="false">A408&amp;" "&amp;B408&amp;" "&amp;C408</f>
        <v>1/2" Round 775pro 20</v>
      </c>
      <c r="E408" s="167" t="n">
        <v>5</v>
      </c>
      <c r="F408" s="167" t="n">
        <v>4</v>
      </c>
      <c r="G408" s="167" t="n">
        <v>0</v>
      </c>
      <c r="H408" s="167" t="n">
        <v>0</v>
      </c>
      <c r="I408" s="167" t="n">
        <v>1</v>
      </c>
    </row>
    <row r="409" customFormat="false" ht="14.25" hidden="false" customHeight="true" outlineLevel="0" collapsed="false">
      <c r="A409" s="167" t="s">
        <v>243</v>
      </c>
      <c r="B409" s="167" t="s">
        <v>41</v>
      </c>
      <c r="C409" s="167" t="n">
        <v>21</v>
      </c>
      <c r="D409" s="167" t="str">
        <f aca="false">A409&amp;" "&amp;B409&amp;" "&amp;C409</f>
        <v>1/2" Round 775pro 21</v>
      </c>
      <c r="E409" s="167" t="n">
        <v>5</v>
      </c>
      <c r="F409" s="167" t="n">
        <v>4</v>
      </c>
      <c r="G409" s="167" t="n">
        <v>0</v>
      </c>
      <c r="H409" s="167" t="n">
        <v>0</v>
      </c>
      <c r="I409" s="167" t="n">
        <v>1</v>
      </c>
    </row>
    <row r="410" customFormat="false" ht="14.25" hidden="false" customHeight="true" outlineLevel="0" collapsed="false">
      <c r="A410" s="167" t="s">
        <v>243</v>
      </c>
      <c r="B410" s="167" t="s">
        <v>41</v>
      </c>
      <c r="C410" s="167" t="n">
        <v>25</v>
      </c>
      <c r="D410" s="167" t="str">
        <f aca="false">A410&amp;" "&amp;B410&amp;" "&amp;C410</f>
        <v>1/2" Round 775pro 25</v>
      </c>
      <c r="E410" s="167" t="n">
        <v>5</v>
      </c>
      <c r="F410" s="167" t="n">
        <v>3</v>
      </c>
      <c r="G410" s="167" t="n">
        <v>0</v>
      </c>
      <c r="H410" s="167" t="n">
        <v>0</v>
      </c>
      <c r="I410" s="167" t="n">
        <v>1</v>
      </c>
    </row>
    <row r="411" customFormat="false" ht="14.25" hidden="false" customHeight="true" outlineLevel="0" collapsed="false">
      <c r="A411" s="167" t="s">
        <v>243</v>
      </c>
      <c r="B411" s="167" t="s">
        <v>41</v>
      </c>
      <c r="C411" s="167" t="n">
        <v>27</v>
      </c>
      <c r="D411" s="167" t="str">
        <f aca="false">A411&amp;" "&amp;B411&amp;" "&amp;C411</f>
        <v>1/2" Round 775pro 27</v>
      </c>
      <c r="E411" s="167" t="n">
        <v>5</v>
      </c>
      <c r="F411" s="167" t="n">
        <v>3</v>
      </c>
      <c r="G411" s="167" t="n">
        <v>0</v>
      </c>
      <c r="H411" s="167" t="n">
        <v>0</v>
      </c>
      <c r="I411" s="167" t="n">
        <v>1</v>
      </c>
    </row>
    <row r="412" customFormat="false" ht="14.25" hidden="false" customHeight="true" outlineLevel="0" collapsed="false">
      <c r="A412" s="167" t="s">
        <v>243</v>
      </c>
      <c r="B412" s="167" t="s">
        <v>41</v>
      </c>
      <c r="C412" s="167" t="n">
        <v>28</v>
      </c>
      <c r="D412" s="167" t="str">
        <f aca="false">A412&amp;" "&amp;B412&amp;" "&amp;C412</f>
        <v>1/2" Round 775pro 28</v>
      </c>
      <c r="E412" s="167" t="n">
        <v>5</v>
      </c>
      <c r="F412" s="167" t="n">
        <v>3</v>
      </c>
      <c r="G412" s="167" t="n">
        <v>0</v>
      </c>
      <c r="H412" s="167" t="n">
        <v>0</v>
      </c>
      <c r="I412" s="167" t="n">
        <v>1</v>
      </c>
    </row>
    <row r="413" customFormat="false" ht="14.25" hidden="false" customHeight="true" outlineLevel="0" collapsed="false">
      <c r="A413" s="167" t="s">
        <v>243</v>
      </c>
      <c r="B413" s="167" t="s">
        <v>41</v>
      </c>
      <c r="C413" s="167" t="n">
        <v>30</v>
      </c>
      <c r="D413" s="167" t="str">
        <f aca="false">A413&amp;" "&amp;B413&amp;" "&amp;C413</f>
        <v>1/2" Round 775pro 30</v>
      </c>
      <c r="E413" s="167" t="n">
        <v>5</v>
      </c>
      <c r="F413" s="167" t="n">
        <v>3</v>
      </c>
      <c r="G413" s="167" t="n">
        <v>0</v>
      </c>
      <c r="H413" s="167" t="n">
        <v>0</v>
      </c>
      <c r="I413" s="167" t="n">
        <v>1</v>
      </c>
    </row>
    <row r="414" customFormat="false" ht="14.25" hidden="false" customHeight="true" outlineLevel="0" collapsed="false">
      <c r="A414" s="167" t="s">
        <v>243</v>
      </c>
      <c r="B414" s="167" t="s">
        <v>41</v>
      </c>
      <c r="C414" s="167" t="n">
        <v>35</v>
      </c>
      <c r="D414" s="167" t="str">
        <f aca="false">A414&amp;" "&amp;B414&amp;" "&amp;C414</f>
        <v>1/2" Round 775pro 35</v>
      </c>
      <c r="E414" s="167" t="n">
        <v>5</v>
      </c>
      <c r="F414" s="167" t="n">
        <v>1</v>
      </c>
      <c r="G414" s="167" t="n">
        <v>0</v>
      </c>
      <c r="H414" s="167" t="n">
        <v>0</v>
      </c>
      <c r="I414" s="167" t="n">
        <v>1</v>
      </c>
    </row>
    <row r="415" customFormat="false" ht="14.25" hidden="false" customHeight="true" outlineLevel="0" collapsed="false">
      <c r="A415" s="167" t="s">
        <v>243</v>
      </c>
      <c r="B415" s="167" t="s">
        <v>41</v>
      </c>
      <c r="C415" s="167" t="n">
        <v>36</v>
      </c>
      <c r="D415" s="167" t="str">
        <f aca="false">A415&amp;" "&amp;B415&amp;" "&amp;C415</f>
        <v>1/2" Round 775pro 36</v>
      </c>
      <c r="E415" s="167" t="n">
        <v>5</v>
      </c>
      <c r="F415" s="167" t="n">
        <v>1</v>
      </c>
      <c r="G415" s="167" t="n">
        <v>0</v>
      </c>
      <c r="H415" s="167" t="n">
        <v>0</v>
      </c>
      <c r="I415" s="167" t="n">
        <v>1</v>
      </c>
    </row>
    <row r="416" customFormat="false" ht="14.25" hidden="false" customHeight="true" outlineLevel="0" collapsed="false">
      <c r="A416" s="167" t="s">
        <v>243</v>
      </c>
      <c r="B416" s="167" t="s">
        <v>41</v>
      </c>
      <c r="C416" s="167" t="n">
        <v>40</v>
      </c>
      <c r="D416" s="167" t="str">
        <f aca="false">A416&amp;" "&amp;B416&amp;" "&amp;C416</f>
        <v>1/2" Round 775pro 40</v>
      </c>
      <c r="E416" s="167" t="n">
        <v>4</v>
      </c>
      <c r="F416" s="167" t="n">
        <v>1</v>
      </c>
      <c r="G416" s="167" t="n">
        <v>0</v>
      </c>
      <c r="H416" s="167" t="n">
        <v>0</v>
      </c>
      <c r="I416" s="167" t="n">
        <v>1</v>
      </c>
    </row>
    <row r="417" customFormat="false" ht="14.25" hidden="false" customHeight="true" outlineLevel="0" collapsed="false">
      <c r="A417" s="167" t="s">
        <v>243</v>
      </c>
      <c r="B417" s="167" t="s">
        <v>41</v>
      </c>
      <c r="C417" s="167" t="n">
        <v>45</v>
      </c>
      <c r="D417" s="167" t="str">
        <f aca="false">A417&amp;" "&amp;B417&amp;" "&amp;C417</f>
        <v>1/2" Round 775pro 45</v>
      </c>
      <c r="E417" s="167" t="n">
        <v>4</v>
      </c>
      <c r="F417" s="167" t="n">
        <v>1</v>
      </c>
      <c r="G417" s="167" t="n">
        <v>0</v>
      </c>
      <c r="H417" s="167" t="n">
        <v>0</v>
      </c>
      <c r="I417" s="167" t="n">
        <v>1</v>
      </c>
    </row>
    <row r="418" customFormat="false" ht="14.25" hidden="false" customHeight="true" outlineLevel="0" collapsed="false">
      <c r="A418" s="167" t="s">
        <v>243</v>
      </c>
      <c r="B418" s="167" t="s">
        <v>41</v>
      </c>
      <c r="C418" s="167" t="n">
        <v>49</v>
      </c>
      <c r="D418" s="167" t="str">
        <f aca="false">A418&amp;" "&amp;B418&amp;" "&amp;C418</f>
        <v>1/2" Round 775pro 49</v>
      </c>
      <c r="E418" s="167" t="n">
        <v>3</v>
      </c>
      <c r="F418" s="167" t="n">
        <v>1</v>
      </c>
      <c r="G418" s="167" t="n">
        <v>0</v>
      </c>
      <c r="H418" s="167" t="n">
        <v>0</v>
      </c>
      <c r="I418" s="167" t="n">
        <v>1</v>
      </c>
    </row>
    <row r="419" customFormat="false" ht="14.25" hidden="false" customHeight="true" outlineLevel="0" collapsed="false">
      <c r="A419" s="167" t="s">
        <v>243</v>
      </c>
      <c r="B419" s="167" t="s">
        <v>41</v>
      </c>
      <c r="C419" s="167" t="n">
        <v>50</v>
      </c>
      <c r="D419" s="167" t="str">
        <f aca="false">A419&amp;" "&amp;B419&amp;" "&amp;C419</f>
        <v>1/2" Round 775pro 50</v>
      </c>
      <c r="E419" s="167" t="n">
        <v>3</v>
      </c>
      <c r="F419" s="167" t="n">
        <v>1</v>
      </c>
      <c r="G419" s="167" t="n">
        <v>0</v>
      </c>
      <c r="H419" s="167" t="n">
        <v>0</v>
      </c>
      <c r="I419" s="167" t="n">
        <v>0</v>
      </c>
    </row>
    <row r="420" customFormat="false" ht="14.25" hidden="false" customHeight="true" outlineLevel="0" collapsed="false">
      <c r="A420" s="167" t="s">
        <v>243</v>
      </c>
      <c r="B420" s="167" t="s">
        <v>41</v>
      </c>
      <c r="C420" s="167" t="n">
        <v>63</v>
      </c>
      <c r="D420" s="167" t="str">
        <f aca="false">A420&amp;" "&amp;B420&amp;" "&amp;C420</f>
        <v>1/2" Round 775pro 63</v>
      </c>
      <c r="E420" s="167" t="n">
        <v>1</v>
      </c>
      <c r="F420" s="167" t="n">
        <v>1</v>
      </c>
      <c r="G420" s="167" t="n">
        <v>0</v>
      </c>
      <c r="H420" s="167" t="n">
        <v>0</v>
      </c>
      <c r="I420" s="167" t="n">
        <v>0</v>
      </c>
    </row>
    <row r="421" customFormat="false" ht="14.25" hidden="false" customHeight="true" outlineLevel="0" collapsed="false">
      <c r="A421" s="167" t="s">
        <v>243</v>
      </c>
      <c r="B421" s="167" t="s">
        <v>41</v>
      </c>
      <c r="C421" s="167" t="n">
        <v>70</v>
      </c>
      <c r="D421" s="167" t="str">
        <f aca="false">A421&amp;" "&amp;B421&amp;" "&amp;C421</f>
        <v>1/2" Round 775pro 70</v>
      </c>
      <c r="E421" s="167" t="n">
        <v>1</v>
      </c>
      <c r="F421" s="167" t="n">
        <v>0</v>
      </c>
      <c r="G421" s="167" t="n">
        <v>0</v>
      </c>
      <c r="H421" s="167" t="n">
        <v>0</v>
      </c>
      <c r="I421" s="167" t="n">
        <v>0</v>
      </c>
    </row>
    <row r="422" customFormat="false" ht="14.25" hidden="false" customHeight="true" outlineLevel="0" collapsed="false">
      <c r="A422" s="167" t="s">
        <v>243</v>
      </c>
      <c r="B422" s="167" t="s">
        <v>41</v>
      </c>
      <c r="C422" s="167" t="n">
        <v>81</v>
      </c>
      <c r="D422" s="167" t="str">
        <f aca="false">A422&amp;" "&amp;B422&amp;" "&amp;C422</f>
        <v>1/2" Round 775pro 81</v>
      </c>
      <c r="E422" s="167" t="n">
        <v>1</v>
      </c>
      <c r="F422" s="167" t="n">
        <v>0</v>
      </c>
      <c r="G422" s="167" t="n">
        <v>0</v>
      </c>
      <c r="H422" s="167" t="n">
        <v>0</v>
      </c>
      <c r="I422" s="167" t="n">
        <v>0</v>
      </c>
    </row>
    <row r="423" customFormat="false" ht="14.25" hidden="false" customHeight="true" outlineLevel="0" collapsed="false">
      <c r="A423" s="167" t="s">
        <v>243</v>
      </c>
      <c r="B423" s="167" t="s">
        <v>41</v>
      </c>
      <c r="C423" s="167" t="n">
        <v>90</v>
      </c>
      <c r="D423" s="167" t="str">
        <f aca="false">A423&amp;" "&amp;B423&amp;" "&amp;C423</f>
        <v>1/2" Round 775pro 90</v>
      </c>
      <c r="E423" s="167" t="n">
        <v>1</v>
      </c>
      <c r="F423" s="167" t="n">
        <v>0</v>
      </c>
      <c r="G423" s="167" t="n">
        <v>0</v>
      </c>
      <c r="H423" s="167" t="n">
        <v>0</v>
      </c>
      <c r="I423" s="167" t="n">
        <v>0</v>
      </c>
    </row>
    <row r="424" customFormat="false" ht="14.25" hidden="false" customHeight="true" outlineLevel="0" collapsed="false">
      <c r="A424" s="167" t="s">
        <v>243</v>
      </c>
      <c r="B424" s="167" t="s">
        <v>41</v>
      </c>
      <c r="C424" s="167" t="n">
        <v>100</v>
      </c>
      <c r="D424" s="167" t="str">
        <f aca="false">A424&amp;" "&amp;B424&amp;" "&amp;C424</f>
        <v>1/2" Round 775pro 100</v>
      </c>
      <c r="E424" s="167" t="n">
        <v>1</v>
      </c>
      <c r="F424" s="167" t="n">
        <v>0</v>
      </c>
      <c r="G424" s="167" t="n">
        <v>0</v>
      </c>
      <c r="H424" s="167" t="n">
        <v>0</v>
      </c>
      <c r="I424" s="167" t="n">
        <v>0</v>
      </c>
    </row>
    <row r="425" customFormat="false" ht="14.25" hidden="false" customHeight="true" outlineLevel="0" collapsed="false">
      <c r="A425" s="167" t="s">
        <v>243</v>
      </c>
      <c r="B425" s="167" t="s">
        <v>249</v>
      </c>
      <c r="C425" s="167" t="n">
        <v>-3</v>
      </c>
      <c r="D425" s="167" t="str">
        <f aca="false">A425&amp;" "&amp;B425&amp;" "&amp;C425</f>
        <v>1/2" Round Mini CIM -3</v>
      </c>
      <c r="E425" s="167" t="n">
        <v>1</v>
      </c>
      <c r="I425" s="167" t="n">
        <v>0</v>
      </c>
    </row>
    <row r="426" customFormat="false" ht="14.25" hidden="false" customHeight="true" outlineLevel="0" collapsed="false">
      <c r="A426" s="167" t="s">
        <v>243</v>
      </c>
      <c r="B426" s="167" t="s">
        <v>249</v>
      </c>
      <c r="C426" s="167" t="n">
        <v>-4</v>
      </c>
      <c r="D426" s="167" t="str">
        <f aca="false">A426&amp;" "&amp;B426&amp;" "&amp;C426</f>
        <v>1/2" Round Mini CIM -4</v>
      </c>
      <c r="E426" s="167" t="n">
        <v>1</v>
      </c>
      <c r="I426" s="167" t="n">
        <v>0</v>
      </c>
    </row>
    <row r="427" customFormat="false" ht="14.25" hidden="false" customHeight="true" outlineLevel="0" collapsed="false">
      <c r="A427" s="167" t="s">
        <v>243</v>
      </c>
      <c r="B427" s="167" t="s">
        <v>249</v>
      </c>
      <c r="C427" s="167" t="n">
        <v>-5</v>
      </c>
      <c r="D427" s="167" t="str">
        <f aca="false">A427&amp;" "&amp;B427&amp;" "&amp;C427</f>
        <v>1/2" Round Mini CIM -5</v>
      </c>
      <c r="E427" s="167" t="n">
        <v>1</v>
      </c>
      <c r="I427" s="167" t="n">
        <v>0</v>
      </c>
    </row>
    <row r="428" customFormat="false" ht="14.25" hidden="false" customHeight="true" outlineLevel="0" collapsed="false">
      <c r="A428" s="167" t="s">
        <v>243</v>
      </c>
      <c r="B428" s="167" t="s">
        <v>249</v>
      </c>
      <c r="C428" s="167" t="n">
        <v>-7</v>
      </c>
      <c r="D428" s="167" t="str">
        <f aca="false">A428&amp;" "&amp;B428&amp;" "&amp;C428</f>
        <v>1/2" Round Mini CIM -7</v>
      </c>
      <c r="E428" s="167" t="n">
        <v>1</v>
      </c>
      <c r="I428" s="167" t="n">
        <v>0</v>
      </c>
    </row>
    <row r="429" customFormat="false" ht="14.25" hidden="false" customHeight="true" outlineLevel="0" collapsed="false">
      <c r="A429" s="167" t="s">
        <v>243</v>
      </c>
      <c r="B429" s="167" t="s">
        <v>249</v>
      </c>
      <c r="C429" s="167" t="n">
        <v>-9</v>
      </c>
      <c r="D429" s="167" t="str">
        <f aca="false">A429&amp;" "&amp;B429&amp;" "&amp;C429</f>
        <v>1/2" Round Mini CIM -9</v>
      </c>
      <c r="E429" s="167" t="n">
        <v>1</v>
      </c>
      <c r="I429" s="167" t="n">
        <v>0</v>
      </c>
    </row>
    <row r="430" customFormat="false" ht="14.25" hidden="false" customHeight="true" outlineLevel="0" collapsed="false">
      <c r="A430" s="167" t="s">
        <v>243</v>
      </c>
      <c r="B430" s="167" t="s">
        <v>249</v>
      </c>
      <c r="C430" s="167" t="n">
        <v>-10</v>
      </c>
      <c r="D430" s="167" t="str">
        <f aca="false">A430&amp;" "&amp;B430&amp;" "&amp;C430</f>
        <v>1/2" Round Mini CIM -10</v>
      </c>
      <c r="E430" s="167" t="n">
        <v>1</v>
      </c>
      <c r="I430" s="167" t="n">
        <v>0</v>
      </c>
    </row>
    <row r="431" customFormat="false" ht="14.25" hidden="false" customHeight="true" outlineLevel="0" collapsed="false">
      <c r="A431" s="167" t="s">
        <v>243</v>
      </c>
      <c r="B431" s="167" t="s">
        <v>249</v>
      </c>
      <c r="C431" s="167" t="n">
        <v>9</v>
      </c>
      <c r="D431" s="167" t="str">
        <f aca="false">A431&amp;" "&amp;B431&amp;" "&amp;C431</f>
        <v>1/2" Round Mini CIM 9</v>
      </c>
      <c r="E431" s="167" t="n">
        <v>7</v>
      </c>
      <c r="I431" s="167" t="n">
        <v>0</v>
      </c>
    </row>
    <row r="432" customFormat="false" ht="14.25" hidden="false" customHeight="true" outlineLevel="0" collapsed="false">
      <c r="A432" s="167" t="s">
        <v>243</v>
      </c>
      <c r="B432" s="167" t="s">
        <v>249</v>
      </c>
      <c r="C432" s="167" t="n">
        <v>12</v>
      </c>
      <c r="D432" s="167" t="str">
        <f aca="false">A432&amp;" "&amp;B432&amp;" "&amp;C432</f>
        <v>1/2" Round Mini CIM 12</v>
      </c>
      <c r="E432" s="167" t="n">
        <v>5</v>
      </c>
      <c r="I432" s="167" t="n">
        <v>0</v>
      </c>
    </row>
    <row r="433" customFormat="false" ht="14.25" hidden="false" customHeight="true" outlineLevel="0" collapsed="false">
      <c r="A433" s="167" t="s">
        <v>243</v>
      </c>
      <c r="B433" s="167" t="s">
        <v>249</v>
      </c>
      <c r="C433" s="167" t="n">
        <v>15</v>
      </c>
      <c r="D433" s="167" t="str">
        <f aca="false">A433&amp;" "&amp;B433&amp;" "&amp;C433</f>
        <v>1/2" Round Mini CIM 15</v>
      </c>
      <c r="E433" s="167" t="n">
        <v>5</v>
      </c>
      <c r="I433" s="167" t="n">
        <v>0</v>
      </c>
    </row>
    <row r="434" customFormat="false" ht="14.25" hidden="false" customHeight="true" outlineLevel="0" collapsed="false">
      <c r="A434" s="167" t="s">
        <v>243</v>
      </c>
      <c r="B434" s="167" t="s">
        <v>249</v>
      </c>
      <c r="C434" s="167" t="n">
        <v>16</v>
      </c>
      <c r="D434" s="167" t="str">
        <f aca="false">A434&amp;" "&amp;B434&amp;" "&amp;C434</f>
        <v>1/2" Round Mini CIM 16</v>
      </c>
      <c r="E434" s="167" t="n">
        <v>5</v>
      </c>
      <c r="I434" s="167" t="n">
        <v>0</v>
      </c>
    </row>
    <row r="435" customFormat="false" ht="14.25" hidden="false" customHeight="true" outlineLevel="0" collapsed="false">
      <c r="A435" s="167" t="s">
        <v>243</v>
      </c>
      <c r="B435" s="167" t="s">
        <v>249</v>
      </c>
      <c r="C435" s="167" t="n">
        <v>20</v>
      </c>
      <c r="D435" s="167" t="str">
        <f aca="false">A435&amp;" "&amp;B435&amp;" "&amp;C435</f>
        <v>1/2" Round Mini CIM 20</v>
      </c>
      <c r="E435" s="167" t="n">
        <v>4</v>
      </c>
      <c r="I435" s="167" t="n">
        <v>0</v>
      </c>
    </row>
    <row r="436" customFormat="false" ht="14.25" hidden="false" customHeight="true" outlineLevel="0" collapsed="false">
      <c r="A436" s="167" t="s">
        <v>243</v>
      </c>
      <c r="B436" s="167" t="s">
        <v>249</v>
      </c>
      <c r="C436" s="167" t="n">
        <v>21</v>
      </c>
      <c r="D436" s="167" t="str">
        <f aca="false">A436&amp;" "&amp;B436&amp;" "&amp;C436</f>
        <v>1/2" Round Mini CIM 21</v>
      </c>
      <c r="E436" s="167" t="n">
        <v>4</v>
      </c>
      <c r="I436" s="167" t="n">
        <v>0</v>
      </c>
    </row>
    <row r="437" customFormat="false" ht="14.25" hidden="false" customHeight="true" outlineLevel="0" collapsed="false">
      <c r="A437" s="167" t="s">
        <v>243</v>
      </c>
      <c r="B437" s="167" t="s">
        <v>249</v>
      </c>
      <c r="C437" s="167" t="n">
        <v>25</v>
      </c>
      <c r="D437" s="167" t="str">
        <f aca="false">A437&amp;" "&amp;B437&amp;" "&amp;C437</f>
        <v>1/2" Round Mini CIM 25</v>
      </c>
      <c r="E437" s="167" t="n">
        <v>3</v>
      </c>
      <c r="I437" s="167" t="n">
        <v>0</v>
      </c>
    </row>
    <row r="438" customFormat="false" ht="14.25" hidden="false" customHeight="true" outlineLevel="0" collapsed="false">
      <c r="A438" s="167" t="s">
        <v>243</v>
      </c>
      <c r="B438" s="167" t="s">
        <v>249</v>
      </c>
      <c r="C438" s="167" t="n">
        <v>27</v>
      </c>
      <c r="D438" s="167" t="str">
        <f aca="false">A438&amp;" "&amp;B438&amp;" "&amp;C438</f>
        <v>1/2" Round Mini CIM 27</v>
      </c>
      <c r="E438" s="167" t="n">
        <v>3</v>
      </c>
      <c r="I438" s="167" t="n">
        <v>0</v>
      </c>
    </row>
    <row r="439" customFormat="false" ht="14.25" hidden="false" customHeight="true" outlineLevel="0" collapsed="false">
      <c r="A439" s="167" t="s">
        <v>243</v>
      </c>
      <c r="B439" s="167" t="s">
        <v>249</v>
      </c>
      <c r="C439" s="167" t="n">
        <v>28</v>
      </c>
      <c r="D439" s="167" t="str">
        <f aca="false">A439&amp;" "&amp;B439&amp;" "&amp;C439</f>
        <v>1/2" Round Mini CIM 28</v>
      </c>
      <c r="E439" s="167" t="n">
        <v>3</v>
      </c>
      <c r="I439" s="167" t="n">
        <v>0</v>
      </c>
    </row>
    <row r="440" customFormat="false" ht="14.25" hidden="false" customHeight="true" outlineLevel="0" collapsed="false">
      <c r="A440" s="167" t="s">
        <v>243</v>
      </c>
      <c r="B440" s="167" t="s">
        <v>249</v>
      </c>
      <c r="C440" s="167" t="n">
        <v>30</v>
      </c>
      <c r="D440" s="167" t="str">
        <f aca="false">A440&amp;" "&amp;B440&amp;" "&amp;C440</f>
        <v>1/2" Round Mini CIM 30</v>
      </c>
      <c r="E440" s="167" t="n">
        <v>1</v>
      </c>
      <c r="I440" s="167" t="n">
        <v>0</v>
      </c>
    </row>
    <row r="441" customFormat="false" ht="14.25" hidden="false" customHeight="true" outlineLevel="0" collapsed="false">
      <c r="A441" s="167" t="s">
        <v>243</v>
      </c>
      <c r="B441" s="167" t="s">
        <v>249</v>
      </c>
      <c r="C441" s="167" t="n">
        <v>35</v>
      </c>
      <c r="D441" s="167" t="str">
        <f aca="false">A441&amp;" "&amp;B441&amp;" "&amp;C441</f>
        <v>1/2" Round Mini CIM 35</v>
      </c>
      <c r="E441" s="167" t="n">
        <v>1</v>
      </c>
      <c r="I441" s="167" t="n">
        <v>0</v>
      </c>
    </row>
    <row r="442" customFormat="false" ht="14.25" hidden="false" customHeight="true" outlineLevel="0" collapsed="false">
      <c r="A442" s="167" t="s">
        <v>243</v>
      </c>
      <c r="B442" s="167" t="s">
        <v>249</v>
      </c>
      <c r="C442" s="167" t="n">
        <v>36</v>
      </c>
      <c r="D442" s="167" t="str">
        <f aca="false">A442&amp;" "&amp;B442&amp;" "&amp;C442</f>
        <v>1/2" Round Mini CIM 36</v>
      </c>
      <c r="E442" s="167" t="n">
        <v>1</v>
      </c>
      <c r="I442" s="167" t="n">
        <v>0</v>
      </c>
    </row>
    <row r="443" customFormat="false" ht="14.25" hidden="false" customHeight="true" outlineLevel="0" collapsed="false">
      <c r="A443" s="167" t="s">
        <v>243</v>
      </c>
      <c r="B443" s="167" t="s">
        <v>249</v>
      </c>
      <c r="C443" s="167" t="n">
        <v>40</v>
      </c>
      <c r="D443" s="167" t="str">
        <f aca="false">A443&amp;" "&amp;B443&amp;" "&amp;C443</f>
        <v>1/2" Round Mini CIM 40</v>
      </c>
      <c r="E443" s="167" t="n">
        <v>1</v>
      </c>
      <c r="I443" s="167" t="n">
        <v>0</v>
      </c>
    </row>
    <row r="444" customFormat="false" ht="14.25" hidden="false" customHeight="true" outlineLevel="0" collapsed="false">
      <c r="A444" s="167" t="s">
        <v>243</v>
      </c>
      <c r="B444" s="167" t="s">
        <v>249</v>
      </c>
      <c r="C444" s="167" t="n">
        <v>45</v>
      </c>
      <c r="D444" s="167" t="str">
        <f aca="false">A444&amp;" "&amp;B444&amp;" "&amp;C444</f>
        <v>1/2" Round Mini CIM 45</v>
      </c>
      <c r="E444" s="167" t="n">
        <v>1</v>
      </c>
      <c r="I444" s="167" t="n">
        <v>0</v>
      </c>
    </row>
    <row r="445" customFormat="false" ht="14.25" hidden="false" customHeight="true" outlineLevel="0" collapsed="false">
      <c r="A445" s="167" t="s">
        <v>243</v>
      </c>
      <c r="B445" s="167" t="s">
        <v>249</v>
      </c>
      <c r="C445" s="167" t="n">
        <v>49</v>
      </c>
      <c r="D445" s="167" t="str">
        <f aca="false">A445&amp;" "&amp;B445&amp;" "&amp;C445</f>
        <v>1/2" Round Mini CIM 49</v>
      </c>
      <c r="E445" s="167" t="n">
        <v>1</v>
      </c>
      <c r="I445" s="167" t="n">
        <v>0</v>
      </c>
    </row>
    <row r="446" customFormat="false" ht="14.25" hidden="false" customHeight="true" outlineLevel="0" collapsed="false">
      <c r="A446" s="167" t="s">
        <v>243</v>
      </c>
      <c r="B446" s="167" t="s">
        <v>249</v>
      </c>
      <c r="C446" s="167" t="n">
        <v>50</v>
      </c>
      <c r="D446" s="167" t="str">
        <f aca="false">A446&amp;" "&amp;B446&amp;" "&amp;C446</f>
        <v>1/2" Round Mini CIM 50</v>
      </c>
      <c r="E446" s="167" t="n">
        <v>1</v>
      </c>
      <c r="I446" s="167" t="n">
        <v>0</v>
      </c>
    </row>
    <row r="447" customFormat="false" ht="14.25" hidden="false" customHeight="true" outlineLevel="0" collapsed="false">
      <c r="A447" s="167" t="s">
        <v>243</v>
      </c>
      <c r="B447" s="167" t="s">
        <v>249</v>
      </c>
      <c r="C447" s="167" t="n">
        <v>63</v>
      </c>
      <c r="D447" s="167" t="str">
        <f aca="false">A447&amp;" "&amp;B447&amp;" "&amp;C447</f>
        <v>1/2" Round Mini CIM 63</v>
      </c>
      <c r="E447" s="167" t="n">
        <v>1</v>
      </c>
      <c r="I447" s="167" t="n">
        <v>0</v>
      </c>
    </row>
    <row r="448" customFormat="false" ht="14.25" hidden="false" customHeight="true" outlineLevel="0" collapsed="false">
      <c r="A448" s="167" t="s">
        <v>243</v>
      </c>
      <c r="B448" s="167" t="s">
        <v>249</v>
      </c>
      <c r="C448" s="167" t="n">
        <v>70</v>
      </c>
      <c r="D448" s="167" t="str">
        <f aca="false">A448&amp;" "&amp;B448&amp;" "&amp;C448</f>
        <v>1/2" Round Mini CIM 70</v>
      </c>
      <c r="E448" s="167" t="n">
        <v>0</v>
      </c>
      <c r="I448" s="167" t="n">
        <v>0</v>
      </c>
    </row>
    <row r="449" customFormat="false" ht="14.25" hidden="false" customHeight="true" outlineLevel="0" collapsed="false">
      <c r="A449" s="167" t="s">
        <v>243</v>
      </c>
      <c r="B449" s="167" t="s">
        <v>249</v>
      </c>
      <c r="C449" s="167" t="n">
        <v>81</v>
      </c>
      <c r="D449" s="167" t="str">
        <f aca="false">A449&amp;" "&amp;B449&amp;" "&amp;C449</f>
        <v>1/2" Round Mini CIM 81</v>
      </c>
      <c r="E449" s="167" t="n">
        <v>0</v>
      </c>
      <c r="I449" s="167" t="n">
        <v>0</v>
      </c>
    </row>
    <row r="450" customFormat="false" ht="14.25" hidden="false" customHeight="true" outlineLevel="0" collapsed="false">
      <c r="A450" s="167" t="s">
        <v>243</v>
      </c>
      <c r="B450" s="167" t="s">
        <v>249</v>
      </c>
      <c r="C450" s="167" t="n">
        <v>90</v>
      </c>
      <c r="D450" s="167" t="str">
        <f aca="false">A450&amp;" "&amp;B450&amp;" "&amp;C450</f>
        <v>1/2" Round Mini CIM 90</v>
      </c>
      <c r="E450" s="167" t="n">
        <v>0</v>
      </c>
      <c r="I450" s="167" t="n">
        <v>0</v>
      </c>
    </row>
    <row r="451" customFormat="false" ht="14.25" hidden="false" customHeight="true" outlineLevel="0" collapsed="false">
      <c r="A451" s="167" t="s">
        <v>243</v>
      </c>
      <c r="B451" s="167" t="s">
        <v>249</v>
      </c>
      <c r="C451" s="167" t="n">
        <v>100</v>
      </c>
      <c r="D451" s="167" t="str">
        <f aca="false">A451&amp;" "&amp;B451&amp;" "&amp;C451</f>
        <v>1/2" Round Mini CIM 100</v>
      </c>
      <c r="E451" s="167" t="n">
        <v>0</v>
      </c>
      <c r="I451" s="167" t="n">
        <v>0</v>
      </c>
    </row>
    <row r="452" customFormat="false" ht="14.25" hidden="false" customHeight="true" outlineLevel="0" collapsed="false">
      <c r="A452" s="167" t="s">
        <v>243</v>
      </c>
      <c r="B452" s="167" t="s">
        <v>89</v>
      </c>
      <c r="C452" s="167" t="n">
        <v>-3</v>
      </c>
      <c r="D452" s="167" t="str">
        <f aca="false">A452&amp;" "&amp;B452&amp;" "&amp;C452</f>
        <v>1/2" Round CIM -3</v>
      </c>
      <c r="E452" s="167" t="n">
        <v>1</v>
      </c>
      <c r="I452" s="167" t="n">
        <v>0</v>
      </c>
    </row>
    <row r="453" customFormat="false" ht="14.25" hidden="false" customHeight="true" outlineLevel="0" collapsed="false">
      <c r="A453" s="167" t="s">
        <v>243</v>
      </c>
      <c r="B453" s="167" t="s">
        <v>89</v>
      </c>
      <c r="C453" s="167" t="n">
        <v>-4</v>
      </c>
      <c r="D453" s="167" t="str">
        <f aca="false">A453&amp;" "&amp;B453&amp;" "&amp;C453</f>
        <v>1/2" Round CIM -4</v>
      </c>
      <c r="E453" s="167" t="n">
        <v>1</v>
      </c>
      <c r="I453" s="167" t="n">
        <v>0</v>
      </c>
    </row>
    <row r="454" customFormat="false" ht="14.25" hidden="false" customHeight="true" outlineLevel="0" collapsed="false">
      <c r="A454" s="167" t="s">
        <v>243</v>
      </c>
      <c r="B454" s="167" t="s">
        <v>89</v>
      </c>
      <c r="C454" s="167" t="n">
        <v>-5</v>
      </c>
      <c r="D454" s="167" t="str">
        <f aca="false">A454&amp;" "&amp;B454&amp;" "&amp;C454</f>
        <v>1/2" Round CIM -5</v>
      </c>
      <c r="E454" s="167" t="n">
        <v>1</v>
      </c>
      <c r="I454" s="167" t="n">
        <v>0</v>
      </c>
    </row>
    <row r="455" customFormat="false" ht="14.25" hidden="false" customHeight="true" outlineLevel="0" collapsed="false">
      <c r="A455" s="167" t="s">
        <v>243</v>
      </c>
      <c r="B455" s="167" t="s">
        <v>89</v>
      </c>
      <c r="C455" s="167" t="n">
        <v>-7</v>
      </c>
      <c r="D455" s="167" t="str">
        <f aca="false">A455&amp;" "&amp;B455&amp;" "&amp;C455</f>
        <v>1/2" Round CIM -7</v>
      </c>
      <c r="E455" s="167" t="n">
        <v>1</v>
      </c>
      <c r="I455" s="167" t="n">
        <v>0</v>
      </c>
    </row>
    <row r="456" customFormat="false" ht="14.25" hidden="false" customHeight="true" outlineLevel="0" collapsed="false">
      <c r="A456" s="167" t="s">
        <v>243</v>
      </c>
      <c r="B456" s="167" t="s">
        <v>89</v>
      </c>
      <c r="C456" s="167" t="n">
        <v>-9</v>
      </c>
      <c r="D456" s="167" t="str">
        <f aca="false">A456&amp;" "&amp;B456&amp;" "&amp;C456</f>
        <v>1/2" Round CIM -9</v>
      </c>
      <c r="E456" s="167" t="n">
        <v>1</v>
      </c>
      <c r="I456" s="167" t="n">
        <v>0</v>
      </c>
    </row>
    <row r="457" customFormat="false" ht="14.25" hidden="false" customHeight="true" outlineLevel="0" collapsed="false">
      <c r="A457" s="167" t="s">
        <v>243</v>
      </c>
      <c r="B457" s="167" t="s">
        <v>89</v>
      </c>
      <c r="C457" s="167" t="n">
        <v>-10</v>
      </c>
      <c r="D457" s="167" t="str">
        <f aca="false">A457&amp;" "&amp;B457&amp;" "&amp;C457</f>
        <v>1/2" Round CIM -10</v>
      </c>
      <c r="E457" s="167" t="n">
        <v>1</v>
      </c>
      <c r="I457" s="167" t="n">
        <v>0</v>
      </c>
    </row>
    <row r="458" customFormat="false" ht="14.25" hidden="false" customHeight="true" outlineLevel="0" collapsed="false">
      <c r="A458" s="167" t="s">
        <v>243</v>
      </c>
      <c r="B458" s="167" t="s">
        <v>89</v>
      </c>
      <c r="C458" s="167" t="n">
        <v>9</v>
      </c>
      <c r="D458" s="167" t="str">
        <f aca="false">A458&amp;" "&amp;B458&amp;" "&amp;C458</f>
        <v>1/2" Round CIM 9</v>
      </c>
      <c r="E458" s="167" t="n">
        <v>5</v>
      </c>
      <c r="I458" s="167" t="n">
        <v>0</v>
      </c>
    </row>
    <row r="459" customFormat="false" ht="14.25" hidden="false" customHeight="true" outlineLevel="0" collapsed="false">
      <c r="A459" s="167" t="s">
        <v>243</v>
      </c>
      <c r="B459" s="167" t="s">
        <v>89</v>
      </c>
      <c r="C459" s="167" t="n">
        <v>12</v>
      </c>
      <c r="D459" s="167" t="str">
        <f aca="false">A459&amp;" "&amp;B459&amp;" "&amp;C459</f>
        <v>1/2" Round CIM 12</v>
      </c>
      <c r="E459" s="167" t="n">
        <v>4</v>
      </c>
      <c r="I459" s="167" t="n">
        <v>0</v>
      </c>
    </row>
    <row r="460" customFormat="false" ht="14.25" hidden="false" customHeight="true" outlineLevel="0" collapsed="false">
      <c r="A460" s="167" t="s">
        <v>243</v>
      </c>
      <c r="B460" s="167" t="s">
        <v>89</v>
      </c>
      <c r="C460" s="167" t="n">
        <v>15</v>
      </c>
      <c r="D460" s="167" t="str">
        <f aca="false">A460&amp;" "&amp;B460&amp;" "&amp;C460</f>
        <v>1/2" Round CIM 15</v>
      </c>
      <c r="E460" s="167" t="n">
        <v>3</v>
      </c>
      <c r="I460" s="167" t="n">
        <v>0</v>
      </c>
    </row>
    <row r="461" customFormat="false" ht="14.25" hidden="false" customHeight="true" outlineLevel="0" collapsed="false">
      <c r="A461" s="167" t="s">
        <v>243</v>
      </c>
      <c r="B461" s="167" t="s">
        <v>89</v>
      </c>
      <c r="C461" s="167" t="n">
        <v>16</v>
      </c>
      <c r="D461" s="167" t="str">
        <f aca="false">A461&amp;" "&amp;B461&amp;" "&amp;C461</f>
        <v>1/2" Round CIM 16</v>
      </c>
      <c r="E461" s="167" t="n">
        <v>3</v>
      </c>
      <c r="I461" s="167" t="n">
        <v>0</v>
      </c>
    </row>
    <row r="462" customFormat="false" ht="14.25" hidden="false" customHeight="true" outlineLevel="0" collapsed="false">
      <c r="A462" s="167" t="s">
        <v>243</v>
      </c>
      <c r="B462" s="167" t="s">
        <v>89</v>
      </c>
      <c r="C462" s="167" t="n">
        <v>20</v>
      </c>
      <c r="D462" s="167" t="str">
        <f aca="false">A462&amp;" "&amp;B462&amp;" "&amp;C462</f>
        <v>1/2" Round CIM 20</v>
      </c>
      <c r="E462" s="167" t="n">
        <v>1</v>
      </c>
      <c r="I462" s="167" t="n">
        <v>0</v>
      </c>
    </row>
    <row r="463" customFormat="false" ht="14.25" hidden="false" customHeight="true" outlineLevel="0" collapsed="false">
      <c r="A463" s="167" t="s">
        <v>243</v>
      </c>
      <c r="B463" s="167" t="s">
        <v>89</v>
      </c>
      <c r="C463" s="167" t="n">
        <v>21</v>
      </c>
      <c r="D463" s="167" t="str">
        <f aca="false">A463&amp;" "&amp;B463&amp;" "&amp;C463</f>
        <v>1/2" Round CIM 21</v>
      </c>
      <c r="E463" s="167" t="n">
        <v>1</v>
      </c>
      <c r="I463" s="167" t="n">
        <v>0</v>
      </c>
    </row>
    <row r="464" customFormat="false" ht="14.25" hidden="false" customHeight="true" outlineLevel="0" collapsed="false">
      <c r="A464" s="167" t="s">
        <v>243</v>
      </c>
      <c r="B464" s="167" t="s">
        <v>89</v>
      </c>
      <c r="C464" s="167" t="n">
        <v>25</v>
      </c>
      <c r="D464" s="167" t="str">
        <f aca="false">A464&amp;" "&amp;B464&amp;" "&amp;C464</f>
        <v>1/2" Round CIM 25</v>
      </c>
      <c r="E464" s="167" t="n">
        <v>1</v>
      </c>
      <c r="I464" s="167" t="n">
        <v>0</v>
      </c>
    </row>
    <row r="465" customFormat="false" ht="14.25" hidden="false" customHeight="true" outlineLevel="0" collapsed="false">
      <c r="A465" s="167" t="s">
        <v>243</v>
      </c>
      <c r="B465" s="167" t="s">
        <v>89</v>
      </c>
      <c r="C465" s="167" t="n">
        <v>27</v>
      </c>
      <c r="D465" s="167" t="str">
        <f aca="false">A465&amp;" "&amp;B465&amp;" "&amp;C465</f>
        <v>1/2" Round CIM 27</v>
      </c>
      <c r="E465" s="167" t="n">
        <v>1</v>
      </c>
      <c r="I465" s="167" t="n">
        <v>0</v>
      </c>
    </row>
    <row r="466" customFormat="false" ht="14.25" hidden="false" customHeight="true" outlineLevel="0" collapsed="false">
      <c r="A466" s="167" t="s">
        <v>243</v>
      </c>
      <c r="B466" s="167" t="s">
        <v>89</v>
      </c>
      <c r="C466" s="167" t="n">
        <v>28</v>
      </c>
      <c r="D466" s="167" t="str">
        <f aca="false">A466&amp;" "&amp;B466&amp;" "&amp;C466</f>
        <v>1/2" Round CIM 28</v>
      </c>
      <c r="E466" s="167" t="n">
        <v>1</v>
      </c>
      <c r="I466" s="167" t="n">
        <v>0</v>
      </c>
    </row>
    <row r="467" customFormat="false" ht="14.25" hidden="false" customHeight="true" outlineLevel="0" collapsed="false">
      <c r="A467" s="167" t="s">
        <v>243</v>
      </c>
      <c r="B467" s="167" t="s">
        <v>89</v>
      </c>
      <c r="C467" s="167" t="n">
        <v>30</v>
      </c>
      <c r="D467" s="167" t="str">
        <f aca="false">A467&amp;" "&amp;B467&amp;" "&amp;C467</f>
        <v>1/2" Round CIM 30</v>
      </c>
      <c r="E467" s="167" t="n">
        <v>1</v>
      </c>
      <c r="I467" s="167" t="n">
        <v>0</v>
      </c>
    </row>
    <row r="468" customFormat="false" ht="14.25" hidden="false" customHeight="true" outlineLevel="0" collapsed="false">
      <c r="A468" s="167" t="s">
        <v>243</v>
      </c>
      <c r="B468" s="167" t="s">
        <v>89</v>
      </c>
      <c r="C468" s="167" t="n">
        <v>35</v>
      </c>
      <c r="D468" s="167" t="str">
        <f aca="false">A468&amp;" "&amp;B468&amp;" "&amp;C468</f>
        <v>1/2" Round CIM 35</v>
      </c>
      <c r="E468" s="167" t="n">
        <v>1</v>
      </c>
      <c r="I468" s="167" t="n">
        <v>0</v>
      </c>
    </row>
    <row r="469" customFormat="false" ht="14.25" hidden="false" customHeight="true" outlineLevel="0" collapsed="false">
      <c r="A469" s="167" t="s">
        <v>243</v>
      </c>
      <c r="B469" s="167" t="s">
        <v>89</v>
      </c>
      <c r="C469" s="167" t="n">
        <v>36</v>
      </c>
      <c r="D469" s="167" t="str">
        <f aca="false">A469&amp;" "&amp;B469&amp;" "&amp;C469</f>
        <v>1/2" Round CIM 36</v>
      </c>
      <c r="E469" s="167" t="n">
        <v>1</v>
      </c>
      <c r="I469" s="167" t="n">
        <v>0</v>
      </c>
    </row>
    <row r="470" customFormat="false" ht="14.25" hidden="false" customHeight="true" outlineLevel="0" collapsed="false">
      <c r="A470" s="167" t="s">
        <v>243</v>
      </c>
      <c r="B470" s="167" t="s">
        <v>89</v>
      </c>
      <c r="C470" s="167" t="n">
        <v>40</v>
      </c>
      <c r="D470" s="167" t="str">
        <f aca="false">A470&amp;" "&amp;B470&amp;" "&amp;C470</f>
        <v>1/2" Round CIM 40</v>
      </c>
      <c r="E470" s="167" t="n">
        <v>1</v>
      </c>
      <c r="I470" s="167" t="n">
        <v>0</v>
      </c>
    </row>
    <row r="471" customFormat="false" ht="14.25" hidden="false" customHeight="true" outlineLevel="0" collapsed="false">
      <c r="A471" s="167" t="s">
        <v>243</v>
      </c>
      <c r="B471" s="167" t="s">
        <v>89</v>
      </c>
      <c r="C471" s="167" t="n">
        <v>45</v>
      </c>
      <c r="D471" s="167" t="str">
        <f aca="false">A471&amp;" "&amp;B471&amp;" "&amp;C471</f>
        <v>1/2" Round CIM 45</v>
      </c>
      <c r="E471" s="167" t="n">
        <v>1</v>
      </c>
      <c r="I471" s="167" t="n">
        <v>0</v>
      </c>
    </row>
    <row r="472" customFormat="false" ht="14.25" hidden="false" customHeight="true" outlineLevel="0" collapsed="false">
      <c r="A472" s="167" t="s">
        <v>243</v>
      </c>
      <c r="B472" s="167" t="s">
        <v>89</v>
      </c>
      <c r="C472" s="167" t="n">
        <v>49</v>
      </c>
      <c r="D472" s="167" t="str">
        <f aca="false">A472&amp;" "&amp;B472&amp;" "&amp;C472</f>
        <v>1/2" Round CIM 49</v>
      </c>
      <c r="E472" s="167" t="n">
        <v>0</v>
      </c>
      <c r="I472" s="167" t="n">
        <v>0</v>
      </c>
    </row>
    <row r="473" customFormat="false" ht="14.25" hidden="false" customHeight="true" outlineLevel="0" collapsed="false">
      <c r="A473" s="167" t="s">
        <v>243</v>
      </c>
      <c r="B473" s="167" t="s">
        <v>89</v>
      </c>
      <c r="C473" s="167" t="n">
        <v>50</v>
      </c>
      <c r="D473" s="167" t="str">
        <f aca="false">A473&amp;" "&amp;B473&amp;" "&amp;C473</f>
        <v>1/2" Round CIM 50</v>
      </c>
      <c r="E473" s="167" t="n">
        <v>1</v>
      </c>
      <c r="I473" s="167" t="n">
        <v>0</v>
      </c>
    </row>
    <row r="474" customFormat="false" ht="14.25" hidden="false" customHeight="true" outlineLevel="0" collapsed="false">
      <c r="A474" s="167" t="s">
        <v>243</v>
      </c>
      <c r="B474" s="167" t="s">
        <v>89</v>
      </c>
      <c r="C474" s="167" t="n">
        <v>63</v>
      </c>
      <c r="D474" s="167" t="str">
        <f aca="false">A474&amp;" "&amp;B474&amp;" "&amp;C474</f>
        <v>1/2" Round CIM 63</v>
      </c>
      <c r="E474" s="167" t="n">
        <v>0</v>
      </c>
      <c r="I474" s="167" t="n">
        <v>0</v>
      </c>
    </row>
    <row r="475" customFormat="false" ht="14.25" hidden="false" customHeight="true" outlineLevel="0" collapsed="false">
      <c r="A475" s="167" t="s">
        <v>243</v>
      </c>
      <c r="B475" s="167" t="s">
        <v>89</v>
      </c>
      <c r="C475" s="167" t="n">
        <v>70</v>
      </c>
      <c r="D475" s="167" t="str">
        <f aca="false">A475&amp;" "&amp;B475&amp;" "&amp;C475</f>
        <v>1/2" Round CIM 70</v>
      </c>
      <c r="E475" s="167" t="n">
        <v>0</v>
      </c>
      <c r="I475" s="167" t="n">
        <v>0</v>
      </c>
    </row>
    <row r="476" customFormat="false" ht="14.25" hidden="false" customHeight="true" outlineLevel="0" collapsed="false">
      <c r="A476" s="167" t="s">
        <v>243</v>
      </c>
      <c r="B476" s="167" t="s">
        <v>89</v>
      </c>
      <c r="C476" s="167" t="n">
        <v>81</v>
      </c>
      <c r="D476" s="167" t="str">
        <f aca="false">A476&amp;" "&amp;B476&amp;" "&amp;C476</f>
        <v>1/2" Round CIM 81</v>
      </c>
      <c r="E476" s="167" t="n">
        <v>0</v>
      </c>
      <c r="I476" s="167" t="n">
        <v>0</v>
      </c>
    </row>
    <row r="477" customFormat="false" ht="14.25" hidden="false" customHeight="true" outlineLevel="0" collapsed="false">
      <c r="A477" s="167" t="s">
        <v>243</v>
      </c>
      <c r="B477" s="167" t="s">
        <v>89</v>
      </c>
      <c r="C477" s="167" t="n">
        <v>90</v>
      </c>
      <c r="D477" s="167" t="str">
        <f aca="false">A477&amp;" "&amp;B477&amp;" "&amp;C477</f>
        <v>1/2" Round CIM 90</v>
      </c>
      <c r="E477" s="167" t="n">
        <v>0</v>
      </c>
      <c r="I477" s="167" t="n">
        <v>0</v>
      </c>
    </row>
    <row r="478" customFormat="false" ht="14.25" hidden="false" customHeight="true" outlineLevel="0" collapsed="false">
      <c r="A478" s="167" t="s">
        <v>243</v>
      </c>
      <c r="B478" s="167" t="s">
        <v>89</v>
      </c>
      <c r="C478" s="167" t="n">
        <v>100</v>
      </c>
      <c r="D478" s="167" t="str">
        <f aca="false">A478&amp;" "&amp;B478&amp;" "&amp;C478</f>
        <v>1/2" Round CIM 100</v>
      </c>
      <c r="E478" s="167" t="n">
        <v>0</v>
      </c>
      <c r="I478" s="167" t="n">
        <v>0</v>
      </c>
    </row>
    <row r="479" customFormat="false" ht="14.25" hidden="false" customHeight="true" outlineLevel="0" collapsed="false">
      <c r="A479" s="167" t="s">
        <v>243</v>
      </c>
      <c r="B479" s="167" t="s">
        <v>256</v>
      </c>
      <c r="C479" s="167" t="n">
        <v>-3</v>
      </c>
      <c r="D479" s="167" t="str">
        <f aca="false">A479&amp;" "&amp;B479&amp;" "&amp;C479</f>
        <v>1/2" Round NEO -3</v>
      </c>
      <c r="E479" s="167" t="n">
        <v>1</v>
      </c>
      <c r="I479" s="167" t="n">
        <v>0</v>
      </c>
    </row>
    <row r="480" customFormat="false" ht="14.25" hidden="false" customHeight="true" outlineLevel="0" collapsed="false">
      <c r="A480" s="167" t="s">
        <v>243</v>
      </c>
      <c r="B480" s="167" t="s">
        <v>256</v>
      </c>
      <c r="C480" s="167" t="n">
        <v>-4</v>
      </c>
      <c r="D480" s="167" t="str">
        <f aca="false">A480&amp;" "&amp;B480&amp;" "&amp;C480</f>
        <v>1/2" Round NEO -4</v>
      </c>
      <c r="E480" s="167" t="n">
        <v>1</v>
      </c>
      <c r="I480" s="167" t="n">
        <v>0</v>
      </c>
    </row>
    <row r="481" customFormat="false" ht="14.25" hidden="false" customHeight="true" outlineLevel="0" collapsed="false">
      <c r="A481" s="167" t="s">
        <v>243</v>
      </c>
      <c r="B481" s="167" t="s">
        <v>256</v>
      </c>
      <c r="C481" s="167" t="n">
        <v>-5</v>
      </c>
      <c r="D481" s="167" t="str">
        <f aca="false">A481&amp;" "&amp;B481&amp;" "&amp;C481</f>
        <v>1/2" Round NEO -5</v>
      </c>
      <c r="E481" s="167" t="n">
        <v>1</v>
      </c>
      <c r="I481" s="167" t="n">
        <v>0</v>
      </c>
    </row>
    <row r="482" customFormat="false" ht="14.25" hidden="false" customHeight="true" outlineLevel="0" collapsed="false">
      <c r="A482" s="167" t="s">
        <v>243</v>
      </c>
      <c r="B482" s="167" t="s">
        <v>256</v>
      </c>
      <c r="C482" s="167" t="n">
        <v>-7</v>
      </c>
      <c r="D482" s="167" t="str">
        <f aca="false">A482&amp;" "&amp;B482&amp;" "&amp;C482</f>
        <v>1/2" Round NEO -7</v>
      </c>
      <c r="E482" s="167" t="n">
        <v>1</v>
      </c>
      <c r="I482" s="167" t="n">
        <v>0</v>
      </c>
    </row>
    <row r="483" customFormat="false" ht="14.25" hidden="false" customHeight="true" outlineLevel="0" collapsed="false">
      <c r="A483" s="167" t="s">
        <v>243</v>
      </c>
      <c r="B483" s="167" t="s">
        <v>256</v>
      </c>
      <c r="C483" s="167" t="n">
        <v>-9</v>
      </c>
      <c r="D483" s="167" t="str">
        <f aca="false">A483&amp;" "&amp;B483&amp;" "&amp;C483</f>
        <v>1/2" Round NEO -9</v>
      </c>
      <c r="E483" s="167" t="n">
        <v>1</v>
      </c>
      <c r="I483" s="167" t="n">
        <v>0</v>
      </c>
    </row>
    <row r="484" customFormat="false" ht="14.25" hidden="false" customHeight="true" outlineLevel="0" collapsed="false">
      <c r="A484" s="167" t="s">
        <v>243</v>
      </c>
      <c r="B484" s="167" t="s">
        <v>256</v>
      </c>
      <c r="C484" s="167" t="n">
        <v>-10</v>
      </c>
      <c r="D484" s="167" t="str">
        <f aca="false">A484&amp;" "&amp;B484&amp;" "&amp;C484</f>
        <v>1/2" Round NEO -10</v>
      </c>
      <c r="E484" s="167" t="n">
        <v>1</v>
      </c>
      <c r="I484" s="167" t="n">
        <v>0</v>
      </c>
    </row>
    <row r="485" customFormat="false" ht="14.25" hidden="false" customHeight="true" outlineLevel="0" collapsed="false">
      <c r="A485" s="167" t="s">
        <v>243</v>
      </c>
      <c r="B485" s="167" t="s">
        <v>256</v>
      </c>
      <c r="C485" s="167" t="n">
        <v>9</v>
      </c>
      <c r="D485" s="167" t="str">
        <f aca="false">A485&amp;" "&amp;B485&amp;" "&amp;C485</f>
        <v>1/2" Round NEO 9</v>
      </c>
      <c r="E485" s="167" t="n">
        <v>4</v>
      </c>
      <c r="I485" s="167" t="n">
        <v>0</v>
      </c>
    </row>
    <row r="486" customFormat="false" ht="14.25" hidden="false" customHeight="true" outlineLevel="0" collapsed="false">
      <c r="A486" s="167" t="s">
        <v>243</v>
      </c>
      <c r="B486" s="167" t="s">
        <v>256</v>
      </c>
      <c r="C486" s="167" t="n">
        <v>12</v>
      </c>
      <c r="D486" s="167" t="str">
        <f aca="false">A486&amp;" "&amp;B486&amp;" "&amp;C486</f>
        <v>1/2" Round NEO 12</v>
      </c>
      <c r="E486" s="167" t="n">
        <v>3</v>
      </c>
      <c r="I486" s="167" t="n">
        <v>0</v>
      </c>
    </row>
    <row r="487" customFormat="false" ht="14.25" hidden="false" customHeight="true" outlineLevel="0" collapsed="false">
      <c r="A487" s="167" t="s">
        <v>243</v>
      </c>
      <c r="B487" s="167" t="s">
        <v>256</v>
      </c>
      <c r="C487" s="167" t="n">
        <v>15</v>
      </c>
      <c r="D487" s="167" t="str">
        <f aca="false">A487&amp;" "&amp;B487&amp;" "&amp;C487</f>
        <v>1/2" Round NEO 15</v>
      </c>
      <c r="E487" s="167" t="n">
        <v>1</v>
      </c>
      <c r="I487" s="167" t="n">
        <v>0</v>
      </c>
    </row>
    <row r="488" customFormat="false" ht="14.25" hidden="false" customHeight="true" outlineLevel="0" collapsed="false">
      <c r="A488" s="167" t="s">
        <v>243</v>
      </c>
      <c r="B488" s="167" t="s">
        <v>256</v>
      </c>
      <c r="C488" s="167" t="n">
        <v>16</v>
      </c>
      <c r="D488" s="167" t="str">
        <f aca="false">A488&amp;" "&amp;B488&amp;" "&amp;C488</f>
        <v>1/2" Round NEO 16</v>
      </c>
      <c r="E488" s="167" t="n">
        <v>1</v>
      </c>
      <c r="I488" s="167" t="n">
        <v>0</v>
      </c>
    </row>
    <row r="489" customFormat="false" ht="14.25" hidden="false" customHeight="true" outlineLevel="0" collapsed="false">
      <c r="A489" s="167" t="s">
        <v>243</v>
      </c>
      <c r="B489" s="167" t="s">
        <v>256</v>
      </c>
      <c r="C489" s="167" t="n">
        <v>20</v>
      </c>
      <c r="D489" s="167" t="str">
        <f aca="false">A489&amp;" "&amp;B489&amp;" "&amp;C489</f>
        <v>1/2" Round NEO 20</v>
      </c>
      <c r="E489" s="167" t="n">
        <v>1</v>
      </c>
      <c r="I489" s="167" t="n">
        <v>0</v>
      </c>
    </row>
    <row r="490" customFormat="false" ht="14.25" hidden="false" customHeight="true" outlineLevel="0" collapsed="false">
      <c r="A490" s="167" t="s">
        <v>243</v>
      </c>
      <c r="B490" s="167" t="s">
        <v>256</v>
      </c>
      <c r="C490" s="167" t="n">
        <v>21</v>
      </c>
      <c r="D490" s="167" t="str">
        <f aca="false">A490&amp;" "&amp;B490&amp;" "&amp;C490</f>
        <v>1/2" Round NEO 21</v>
      </c>
      <c r="E490" s="167" t="n">
        <v>1</v>
      </c>
      <c r="I490" s="167" t="n">
        <v>0</v>
      </c>
    </row>
    <row r="491" customFormat="false" ht="14.25" hidden="false" customHeight="true" outlineLevel="0" collapsed="false">
      <c r="A491" s="167" t="s">
        <v>243</v>
      </c>
      <c r="B491" s="167" t="s">
        <v>256</v>
      </c>
      <c r="C491" s="167" t="n">
        <v>25</v>
      </c>
      <c r="D491" s="167" t="str">
        <f aca="false">A491&amp;" "&amp;B491&amp;" "&amp;C491</f>
        <v>1/2" Round NEO 25</v>
      </c>
      <c r="E491" s="167" t="n">
        <v>1</v>
      </c>
      <c r="I491" s="167" t="n">
        <v>0</v>
      </c>
    </row>
    <row r="492" customFormat="false" ht="14.25" hidden="false" customHeight="true" outlineLevel="0" collapsed="false">
      <c r="A492" s="167" t="s">
        <v>243</v>
      </c>
      <c r="B492" s="167" t="s">
        <v>256</v>
      </c>
      <c r="C492" s="167" t="n">
        <v>27</v>
      </c>
      <c r="D492" s="167" t="str">
        <f aca="false">A492&amp;" "&amp;B492&amp;" "&amp;C492</f>
        <v>1/2" Round NEO 27</v>
      </c>
      <c r="E492" s="167" t="n">
        <v>1</v>
      </c>
      <c r="I492" s="167" t="n">
        <v>0</v>
      </c>
    </row>
    <row r="493" customFormat="false" ht="14.25" hidden="false" customHeight="true" outlineLevel="0" collapsed="false">
      <c r="A493" s="167" t="s">
        <v>243</v>
      </c>
      <c r="B493" s="167" t="s">
        <v>256</v>
      </c>
      <c r="C493" s="167" t="n">
        <v>28</v>
      </c>
      <c r="D493" s="167" t="str">
        <f aca="false">A493&amp;" "&amp;B493&amp;" "&amp;C493</f>
        <v>1/2" Round NEO 28</v>
      </c>
      <c r="E493" s="167" t="n">
        <v>1</v>
      </c>
      <c r="I493" s="167" t="n">
        <v>0</v>
      </c>
    </row>
    <row r="494" customFormat="false" ht="14.25" hidden="false" customHeight="true" outlineLevel="0" collapsed="false">
      <c r="A494" s="167" t="s">
        <v>243</v>
      </c>
      <c r="B494" s="167" t="s">
        <v>256</v>
      </c>
      <c r="C494" s="167" t="n">
        <v>30</v>
      </c>
      <c r="D494" s="167" t="str">
        <f aca="false">A494&amp;" "&amp;B494&amp;" "&amp;C494</f>
        <v>1/2" Round NEO 30</v>
      </c>
      <c r="E494" s="167" t="n">
        <v>1</v>
      </c>
      <c r="I494" s="167" t="n">
        <v>0</v>
      </c>
    </row>
    <row r="495" customFormat="false" ht="14.25" hidden="false" customHeight="true" outlineLevel="0" collapsed="false">
      <c r="A495" s="167" t="s">
        <v>243</v>
      </c>
      <c r="B495" s="167" t="s">
        <v>256</v>
      </c>
      <c r="C495" s="167" t="n">
        <v>35</v>
      </c>
      <c r="D495" s="167" t="str">
        <f aca="false">A495&amp;" "&amp;B495&amp;" "&amp;C495</f>
        <v>1/2" Round NEO 35</v>
      </c>
      <c r="E495" s="167" t="n">
        <v>1</v>
      </c>
      <c r="I495" s="167" t="n">
        <v>0</v>
      </c>
    </row>
    <row r="496" customFormat="false" ht="14.25" hidden="false" customHeight="true" outlineLevel="0" collapsed="false">
      <c r="A496" s="167" t="s">
        <v>243</v>
      </c>
      <c r="B496" s="167" t="s">
        <v>256</v>
      </c>
      <c r="C496" s="167" t="n">
        <v>36</v>
      </c>
      <c r="D496" s="167" t="str">
        <f aca="false">A496&amp;" "&amp;B496&amp;" "&amp;C496</f>
        <v>1/2" Round NEO 36</v>
      </c>
      <c r="E496" s="167" t="n">
        <v>1</v>
      </c>
      <c r="I496" s="167" t="n">
        <v>0</v>
      </c>
    </row>
    <row r="497" customFormat="false" ht="14.25" hidden="false" customHeight="true" outlineLevel="0" collapsed="false">
      <c r="A497" s="167" t="s">
        <v>243</v>
      </c>
      <c r="B497" s="167" t="s">
        <v>256</v>
      </c>
      <c r="C497" s="167" t="n">
        <v>40</v>
      </c>
      <c r="D497" s="167" t="str">
        <f aca="false">A497&amp;" "&amp;B497&amp;" "&amp;C497</f>
        <v>1/2" Round NEO 40</v>
      </c>
      <c r="E497" s="167" t="n">
        <v>0</v>
      </c>
      <c r="I497" s="167" t="n">
        <v>0</v>
      </c>
    </row>
    <row r="498" customFormat="false" ht="14.25" hidden="false" customHeight="true" outlineLevel="0" collapsed="false">
      <c r="A498" s="167" t="s">
        <v>243</v>
      </c>
      <c r="B498" s="167" t="s">
        <v>256</v>
      </c>
      <c r="C498" s="167" t="n">
        <v>45</v>
      </c>
      <c r="D498" s="167" t="str">
        <f aca="false">A498&amp;" "&amp;B498&amp;" "&amp;C498</f>
        <v>1/2" Round NEO 45</v>
      </c>
      <c r="E498" s="167" t="n">
        <v>0</v>
      </c>
      <c r="I498" s="167" t="n">
        <v>0</v>
      </c>
    </row>
    <row r="499" customFormat="false" ht="14.25" hidden="false" customHeight="true" outlineLevel="0" collapsed="false">
      <c r="A499" s="167" t="s">
        <v>243</v>
      </c>
      <c r="B499" s="167" t="s">
        <v>256</v>
      </c>
      <c r="C499" s="167" t="n">
        <v>49</v>
      </c>
      <c r="D499" s="167" t="str">
        <f aca="false">A499&amp;" "&amp;B499&amp;" "&amp;C499</f>
        <v>1/2" Round NEO 49</v>
      </c>
      <c r="E499" s="167" t="n">
        <v>0</v>
      </c>
      <c r="I499" s="167" t="n">
        <v>0</v>
      </c>
    </row>
    <row r="500" customFormat="false" ht="14.25" hidden="false" customHeight="true" outlineLevel="0" collapsed="false">
      <c r="A500" s="167" t="s">
        <v>243</v>
      </c>
      <c r="B500" s="167" t="s">
        <v>256</v>
      </c>
      <c r="C500" s="167" t="n">
        <v>50</v>
      </c>
      <c r="D500" s="167" t="str">
        <f aca="false">A500&amp;" "&amp;B500&amp;" "&amp;C500</f>
        <v>1/2" Round NEO 50</v>
      </c>
      <c r="E500" s="167" t="n">
        <v>0</v>
      </c>
      <c r="I500" s="167" t="n">
        <v>0</v>
      </c>
    </row>
    <row r="501" customFormat="false" ht="14.25" hidden="false" customHeight="true" outlineLevel="0" collapsed="false">
      <c r="A501" s="167" t="s">
        <v>243</v>
      </c>
      <c r="B501" s="167" t="s">
        <v>256</v>
      </c>
      <c r="C501" s="167" t="n">
        <v>63</v>
      </c>
      <c r="D501" s="167" t="str">
        <f aca="false">A501&amp;" "&amp;B501&amp;" "&amp;C501</f>
        <v>1/2" Round NEO 63</v>
      </c>
      <c r="E501" s="167" t="n">
        <v>0</v>
      </c>
      <c r="I501" s="167" t="n">
        <v>0</v>
      </c>
    </row>
    <row r="502" customFormat="false" ht="14.25" hidden="false" customHeight="true" outlineLevel="0" collapsed="false">
      <c r="A502" s="167" t="s">
        <v>243</v>
      </c>
      <c r="B502" s="167" t="s">
        <v>256</v>
      </c>
      <c r="C502" s="167" t="n">
        <v>70</v>
      </c>
      <c r="D502" s="167" t="str">
        <f aca="false">A502&amp;" "&amp;B502&amp;" "&amp;C502</f>
        <v>1/2" Round NEO 70</v>
      </c>
      <c r="E502" s="167" t="n">
        <v>0</v>
      </c>
      <c r="I502" s="167" t="n">
        <v>0</v>
      </c>
    </row>
    <row r="503" customFormat="false" ht="14.25" hidden="false" customHeight="true" outlineLevel="0" collapsed="false">
      <c r="A503" s="167" t="s">
        <v>243</v>
      </c>
      <c r="B503" s="167" t="s">
        <v>256</v>
      </c>
      <c r="C503" s="167" t="n">
        <v>81</v>
      </c>
      <c r="D503" s="167" t="str">
        <f aca="false">A503&amp;" "&amp;B503&amp;" "&amp;C503</f>
        <v>1/2" Round NEO 81</v>
      </c>
      <c r="E503" s="167" t="n">
        <v>0</v>
      </c>
      <c r="I503" s="167" t="n">
        <v>0</v>
      </c>
    </row>
    <row r="504" customFormat="false" ht="14.25" hidden="false" customHeight="true" outlineLevel="0" collapsed="false">
      <c r="A504" s="167" t="s">
        <v>243</v>
      </c>
      <c r="B504" s="167" t="s">
        <v>256</v>
      </c>
      <c r="C504" s="167" t="n">
        <v>90</v>
      </c>
      <c r="D504" s="167" t="str">
        <f aca="false">A504&amp;" "&amp;B504&amp;" "&amp;C504</f>
        <v>1/2" Round NEO 90</v>
      </c>
      <c r="E504" s="167" t="n">
        <v>0</v>
      </c>
      <c r="I504" s="167" t="n">
        <v>0</v>
      </c>
    </row>
    <row r="505" customFormat="false" ht="14.25" hidden="false" customHeight="true" outlineLevel="0" collapsed="false">
      <c r="A505" s="167" t="s">
        <v>243</v>
      </c>
      <c r="B505" s="167" t="s">
        <v>256</v>
      </c>
      <c r="C505" s="167" t="n">
        <v>100</v>
      </c>
      <c r="D505" s="167" t="str">
        <f aca="false">A505&amp;" "&amp;B505&amp;" "&amp;C505</f>
        <v>1/2" Round NEO 100</v>
      </c>
      <c r="E505" s="167" t="n">
        <v>0</v>
      </c>
      <c r="I505" s="167" t="n">
        <v>0</v>
      </c>
    </row>
    <row r="506" customFormat="false" ht="14.25" hidden="false" customHeight="true" outlineLevel="0" collapsed="false">
      <c r="A506" s="167" t="s">
        <v>243</v>
      </c>
      <c r="B506" s="167" t="s">
        <v>257</v>
      </c>
      <c r="C506" s="167" t="n">
        <v>-3</v>
      </c>
      <c r="D506" s="167" t="str">
        <f aca="false">A506&amp;" "&amp;B506&amp;" "&amp;C506</f>
        <v>1/2" Round Falcon 500 -3</v>
      </c>
      <c r="E506" s="167" t="n">
        <v>1</v>
      </c>
      <c r="I506" s="167" t="n">
        <v>0</v>
      </c>
    </row>
    <row r="507" customFormat="false" ht="14.25" hidden="false" customHeight="true" outlineLevel="0" collapsed="false">
      <c r="A507" s="167" t="s">
        <v>243</v>
      </c>
      <c r="B507" s="167" t="s">
        <v>257</v>
      </c>
      <c r="C507" s="167" t="n">
        <v>-4</v>
      </c>
      <c r="D507" s="167" t="str">
        <f aca="false">A507&amp;" "&amp;B507&amp;" "&amp;C507</f>
        <v>1/2" Round Falcon 500 -4</v>
      </c>
      <c r="E507" s="167" t="n">
        <v>1</v>
      </c>
      <c r="I507" s="167" t="n">
        <v>0</v>
      </c>
    </row>
    <row r="508" customFormat="false" ht="14.25" hidden="false" customHeight="true" outlineLevel="0" collapsed="false">
      <c r="A508" s="167" t="s">
        <v>243</v>
      </c>
      <c r="B508" s="167" t="s">
        <v>257</v>
      </c>
      <c r="C508" s="167" t="n">
        <v>-5</v>
      </c>
      <c r="D508" s="167" t="str">
        <f aca="false">A508&amp;" "&amp;B508&amp;" "&amp;C508</f>
        <v>1/2" Round Falcon 500 -5</v>
      </c>
      <c r="E508" s="167" t="n">
        <v>1</v>
      </c>
      <c r="I508" s="167" t="n">
        <v>0</v>
      </c>
    </row>
    <row r="509" customFormat="false" ht="14.25" hidden="false" customHeight="true" outlineLevel="0" collapsed="false">
      <c r="A509" s="167" t="s">
        <v>243</v>
      </c>
      <c r="B509" s="167" t="s">
        <v>257</v>
      </c>
      <c r="C509" s="167" t="n">
        <v>-7</v>
      </c>
      <c r="D509" s="167" t="str">
        <f aca="false">A509&amp;" "&amp;B509&amp;" "&amp;C509</f>
        <v>1/2" Round Falcon 500 -7</v>
      </c>
      <c r="E509" s="167" t="n">
        <v>1</v>
      </c>
      <c r="I509" s="167" t="n">
        <v>0</v>
      </c>
    </row>
    <row r="510" customFormat="false" ht="14.25" hidden="false" customHeight="true" outlineLevel="0" collapsed="false">
      <c r="A510" s="167" t="s">
        <v>243</v>
      </c>
      <c r="B510" s="167" t="s">
        <v>257</v>
      </c>
      <c r="C510" s="167" t="n">
        <v>-9</v>
      </c>
      <c r="D510" s="167" t="str">
        <f aca="false">A510&amp;" "&amp;B510&amp;" "&amp;C510</f>
        <v>1/2" Round Falcon 500 -9</v>
      </c>
      <c r="E510" s="167" t="n">
        <v>1</v>
      </c>
      <c r="I510" s="167" t="n">
        <v>0</v>
      </c>
    </row>
    <row r="511" customFormat="false" ht="14.25" hidden="false" customHeight="true" outlineLevel="0" collapsed="false">
      <c r="A511" s="167" t="s">
        <v>243</v>
      </c>
      <c r="B511" s="167" t="s">
        <v>257</v>
      </c>
      <c r="C511" s="167" t="n">
        <v>-10</v>
      </c>
      <c r="D511" s="167" t="str">
        <f aca="false">A511&amp;" "&amp;B511&amp;" "&amp;C511</f>
        <v>1/2" Round Falcon 500 -10</v>
      </c>
      <c r="E511" s="167" t="n">
        <v>1</v>
      </c>
      <c r="I511" s="167" t="n">
        <v>0</v>
      </c>
    </row>
    <row r="512" customFormat="false" ht="14.25" hidden="false" customHeight="true" outlineLevel="0" collapsed="false">
      <c r="A512" s="167" t="s">
        <v>243</v>
      </c>
      <c r="B512" s="167" t="s">
        <v>257</v>
      </c>
      <c r="C512" s="167" t="n">
        <v>9</v>
      </c>
      <c r="D512" s="167" t="str">
        <f aca="false">A512&amp;" "&amp;B512&amp;" "&amp;C512</f>
        <v>1/2" Round Falcon 500 9</v>
      </c>
      <c r="E512" s="167" t="n">
        <v>3</v>
      </c>
      <c r="I512" s="167" t="n">
        <v>0</v>
      </c>
    </row>
    <row r="513" customFormat="false" ht="14.25" hidden="false" customHeight="true" outlineLevel="0" collapsed="false">
      <c r="A513" s="167" t="s">
        <v>243</v>
      </c>
      <c r="B513" s="167" t="s">
        <v>257</v>
      </c>
      <c r="C513" s="167" t="n">
        <v>12</v>
      </c>
      <c r="D513" s="167" t="str">
        <f aca="false">A513&amp;" "&amp;B513&amp;" "&amp;C513</f>
        <v>1/2" Round Falcon 500 12</v>
      </c>
      <c r="E513" s="167" t="n">
        <v>1</v>
      </c>
      <c r="I513" s="167" t="n">
        <v>0</v>
      </c>
    </row>
    <row r="514" customFormat="false" ht="14.25" hidden="false" customHeight="true" outlineLevel="0" collapsed="false">
      <c r="A514" s="167" t="s">
        <v>243</v>
      </c>
      <c r="B514" s="167" t="s">
        <v>257</v>
      </c>
      <c r="C514" s="167" t="n">
        <v>15</v>
      </c>
      <c r="D514" s="167" t="str">
        <f aca="false">A514&amp;" "&amp;B514&amp;" "&amp;C514</f>
        <v>1/2" Round Falcon 500 15</v>
      </c>
      <c r="E514" s="167" t="n">
        <v>1</v>
      </c>
      <c r="I514" s="167" t="n">
        <v>0</v>
      </c>
    </row>
    <row r="515" customFormat="false" ht="14.25" hidden="false" customHeight="true" outlineLevel="0" collapsed="false">
      <c r="A515" s="167" t="s">
        <v>243</v>
      </c>
      <c r="B515" s="167" t="s">
        <v>257</v>
      </c>
      <c r="C515" s="167" t="n">
        <v>16</v>
      </c>
      <c r="D515" s="167" t="str">
        <f aca="false">A515&amp;" "&amp;B515&amp;" "&amp;C515</f>
        <v>1/2" Round Falcon 500 16</v>
      </c>
      <c r="E515" s="167" t="n">
        <v>1</v>
      </c>
      <c r="I515" s="167" t="n">
        <v>0</v>
      </c>
    </row>
    <row r="516" customFormat="false" ht="14.25" hidden="false" customHeight="true" outlineLevel="0" collapsed="false">
      <c r="A516" s="167" t="s">
        <v>243</v>
      </c>
      <c r="B516" s="167" t="s">
        <v>257</v>
      </c>
      <c r="C516" s="167" t="n">
        <v>20</v>
      </c>
      <c r="D516" s="167" t="str">
        <f aca="false">A516&amp;" "&amp;B516&amp;" "&amp;C516</f>
        <v>1/2" Round Falcon 500 20</v>
      </c>
      <c r="E516" s="167" t="n">
        <v>1</v>
      </c>
      <c r="I516" s="167" t="n">
        <v>0</v>
      </c>
    </row>
    <row r="517" customFormat="false" ht="14.25" hidden="false" customHeight="true" outlineLevel="0" collapsed="false">
      <c r="A517" s="167" t="s">
        <v>243</v>
      </c>
      <c r="B517" s="167" t="s">
        <v>257</v>
      </c>
      <c r="C517" s="167" t="n">
        <v>21</v>
      </c>
      <c r="D517" s="167" t="str">
        <f aca="false">A517&amp;" "&amp;B517&amp;" "&amp;C517</f>
        <v>1/2" Round Falcon 500 21</v>
      </c>
      <c r="E517" s="167" t="n">
        <v>1</v>
      </c>
      <c r="I517" s="167" t="n">
        <v>0</v>
      </c>
    </row>
    <row r="518" customFormat="false" ht="14.25" hidden="false" customHeight="true" outlineLevel="0" collapsed="false">
      <c r="A518" s="167" t="s">
        <v>243</v>
      </c>
      <c r="B518" s="167" t="s">
        <v>257</v>
      </c>
      <c r="C518" s="167" t="n">
        <v>25</v>
      </c>
      <c r="D518" s="167" t="str">
        <f aca="false">A518&amp;" "&amp;B518&amp;" "&amp;C518</f>
        <v>1/2" Round Falcon 500 25</v>
      </c>
      <c r="E518" s="167" t="n">
        <v>1</v>
      </c>
      <c r="I518" s="167" t="n">
        <v>0</v>
      </c>
    </row>
    <row r="519" customFormat="false" ht="14.25" hidden="false" customHeight="true" outlineLevel="0" collapsed="false">
      <c r="A519" s="167" t="s">
        <v>243</v>
      </c>
      <c r="B519" s="167" t="s">
        <v>257</v>
      </c>
      <c r="C519" s="167" t="n">
        <v>27</v>
      </c>
      <c r="D519" s="167" t="str">
        <f aca="false">A519&amp;" "&amp;B519&amp;" "&amp;C519</f>
        <v>1/2" Round Falcon 500 27</v>
      </c>
      <c r="E519" s="167" t="n">
        <v>1</v>
      </c>
      <c r="I519" s="167" t="n">
        <v>0</v>
      </c>
    </row>
    <row r="520" customFormat="false" ht="14.25" hidden="false" customHeight="true" outlineLevel="0" collapsed="false">
      <c r="A520" s="167" t="s">
        <v>243</v>
      </c>
      <c r="B520" s="167" t="s">
        <v>257</v>
      </c>
      <c r="C520" s="167" t="n">
        <v>28</v>
      </c>
      <c r="D520" s="167" t="str">
        <f aca="false">A520&amp;" "&amp;B520&amp;" "&amp;C520</f>
        <v>1/2" Round Falcon 500 28</v>
      </c>
      <c r="E520" s="167" t="n">
        <v>0</v>
      </c>
      <c r="I520" s="167" t="n">
        <v>0</v>
      </c>
    </row>
    <row r="521" customFormat="false" ht="14.25" hidden="false" customHeight="true" outlineLevel="0" collapsed="false">
      <c r="A521" s="167" t="s">
        <v>243</v>
      </c>
      <c r="B521" s="167" t="s">
        <v>257</v>
      </c>
      <c r="C521" s="167" t="n">
        <v>30</v>
      </c>
      <c r="D521" s="167" t="str">
        <f aca="false">A521&amp;" "&amp;B521&amp;" "&amp;C521</f>
        <v>1/2" Round Falcon 500 30</v>
      </c>
      <c r="E521" s="167" t="n">
        <v>0</v>
      </c>
      <c r="I521" s="167" t="n">
        <v>0</v>
      </c>
    </row>
    <row r="522" customFormat="false" ht="14.25" hidden="false" customHeight="true" outlineLevel="0" collapsed="false">
      <c r="A522" s="167" t="s">
        <v>243</v>
      </c>
      <c r="B522" s="167" t="s">
        <v>257</v>
      </c>
      <c r="C522" s="167" t="n">
        <v>35</v>
      </c>
      <c r="D522" s="167" t="str">
        <f aca="false">A522&amp;" "&amp;B522&amp;" "&amp;C522</f>
        <v>1/2" Round Falcon 500 35</v>
      </c>
      <c r="E522" s="167" t="n">
        <v>0</v>
      </c>
      <c r="I522" s="167" t="n">
        <v>0</v>
      </c>
    </row>
    <row r="523" customFormat="false" ht="14.25" hidden="false" customHeight="true" outlineLevel="0" collapsed="false">
      <c r="A523" s="167" t="s">
        <v>243</v>
      </c>
      <c r="B523" s="167" t="s">
        <v>257</v>
      </c>
      <c r="C523" s="167" t="n">
        <v>36</v>
      </c>
      <c r="D523" s="167" t="str">
        <f aca="false">A523&amp;" "&amp;B523&amp;" "&amp;C523</f>
        <v>1/2" Round Falcon 500 36</v>
      </c>
      <c r="E523" s="167" t="n">
        <v>0</v>
      </c>
      <c r="I523" s="167" t="n">
        <v>0</v>
      </c>
    </row>
    <row r="524" customFormat="false" ht="14.25" hidden="false" customHeight="true" outlineLevel="0" collapsed="false">
      <c r="A524" s="167" t="s">
        <v>243</v>
      </c>
      <c r="B524" s="167" t="s">
        <v>257</v>
      </c>
      <c r="C524" s="167" t="n">
        <v>40</v>
      </c>
      <c r="D524" s="167" t="str">
        <f aca="false">A524&amp;" "&amp;B524&amp;" "&amp;C524</f>
        <v>1/2" Round Falcon 500 40</v>
      </c>
      <c r="E524" s="167" t="n">
        <v>0</v>
      </c>
      <c r="I524" s="167" t="n">
        <v>0</v>
      </c>
    </row>
    <row r="525" customFormat="false" ht="14.25" hidden="false" customHeight="true" outlineLevel="0" collapsed="false">
      <c r="A525" s="167" t="s">
        <v>243</v>
      </c>
      <c r="B525" s="167" t="s">
        <v>257</v>
      </c>
      <c r="C525" s="167" t="n">
        <v>45</v>
      </c>
      <c r="D525" s="167" t="str">
        <f aca="false">A525&amp;" "&amp;B525&amp;" "&amp;C525</f>
        <v>1/2" Round Falcon 500 45</v>
      </c>
      <c r="E525" s="167" t="n">
        <v>0</v>
      </c>
      <c r="I525" s="167" t="n">
        <v>0</v>
      </c>
    </row>
    <row r="526" customFormat="false" ht="14.25" hidden="false" customHeight="true" outlineLevel="0" collapsed="false">
      <c r="A526" s="167" t="s">
        <v>243</v>
      </c>
      <c r="B526" s="167" t="s">
        <v>257</v>
      </c>
      <c r="C526" s="167" t="n">
        <v>49</v>
      </c>
      <c r="D526" s="167" t="str">
        <f aca="false">A526&amp;" "&amp;B526&amp;" "&amp;C526</f>
        <v>1/2" Round Falcon 500 49</v>
      </c>
      <c r="E526" s="167" t="n">
        <v>0</v>
      </c>
      <c r="I526" s="167" t="n">
        <v>0</v>
      </c>
    </row>
    <row r="527" customFormat="false" ht="14.25" hidden="false" customHeight="true" outlineLevel="0" collapsed="false">
      <c r="A527" s="167" t="s">
        <v>243</v>
      </c>
      <c r="B527" s="167" t="s">
        <v>257</v>
      </c>
      <c r="C527" s="167" t="n">
        <v>50</v>
      </c>
      <c r="D527" s="167" t="str">
        <f aca="false">A527&amp;" "&amp;B527&amp;" "&amp;C527</f>
        <v>1/2" Round Falcon 500 50</v>
      </c>
      <c r="E527" s="167" t="n">
        <v>0</v>
      </c>
      <c r="I527" s="167" t="n">
        <v>0</v>
      </c>
    </row>
    <row r="528" customFormat="false" ht="14.25" hidden="false" customHeight="true" outlineLevel="0" collapsed="false">
      <c r="A528" s="167" t="s">
        <v>243</v>
      </c>
      <c r="B528" s="167" t="s">
        <v>257</v>
      </c>
      <c r="C528" s="167" t="n">
        <v>63</v>
      </c>
      <c r="D528" s="167" t="str">
        <f aca="false">A528&amp;" "&amp;B528&amp;" "&amp;C528</f>
        <v>1/2" Round Falcon 500 63</v>
      </c>
      <c r="E528" s="167" t="n">
        <v>0</v>
      </c>
      <c r="I528" s="167" t="n">
        <v>0</v>
      </c>
    </row>
    <row r="529" customFormat="false" ht="14.25" hidden="false" customHeight="true" outlineLevel="0" collapsed="false">
      <c r="A529" s="167" t="s">
        <v>243</v>
      </c>
      <c r="B529" s="167" t="s">
        <v>257</v>
      </c>
      <c r="C529" s="167" t="n">
        <v>70</v>
      </c>
      <c r="D529" s="167" t="str">
        <f aca="false">A529&amp;" "&amp;B529&amp;" "&amp;C529</f>
        <v>1/2" Round Falcon 500 70</v>
      </c>
      <c r="E529" s="167" t="n">
        <v>0</v>
      </c>
      <c r="I529" s="167" t="n">
        <v>0</v>
      </c>
    </row>
    <row r="530" customFormat="false" ht="14.25" hidden="false" customHeight="true" outlineLevel="0" collapsed="false">
      <c r="A530" s="167" t="s">
        <v>243</v>
      </c>
      <c r="B530" s="167" t="s">
        <v>257</v>
      </c>
      <c r="C530" s="167" t="n">
        <v>81</v>
      </c>
      <c r="D530" s="167" t="str">
        <f aca="false">A530&amp;" "&amp;B530&amp;" "&amp;C530</f>
        <v>1/2" Round Falcon 500 81</v>
      </c>
      <c r="E530" s="167" t="n">
        <v>0</v>
      </c>
      <c r="I530" s="167" t="n">
        <v>0</v>
      </c>
    </row>
    <row r="531" customFormat="false" ht="14.25" hidden="false" customHeight="true" outlineLevel="0" collapsed="false">
      <c r="A531" s="167" t="s">
        <v>243</v>
      </c>
      <c r="B531" s="167" t="s">
        <v>257</v>
      </c>
      <c r="C531" s="167" t="n">
        <v>90</v>
      </c>
      <c r="D531" s="167" t="str">
        <f aca="false">A531&amp;" "&amp;B531&amp;" "&amp;C531</f>
        <v>1/2" Round Falcon 500 90</v>
      </c>
      <c r="E531" s="167" t="n">
        <v>0</v>
      </c>
      <c r="I531" s="167" t="n">
        <v>0</v>
      </c>
    </row>
    <row r="532" customFormat="false" ht="14.25" hidden="false" customHeight="true" outlineLevel="0" collapsed="false">
      <c r="A532" s="167" t="s">
        <v>243</v>
      </c>
      <c r="B532" s="167" t="s">
        <v>257</v>
      </c>
      <c r="C532" s="167" t="n">
        <v>100</v>
      </c>
      <c r="D532" s="167" t="str">
        <f aca="false">A532&amp;" "&amp;B532&amp;" "&amp;C532</f>
        <v>1/2" Round Falcon 500 100</v>
      </c>
      <c r="E532" s="167" t="n">
        <v>0</v>
      </c>
      <c r="I532" s="167" t="n">
        <v>0</v>
      </c>
    </row>
    <row r="533" customFormat="false" ht="14.25" hidden="false" customHeight="true" outlineLevel="0" collapsed="false">
      <c r="A533" s="167" t="s">
        <v>246</v>
      </c>
      <c r="B533" s="167" t="s">
        <v>236</v>
      </c>
      <c r="C533" s="167" t="n">
        <v>-3</v>
      </c>
      <c r="D533" s="167" t="str">
        <f aca="false">A533&amp;" "&amp;B533&amp;" "&amp;C533</f>
        <v>3/8" Hex AM 9015 -3</v>
      </c>
      <c r="E533" s="167" t="n">
        <v>1</v>
      </c>
      <c r="I533" s="167" t="n">
        <v>1</v>
      </c>
    </row>
    <row r="534" customFormat="false" ht="14.25" hidden="false" customHeight="true" outlineLevel="0" collapsed="false">
      <c r="A534" s="167" t="s">
        <v>246</v>
      </c>
      <c r="B534" s="167" t="s">
        <v>236</v>
      </c>
      <c r="C534" s="167" t="n">
        <v>-4</v>
      </c>
      <c r="D534" s="167" t="str">
        <f aca="false">A534&amp;" "&amp;B534&amp;" "&amp;C534</f>
        <v>3/8" Hex AM 9015 -4</v>
      </c>
      <c r="E534" s="167" t="n">
        <v>1</v>
      </c>
      <c r="I534" s="167" t="n">
        <v>1</v>
      </c>
    </row>
    <row r="535" customFormat="false" ht="14.25" hidden="false" customHeight="true" outlineLevel="0" collapsed="false">
      <c r="A535" s="167" t="s">
        <v>246</v>
      </c>
      <c r="B535" s="167" t="s">
        <v>236</v>
      </c>
      <c r="C535" s="167" t="n">
        <v>-5</v>
      </c>
      <c r="D535" s="167" t="str">
        <f aca="false">A535&amp;" "&amp;B535&amp;" "&amp;C535</f>
        <v>3/8" Hex AM 9015 -5</v>
      </c>
      <c r="E535" s="167" t="n">
        <v>1</v>
      </c>
      <c r="I535" s="167" t="n">
        <v>1</v>
      </c>
    </row>
    <row r="536" customFormat="false" ht="14.25" hidden="false" customHeight="true" outlineLevel="0" collapsed="false">
      <c r="A536" s="167" t="s">
        <v>246</v>
      </c>
      <c r="B536" s="167" t="s">
        <v>236</v>
      </c>
      <c r="C536" s="167" t="n">
        <v>-7</v>
      </c>
      <c r="D536" s="167" t="str">
        <f aca="false">A536&amp;" "&amp;B536&amp;" "&amp;C536</f>
        <v>3/8" Hex AM 9015 -7</v>
      </c>
      <c r="E536" s="167" t="n">
        <v>1</v>
      </c>
      <c r="I536" s="167" t="n">
        <v>1</v>
      </c>
    </row>
    <row r="537" customFormat="false" ht="14.25" hidden="false" customHeight="true" outlineLevel="0" collapsed="false">
      <c r="A537" s="167" t="s">
        <v>246</v>
      </c>
      <c r="B537" s="167" t="s">
        <v>236</v>
      </c>
      <c r="C537" s="167" t="n">
        <v>-9</v>
      </c>
      <c r="D537" s="167" t="str">
        <f aca="false">A537&amp;" "&amp;B537&amp;" "&amp;C537</f>
        <v>3/8" Hex AM 9015 -9</v>
      </c>
      <c r="E537" s="167" t="n">
        <v>1</v>
      </c>
      <c r="I537" s="167" t="n">
        <v>1</v>
      </c>
    </row>
    <row r="538" customFormat="false" ht="14.25" hidden="false" customHeight="true" outlineLevel="0" collapsed="false">
      <c r="A538" s="167" t="s">
        <v>246</v>
      </c>
      <c r="B538" s="167" t="s">
        <v>236</v>
      </c>
      <c r="C538" s="167" t="n">
        <v>-10</v>
      </c>
      <c r="D538" s="167" t="str">
        <f aca="false">A538&amp;" "&amp;B538&amp;" "&amp;C538</f>
        <v>3/8" Hex AM 9015 -10</v>
      </c>
      <c r="E538" s="167" t="n">
        <v>1</v>
      </c>
      <c r="I538" s="167" t="n">
        <v>1</v>
      </c>
    </row>
    <row r="539" customFormat="false" ht="14.25" hidden="false" customHeight="true" outlineLevel="0" collapsed="false">
      <c r="A539" s="167" t="s">
        <v>246</v>
      </c>
      <c r="B539" s="167" t="s">
        <v>236</v>
      </c>
      <c r="C539" s="167" t="n">
        <v>9</v>
      </c>
      <c r="D539" s="167" t="str">
        <f aca="false">A539&amp;" "&amp;B539&amp;" "&amp;C539</f>
        <v>3/8" Hex AM 9015 9</v>
      </c>
      <c r="E539" s="167" t="n">
        <v>10</v>
      </c>
      <c r="I539" s="167" t="n">
        <v>10</v>
      </c>
    </row>
    <row r="540" customFormat="false" ht="14.25" hidden="false" customHeight="true" outlineLevel="0" collapsed="false">
      <c r="A540" s="167" t="s">
        <v>246</v>
      </c>
      <c r="B540" s="167" t="s">
        <v>236</v>
      </c>
      <c r="C540" s="167" t="n">
        <v>12</v>
      </c>
      <c r="D540" s="167" t="str">
        <f aca="false">A540&amp;" "&amp;B540&amp;" "&amp;C540</f>
        <v>3/8" Hex AM 9015 12</v>
      </c>
      <c r="E540" s="167" t="n">
        <v>10</v>
      </c>
      <c r="I540" s="167" t="n">
        <v>7</v>
      </c>
    </row>
    <row r="541" customFormat="false" ht="14.25" hidden="false" customHeight="true" outlineLevel="0" collapsed="false">
      <c r="A541" s="167" t="s">
        <v>246</v>
      </c>
      <c r="B541" s="167" t="s">
        <v>236</v>
      </c>
      <c r="C541" s="167" t="n">
        <v>15</v>
      </c>
      <c r="D541" s="167" t="str">
        <f aca="false">A541&amp;" "&amp;B541&amp;" "&amp;C541</f>
        <v>3/8" Hex AM 9015 15</v>
      </c>
      <c r="E541" s="167" t="n">
        <v>7</v>
      </c>
      <c r="I541" s="167" t="n">
        <v>5</v>
      </c>
    </row>
    <row r="542" customFormat="false" ht="14.25" hidden="false" customHeight="true" outlineLevel="0" collapsed="false">
      <c r="A542" s="167" t="s">
        <v>246</v>
      </c>
      <c r="B542" s="167" t="s">
        <v>236</v>
      </c>
      <c r="C542" s="167" t="n">
        <v>16</v>
      </c>
      <c r="D542" s="167" t="str">
        <f aca="false">A542&amp;" "&amp;B542&amp;" "&amp;C542</f>
        <v>3/8" Hex AM 9015 16</v>
      </c>
      <c r="E542" s="167" t="n">
        <v>7</v>
      </c>
      <c r="I542" s="167" t="n">
        <v>5</v>
      </c>
    </row>
    <row r="543" customFormat="false" ht="14.25" hidden="false" customHeight="true" outlineLevel="0" collapsed="false">
      <c r="A543" s="167" t="s">
        <v>246</v>
      </c>
      <c r="B543" s="167" t="s">
        <v>236</v>
      </c>
      <c r="C543" s="167" t="n">
        <v>20</v>
      </c>
      <c r="D543" s="167" t="str">
        <f aca="false">A543&amp;" "&amp;B543&amp;" "&amp;C543</f>
        <v>3/8" Hex AM 9015 20</v>
      </c>
      <c r="E543" s="167" t="n">
        <v>5</v>
      </c>
      <c r="I543" s="167" t="n">
        <v>4</v>
      </c>
    </row>
    <row r="544" customFormat="false" ht="14.25" hidden="false" customHeight="true" outlineLevel="0" collapsed="false">
      <c r="A544" s="167" t="s">
        <v>246</v>
      </c>
      <c r="B544" s="167" t="s">
        <v>236</v>
      </c>
      <c r="C544" s="167" t="n">
        <v>21</v>
      </c>
      <c r="D544" s="167" t="str">
        <f aca="false">A544&amp;" "&amp;B544&amp;" "&amp;C544</f>
        <v>3/8" Hex AM 9015 21</v>
      </c>
      <c r="E544" s="167" t="n">
        <v>5</v>
      </c>
      <c r="I544" s="167" t="n">
        <v>4</v>
      </c>
    </row>
    <row r="545" customFormat="false" ht="14.25" hidden="false" customHeight="true" outlineLevel="0" collapsed="false">
      <c r="A545" s="167" t="s">
        <v>246</v>
      </c>
      <c r="B545" s="167" t="s">
        <v>236</v>
      </c>
      <c r="C545" s="167" t="n">
        <v>25</v>
      </c>
      <c r="D545" s="167" t="str">
        <f aca="false">A545&amp;" "&amp;B545&amp;" "&amp;C545</f>
        <v>3/8" Hex AM 9015 25</v>
      </c>
      <c r="E545" s="167" t="n">
        <v>5</v>
      </c>
      <c r="I545" s="167" t="n">
        <v>3</v>
      </c>
    </row>
    <row r="546" customFormat="false" ht="14.25" hidden="false" customHeight="true" outlineLevel="0" collapsed="false">
      <c r="A546" s="167" t="s">
        <v>246</v>
      </c>
      <c r="B546" s="167" t="s">
        <v>236</v>
      </c>
      <c r="C546" s="167" t="n">
        <v>27</v>
      </c>
      <c r="D546" s="167" t="str">
        <f aca="false">A546&amp;" "&amp;B546&amp;" "&amp;C546</f>
        <v>3/8" Hex AM 9015 27</v>
      </c>
      <c r="E546" s="167" t="n">
        <v>4</v>
      </c>
      <c r="I546" s="167" t="n">
        <v>3</v>
      </c>
    </row>
    <row r="547" customFormat="false" ht="14.25" hidden="false" customHeight="true" outlineLevel="0" collapsed="false">
      <c r="A547" s="167" t="s">
        <v>246</v>
      </c>
      <c r="B547" s="167" t="s">
        <v>236</v>
      </c>
      <c r="C547" s="167" t="n">
        <v>28</v>
      </c>
      <c r="D547" s="167" t="str">
        <f aca="false">A547&amp;" "&amp;B547&amp;" "&amp;C547</f>
        <v>3/8" Hex AM 9015 28</v>
      </c>
      <c r="E547" s="167" t="n">
        <v>4</v>
      </c>
      <c r="I547" s="167" t="n">
        <v>3</v>
      </c>
    </row>
    <row r="548" customFormat="false" ht="14.25" hidden="false" customHeight="true" outlineLevel="0" collapsed="false">
      <c r="A548" s="167" t="s">
        <v>246</v>
      </c>
      <c r="B548" s="167" t="s">
        <v>236</v>
      </c>
      <c r="C548" s="167" t="n">
        <v>30</v>
      </c>
      <c r="D548" s="167" t="str">
        <f aca="false">A548&amp;" "&amp;B548&amp;" "&amp;C548</f>
        <v>3/8" Hex AM 9015 30</v>
      </c>
      <c r="E548" s="167" t="n">
        <v>4</v>
      </c>
      <c r="I548" s="167" t="n">
        <v>3</v>
      </c>
    </row>
    <row r="549" customFormat="false" ht="14.25" hidden="false" customHeight="true" outlineLevel="0" collapsed="false">
      <c r="A549" s="167" t="s">
        <v>246</v>
      </c>
      <c r="B549" s="167" t="s">
        <v>236</v>
      </c>
      <c r="C549" s="167" t="n">
        <v>35</v>
      </c>
      <c r="D549" s="167" t="str">
        <f aca="false">A549&amp;" "&amp;B549&amp;" "&amp;C549</f>
        <v>3/8" Hex AM 9015 35</v>
      </c>
      <c r="E549" s="167" t="n">
        <v>3</v>
      </c>
      <c r="I549" s="167" t="n">
        <v>1</v>
      </c>
    </row>
    <row r="550" customFormat="false" ht="14.25" hidden="false" customHeight="true" outlineLevel="0" collapsed="false">
      <c r="A550" s="167" t="s">
        <v>246</v>
      </c>
      <c r="B550" s="167" t="s">
        <v>236</v>
      </c>
      <c r="C550" s="167" t="n">
        <v>36</v>
      </c>
      <c r="D550" s="167" t="str">
        <f aca="false">A550&amp;" "&amp;B550&amp;" "&amp;C550</f>
        <v>3/8" Hex AM 9015 36</v>
      </c>
      <c r="E550" s="167" t="n">
        <v>3</v>
      </c>
      <c r="I550" s="167" t="n">
        <v>1</v>
      </c>
    </row>
    <row r="551" customFormat="false" ht="14.25" hidden="false" customHeight="true" outlineLevel="0" collapsed="false">
      <c r="A551" s="167" t="s">
        <v>246</v>
      </c>
      <c r="B551" s="167" t="s">
        <v>236</v>
      </c>
      <c r="C551" s="167" t="n">
        <v>40</v>
      </c>
      <c r="D551" s="167" t="str">
        <f aca="false">A551&amp;" "&amp;B551&amp;" "&amp;C551</f>
        <v>3/8" Hex AM 9015 40</v>
      </c>
      <c r="E551" s="167" t="n">
        <v>3</v>
      </c>
      <c r="I551" s="167" t="n">
        <v>1</v>
      </c>
    </row>
    <row r="552" customFormat="false" ht="14.25" hidden="false" customHeight="true" outlineLevel="0" collapsed="false">
      <c r="A552" s="167" t="s">
        <v>246</v>
      </c>
      <c r="B552" s="167" t="s">
        <v>236</v>
      </c>
      <c r="C552" s="167" t="n">
        <v>45</v>
      </c>
      <c r="D552" s="167" t="str">
        <f aca="false">A552&amp;" "&amp;B552&amp;" "&amp;C552</f>
        <v>3/8" Hex AM 9015 45</v>
      </c>
      <c r="E552" s="167" t="n">
        <v>1</v>
      </c>
      <c r="I552" s="167" t="n">
        <v>1</v>
      </c>
    </row>
    <row r="553" customFormat="false" ht="14.25" hidden="false" customHeight="true" outlineLevel="0" collapsed="false">
      <c r="A553" s="167" t="s">
        <v>246</v>
      </c>
      <c r="B553" s="167" t="s">
        <v>236</v>
      </c>
      <c r="C553" s="167" t="n">
        <v>49</v>
      </c>
      <c r="D553" s="167" t="str">
        <f aca="false">A553&amp;" "&amp;B553&amp;" "&amp;C553</f>
        <v>3/8" Hex AM 9015 49</v>
      </c>
      <c r="E553" s="167" t="n">
        <v>1</v>
      </c>
      <c r="I553" s="167" t="n">
        <v>1</v>
      </c>
    </row>
    <row r="554" customFormat="false" ht="14.25" hidden="false" customHeight="true" outlineLevel="0" collapsed="false">
      <c r="A554" s="167" t="s">
        <v>246</v>
      </c>
      <c r="B554" s="167" t="s">
        <v>236</v>
      </c>
      <c r="C554" s="167" t="n">
        <v>50</v>
      </c>
      <c r="D554" s="167" t="str">
        <f aca="false">A554&amp;" "&amp;B554&amp;" "&amp;C554</f>
        <v>3/8" Hex AM 9015 50</v>
      </c>
      <c r="E554" s="167" t="n">
        <v>1</v>
      </c>
      <c r="I554" s="167" t="n">
        <v>1</v>
      </c>
    </row>
    <row r="555" customFormat="false" ht="14.25" hidden="false" customHeight="true" outlineLevel="0" collapsed="false">
      <c r="A555" s="167" t="s">
        <v>246</v>
      </c>
      <c r="B555" s="167" t="s">
        <v>236</v>
      </c>
      <c r="C555" s="167" t="n">
        <v>63</v>
      </c>
      <c r="D555" s="167" t="str">
        <f aca="false">A555&amp;" "&amp;B555&amp;" "&amp;C555</f>
        <v>3/8" Hex AM 9015 63</v>
      </c>
      <c r="E555" s="167" t="n">
        <v>1</v>
      </c>
      <c r="I555" s="167" t="n">
        <v>1</v>
      </c>
    </row>
    <row r="556" customFormat="false" ht="14.25" hidden="false" customHeight="true" outlineLevel="0" collapsed="false">
      <c r="A556" s="167" t="s">
        <v>246</v>
      </c>
      <c r="B556" s="167" t="s">
        <v>236</v>
      </c>
      <c r="C556" s="167" t="n">
        <v>70</v>
      </c>
      <c r="D556" s="167" t="str">
        <f aca="false">A556&amp;" "&amp;B556&amp;" "&amp;C556</f>
        <v>3/8" Hex AM 9015 70</v>
      </c>
      <c r="E556" s="167" t="n">
        <v>1</v>
      </c>
      <c r="I556" s="167" t="n">
        <v>1</v>
      </c>
    </row>
    <row r="557" customFormat="false" ht="14.25" hidden="false" customHeight="true" outlineLevel="0" collapsed="false">
      <c r="A557" s="167" t="s">
        <v>246</v>
      </c>
      <c r="B557" s="167" t="s">
        <v>236</v>
      </c>
      <c r="C557" s="167" t="n">
        <v>81</v>
      </c>
      <c r="D557" s="167" t="str">
        <f aca="false">A557&amp;" "&amp;B557&amp;" "&amp;C557</f>
        <v>3/8" Hex AM 9015 81</v>
      </c>
      <c r="E557" s="167" t="n">
        <v>1</v>
      </c>
      <c r="I557" s="167" t="n">
        <v>1</v>
      </c>
    </row>
    <row r="558" customFormat="false" ht="14.25" hidden="false" customHeight="true" outlineLevel="0" collapsed="false">
      <c r="A558" s="167" t="s">
        <v>246</v>
      </c>
      <c r="B558" s="167" t="s">
        <v>236</v>
      </c>
      <c r="C558" s="167" t="n">
        <v>90</v>
      </c>
      <c r="D558" s="167" t="str">
        <f aca="false">A558&amp;" "&amp;B558&amp;" "&amp;C558</f>
        <v>3/8" Hex AM 9015 90</v>
      </c>
      <c r="E558" s="167" t="n">
        <v>1</v>
      </c>
      <c r="I558" s="167" t="n">
        <v>1</v>
      </c>
    </row>
    <row r="559" customFormat="false" ht="14.25" hidden="false" customHeight="true" outlineLevel="0" collapsed="false">
      <c r="A559" s="167" t="s">
        <v>246</v>
      </c>
      <c r="B559" s="167" t="s">
        <v>236</v>
      </c>
      <c r="C559" s="167" t="n">
        <v>100</v>
      </c>
      <c r="D559" s="167" t="str">
        <f aca="false">A559&amp;" "&amp;B559&amp;" "&amp;C559</f>
        <v>3/8" Hex AM 9015 100</v>
      </c>
      <c r="E559" s="167" t="n">
        <v>1</v>
      </c>
      <c r="I559" s="167" t="n">
        <v>0</v>
      </c>
    </row>
    <row r="560" customFormat="false" ht="14.25" hidden="false" customHeight="true" outlineLevel="0" collapsed="false">
      <c r="A560" s="167" t="s">
        <v>246</v>
      </c>
      <c r="B560" s="167" t="s">
        <v>237</v>
      </c>
      <c r="C560" s="167" t="n">
        <v>-3</v>
      </c>
      <c r="D560" s="167" t="str">
        <f aca="false">A560&amp;" "&amp;B560&amp;" "&amp;C560</f>
        <v>3/8" Hex BB RS-550 -3</v>
      </c>
      <c r="E560" s="167" t="n">
        <v>1</v>
      </c>
      <c r="F560" s="167" t="n">
        <v>1</v>
      </c>
      <c r="G560" s="167" t="n">
        <v>1</v>
      </c>
      <c r="H560" s="167" t="n">
        <v>1</v>
      </c>
      <c r="I560" s="167" t="n">
        <v>1</v>
      </c>
    </row>
    <row r="561" customFormat="false" ht="14.25" hidden="false" customHeight="true" outlineLevel="0" collapsed="false">
      <c r="A561" s="167" t="s">
        <v>246</v>
      </c>
      <c r="B561" s="167" t="s">
        <v>237</v>
      </c>
      <c r="C561" s="167" t="n">
        <v>-4</v>
      </c>
      <c r="D561" s="167" t="str">
        <f aca="false">A561&amp;" "&amp;B561&amp;" "&amp;C561</f>
        <v>3/8" Hex BB RS-550 -4</v>
      </c>
      <c r="E561" s="167" t="n">
        <v>1</v>
      </c>
      <c r="F561" s="167" t="n">
        <v>1</v>
      </c>
      <c r="G561" s="167" t="n">
        <v>1</v>
      </c>
      <c r="H561" s="167" t="n">
        <v>1</v>
      </c>
      <c r="I561" s="167" t="n">
        <v>1</v>
      </c>
    </row>
    <row r="562" customFormat="false" ht="14.25" hidden="false" customHeight="true" outlineLevel="0" collapsed="false">
      <c r="A562" s="167" t="s">
        <v>246</v>
      </c>
      <c r="B562" s="167" t="s">
        <v>237</v>
      </c>
      <c r="C562" s="167" t="n">
        <v>-5</v>
      </c>
      <c r="D562" s="167" t="str">
        <f aca="false">A562&amp;" "&amp;B562&amp;" "&amp;C562</f>
        <v>3/8" Hex BB RS-550 -5</v>
      </c>
      <c r="E562" s="167" t="n">
        <v>1</v>
      </c>
      <c r="F562" s="167" t="n">
        <v>1</v>
      </c>
      <c r="G562" s="167" t="n">
        <v>0</v>
      </c>
      <c r="H562" s="167" t="n">
        <v>1</v>
      </c>
      <c r="I562" s="167" t="n">
        <v>1</v>
      </c>
    </row>
    <row r="563" customFormat="false" ht="14.25" hidden="false" customHeight="true" outlineLevel="0" collapsed="false">
      <c r="A563" s="167" t="s">
        <v>246</v>
      </c>
      <c r="B563" s="167" t="s">
        <v>237</v>
      </c>
      <c r="C563" s="167" t="n">
        <v>-7</v>
      </c>
      <c r="D563" s="167" t="str">
        <f aca="false">A563&amp;" "&amp;B563&amp;" "&amp;C563</f>
        <v>3/8" Hex BB RS-550 -7</v>
      </c>
      <c r="E563" s="167" t="n">
        <v>1</v>
      </c>
      <c r="F563" s="167" t="n">
        <v>1</v>
      </c>
      <c r="G563" s="167" t="n">
        <v>0</v>
      </c>
      <c r="H563" s="167" t="n">
        <v>0</v>
      </c>
      <c r="I563" s="167" t="n">
        <v>1</v>
      </c>
    </row>
    <row r="564" customFormat="false" ht="14.25" hidden="false" customHeight="true" outlineLevel="0" collapsed="false">
      <c r="A564" s="167" t="s">
        <v>246</v>
      </c>
      <c r="B564" s="167" t="s">
        <v>237</v>
      </c>
      <c r="C564" s="167" t="n">
        <v>-9</v>
      </c>
      <c r="D564" s="167" t="str">
        <f aca="false">A564&amp;" "&amp;B564&amp;" "&amp;C564</f>
        <v>3/8" Hex BB RS-550 -9</v>
      </c>
      <c r="E564" s="167" t="n">
        <v>1</v>
      </c>
      <c r="F564" s="167" t="n">
        <v>1</v>
      </c>
      <c r="G564" s="167" t="n">
        <v>0</v>
      </c>
      <c r="H564" s="167" t="n">
        <v>0</v>
      </c>
      <c r="I564" s="167" t="n">
        <v>1</v>
      </c>
    </row>
    <row r="565" customFormat="false" ht="14.25" hidden="false" customHeight="true" outlineLevel="0" collapsed="false">
      <c r="A565" s="167" t="s">
        <v>246</v>
      </c>
      <c r="B565" s="167" t="s">
        <v>237</v>
      </c>
      <c r="C565" s="167" t="n">
        <v>-10</v>
      </c>
      <c r="D565" s="167" t="str">
        <f aca="false">A565&amp;" "&amp;B565&amp;" "&amp;C565</f>
        <v>3/8" Hex BB RS-550 -10</v>
      </c>
      <c r="E565" s="167" t="n">
        <v>1</v>
      </c>
      <c r="F565" s="167" t="n">
        <v>1</v>
      </c>
      <c r="G565" s="167" t="n">
        <v>0</v>
      </c>
      <c r="H565" s="167" t="n">
        <v>0</v>
      </c>
      <c r="I565" s="167" t="n">
        <v>1</v>
      </c>
    </row>
    <row r="566" customFormat="false" ht="14.25" hidden="false" customHeight="true" outlineLevel="0" collapsed="false">
      <c r="A566" s="167" t="s">
        <v>246</v>
      </c>
      <c r="B566" s="167" t="s">
        <v>237</v>
      </c>
      <c r="C566" s="167" t="n">
        <v>9</v>
      </c>
      <c r="D566" s="167" t="str">
        <f aca="false">A566&amp;" "&amp;B566&amp;" "&amp;C566</f>
        <v>3/8" Hex BB RS-550 9</v>
      </c>
      <c r="E566" s="167" t="n">
        <v>10</v>
      </c>
      <c r="F566" s="167" t="n">
        <v>5</v>
      </c>
      <c r="G566" s="167" t="n">
        <v>0</v>
      </c>
      <c r="H566" s="167" t="n">
        <v>0</v>
      </c>
      <c r="I566" s="167" t="n">
        <v>10</v>
      </c>
    </row>
    <row r="567" customFormat="false" ht="14.25" hidden="false" customHeight="true" outlineLevel="0" collapsed="false">
      <c r="A567" s="167" t="s">
        <v>246</v>
      </c>
      <c r="B567" s="167" t="s">
        <v>237</v>
      </c>
      <c r="C567" s="167" t="n">
        <v>12</v>
      </c>
      <c r="D567" s="167" t="str">
        <f aca="false">A567&amp;" "&amp;B567&amp;" "&amp;C567</f>
        <v>3/8" Hex BB RS-550 12</v>
      </c>
      <c r="E567" s="167" t="n">
        <v>9</v>
      </c>
      <c r="F567" s="167" t="n">
        <v>4</v>
      </c>
      <c r="G567" s="167" t="n">
        <v>0</v>
      </c>
      <c r="H567" s="167" t="n">
        <v>0</v>
      </c>
      <c r="I567" s="167" t="n">
        <v>7</v>
      </c>
    </row>
    <row r="568" customFormat="false" ht="14.25" hidden="false" customHeight="true" outlineLevel="0" collapsed="false">
      <c r="A568" s="167" t="s">
        <v>246</v>
      </c>
      <c r="B568" s="167" t="s">
        <v>237</v>
      </c>
      <c r="C568" s="167" t="n">
        <v>15</v>
      </c>
      <c r="D568" s="167" t="str">
        <f aca="false">A568&amp;" "&amp;B568&amp;" "&amp;C568</f>
        <v>3/8" Hex BB RS-550 15</v>
      </c>
      <c r="E568" s="167" t="n">
        <v>7</v>
      </c>
      <c r="F568" s="167" t="n">
        <v>3</v>
      </c>
      <c r="G568" s="167" t="n">
        <v>0</v>
      </c>
      <c r="H568" s="167" t="n">
        <v>0</v>
      </c>
      <c r="I568" s="167" t="n">
        <v>5</v>
      </c>
    </row>
    <row r="569" customFormat="false" ht="14.25" hidden="false" customHeight="true" outlineLevel="0" collapsed="false">
      <c r="A569" s="167" t="s">
        <v>246</v>
      </c>
      <c r="B569" s="167" t="s">
        <v>237</v>
      </c>
      <c r="C569" s="167" t="n">
        <v>16</v>
      </c>
      <c r="D569" s="167" t="str">
        <f aca="false">A569&amp;" "&amp;B569&amp;" "&amp;C569</f>
        <v>3/8" Hex BB RS-550 16</v>
      </c>
      <c r="E569" s="167" t="n">
        <v>7</v>
      </c>
      <c r="F569" s="167" t="n">
        <v>3</v>
      </c>
      <c r="G569" s="167" t="n">
        <v>0</v>
      </c>
      <c r="H569" s="167" t="n">
        <v>0</v>
      </c>
      <c r="I569" s="167" t="n">
        <v>5</v>
      </c>
    </row>
    <row r="570" customFormat="false" ht="14.25" hidden="false" customHeight="true" outlineLevel="0" collapsed="false">
      <c r="A570" s="167" t="s">
        <v>246</v>
      </c>
      <c r="B570" s="167" t="s">
        <v>237</v>
      </c>
      <c r="C570" s="167" t="n">
        <v>20</v>
      </c>
      <c r="D570" s="167" t="str">
        <f aca="false">A570&amp;" "&amp;B570&amp;" "&amp;C570</f>
        <v>3/8" Hex BB RS-550 20</v>
      </c>
      <c r="E570" s="167" t="n">
        <v>5</v>
      </c>
      <c r="F570" s="167" t="n">
        <v>1</v>
      </c>
      <c r="G570" s="167" t="n">
        <v>0</v>
      </c>
      <c r="H570" s="167" t="n">
        <v>0</v>
      </c>
      <c r="I570" s="167" t="n">
        <v>4</v>
      </c>
    </row>
    <row r="571" customFormat="false" ht="14.25" hidden="false" customHeight="true" outlineLevel="0" collapsed="false">
      <c r="A571" s="167" t="s">
        <v>246</v>
      </c>
      <c r="B571" s="167" t="s">
        <v>237</v>
      </c>
      <c r="C571" s="167" t="n">
        <v>21</v>
      </c>
      <c r="D571" s="167" t="str">
        <f aca="false">A571&amp;" "&amp;B571&amp;" "&amp;C571</f>
        <v>3/8" Hex BB RS-550 21</v>
      </c>
      <c r="E571" s="167" t="n">
        <v>5</v>
      </c>
      <c r="F571" s="167" t="n">
        <v>1</v>
      </c>
      <c r="G571" s="167" t="n">
        <v>0</v>
      </c>
      <c r="H571" s="167" t="n">
        <v>0</v>
      </c>
      <c r="I571" s="167" t="n">
        <v>4</v>
      </c>
    </row>
    <row r="572" customFormat="false" ht="14.25" hidden="false" customHeight="true" outlineLevel="0" collapsed="false">
      <c r="A572" s="167" t="s">
        <v>246</v>
      </c>
      <c r="B572" s="167" t="s">
        <v>237</v>
      </c>
      <c r="C572" s="167" t="n">
        <v>25</v>
      </c>
      <c r="D572" s="167" t="str">
        <f aca="false">A572&amp;" "&amp;B572&amp;" "&amp;C572</f>
        <v>3/8" Hex BB RS-550 25</v>
      </c>
      <c r="E572" s="167" t="n">
        <v>4</v>
      </c>
      <c r="F572" s="167" t="n">
        <v>1</v>
      </c>
      <c r="G572" s="167" t="n">
        <v>0</v>
      </c>
      <c r="H572" s="167" t="n">
        <v>0</v>
      </c>
      <c r="I572" s="167" t="n">
        <v>3</v>
      </c>
    </row>
    <row r="573" customFormat="false" ht="14.25" hidden="false" customHeight="true" outlineLevel="0" collapsed="false">
      <c r="A573" s="167" t="s">
        <v>246</v>
      </c>
      <c r="B573" s="167" t="s">
        <v>237</v>
      </c>
      <c r="C573" s="167" t="n">
        <v>27</v>
      </c>
      <c r="D573" s="167" t="str">
        <f aca="false">A573&amp;" "&amp;B573&amp;" "&amp;C573</f>
        <v>3/8" Hex BB RS-550 27</v>
      </c>
      <c r="E573" s="167" t="n">
        <v>4</v>
      </c>
      <c r="F573" s="167" t="n">
        <v>1</v>
      </c>
      <c r="G573" s="167" t="n">
        <v>0</v>
      </c>
      <c r="H573" s="167" t="n">
        <v>0</v>
      </c>
      <c r="I573" s="167" t="n">
        <v>3</v>
      </c>
    </row>
    <row r="574" customFormat="false" ht="14.25" hidden="false" customHeight="true" outlineLevel="0" collapsed="false">
      <c r="A574" s="167" t="s">
        <v>246</v>
      </c>
      <c r="B574" s="167" t="s">
        <v>237</v>
      </c>
      <c r="C574" s="167" t="n">
        <v>28</v>
      </c>
      <c r="D574" s="167" t="str">
        <f aca="false">A574&amp;" "&amp;B574&amp;" "&amp;C574</f>
        <v>3/8" Hex BB RS-550 28</v>
      </c>
      <c r="E574" s="167" t="n">
        <v>4</v>
      </c>
      <c r="F574" s="167" t="n">
        <v>1</v>
      </c>
      <c r="G574" s="167" t="n">
        <v>0</v>
      </c>
      <c r="H574" s="167" t="n">
        <v>0</v>
      </c>
      <c r="I574" s="167" t="n">
        <v>3</v>
      </c>
    </row>
    <row r="575" customFormat="false" ht="14.25" hidden="false" customHeight="true" outlineLevel="0" collapsed="false">
      <c r="A575" s="167" t="s">
        <v>246</v>
      </c>
      <c r="B575" s="167" t="s">
        <v>237</v>
      </c>
      <c r="C575" s="167" t="n">
        <v>30</v>
      </c>
      <c r="D575" s="167" t="str">
        <f aca="false">A575&amp;" "&amp;B575&amp;" "&amp;C575</f>
        <v>3/8" Hex BB RS-550 30</v>
      </c>
      <c r="E575" s="167" t="n">
        <v>3</v>
      </c>
      <c r="F575" s="167" t="n">
        <v>1</v>
      </c>
      <c r="G575" s="167" t="n">
        <v>0</v>
      </c>
      <c r="H575" s="167" t="n">
        <v>0</v>
      </c>
      <c r="I575" s="167" t="n">
        <v>3</v>
      </c>
    </row>
    <row r="576" customFormat="false" ht="14.25" hidden="false" customHeight="true" outlineLevel="0" collapsed="false">
      <c r="A576" s="167" t="s">
        <v>246</v>
      </c>
      <c r="B576" s="167" t="s">
        <v>237</v>
      </c>
      <c r="C576" s="167" t="n">
        <v>35</v>
      </c>
      <c r="D576" s="167" t="str">
        <f aca="false">A576&amp;" "&amp;B576&amp;" "&amp;C576</f>
        <v>3/8" Hex BB RS-550 35</v>
      </c>
      <c r="E576" s="167" t="n">
        <v>3</v>
      </c>
      <c r="F576" s="167" t="n">
        <v>1</v>
      </c>
      <c r="G576" s="167" t="n">
        <v>0</v>
      </c>
      <c r="H576" s="167" t="n">
        <v>0</v>
      </c>
      <c r="I576" s="167" t="n">
        <v>1</v>
      </c>
    </row>
    <row r="577" customFormat="false" ht="14.25" hidden="false" customHeight="true" outlineLevel="0" collapsed="false">
      <c r="A577" s="167" t="s">
        <v>246</v>
      </c>
      <c r="B577" s="167" t="s">
        <v>237</v>
      </c>
      <c r="C577" s="167" t="n">
        <v>36</v>
      </c>
      <c r="D577" s="167" t="str">
        <f aca="false">A577&amp;" "&amp;B577&amp;" "&amp;C577</f>
        <v>3/8" Hex BB RS-550 36</v>
      </c>
      <c r="E577" s="167" t="n">
        <v>3</v>
      </c>
      <c r="F577" s="167" t="n">
        <v>1</v>
      </c>
      <c r="G577" s="167" t="n">
        <v>0</v>
      </c>
      <c r="H577" s="167" t="n">
        <v>0</v>
      </c>
      <c r="I577" s="167" t="n">
        <v>1</v>
      </c>
    </row>
    <row r="578" customFormat="false" ht="14.25" hidden="false" customHeight="true" outlineLevel="0" collapsed="false">
      <c r="A578" s="167" t="s">
        <v>246</v>
      </c>
      <c r="B578" s="167" t="s">
        <v>237</v>
      </c>
      <c r="C578" s="167" t="n">
        <v>40</v>
      </c>
      <c r="D578" s="167" t="str">
        <f aca="false">A578&amp;" "&amp;B578&amp;" "&amp;C578</f>
        <v>3/8" Hex BB RS-550 40</v>
      </c>
      <c r="E578" s="167" t="n">
        <v>1</v>
      </c>
      <c r="F578" s="167" t="n">
        <v>1</v>
      </c>
      <c r="G578" s="167" t="n">
        <v>0</v>
      </c>
      <c r="H578" s="167" t="n">
        <v>0</v>
      </c>
      <c r="I578" s="167" t="n">
        <v>5</v>
      </c>
    </row>
    <row r="579" customFormat="false" ht="14.25" hidden="false" customHeight="true" outlineLevel="0" collapsed="false">
      <c r="A579" s="167" t="s">
        <v>246</v>
      </c>
      <c r="B579" s="167" t="s">
        <v>237</v>
      </c>
      <c r="C579" s="167" t="n">
        <v>45</v>
      </c>
      <c r="D579" s="167" t="str">
        <f aca="false">A579&amp;" "&amp;B579&amp;" "&amp;C579</f>
        <v>3/8" Hex BB RS-550 45</v>
      </c>
      <c r="E579" s="167" t="n">
        <v>1</v>
      </c>
      <c r="F579" s="167" t="n">
        <v>1</v>
      </c>
      <c r="G579" s="167" t="n">
        <v>0</v>
      </c>
      <c r="H579" s="167" t="n">
        <v>0</v>
      </c>
      <c r="I579" s="167" t="n">
        <v>4</v>
      </c>
    </row>
    <row r="580" customFormat="false" ht="14.25" hidden="false" customHeight="true" outlineLevel="0" collapsed="false">
      <c r="A580" s="167" t="s">
        <v>246</v>
      </c>
      <c r="B580" s="167" t="s">
        <v>237</v>
      </c>
      <c r="C580" s="167" t="n">
        <v>49</v>
      </c>
      <c r="D580" s="167" t="str">
        <f aca="false">A580&amp;" "&amp;B580&amp;" "&amp;C580</f>
        <v>3/8" Hex BB RS-550 49</v>
      </c>
      <c r="E580" s="167" t="n">
        <v>1</v>
      </c>
      <c r="F580" s="167" t="n">
        <v>1</v>
      </c>
      <c r="G580" s="167" t="n">
        <v>0</v>
      </c>
      <c r="H580" s="167" t="n">
        <v>0</v>
      </c>
      <c r="I580" s="167" t="n">
        <v>4</v>
      </c>
    </row>
    <row r="581" customFormat="false" ht="14.25" hidden="false" customHeight="true" outlineLevel="0" collapsed="false">
      <c r="A581" s="167" t="s">
        <v>246</v>
      </c>
      <c r="B581" s="167" t="s">
        <v>237</v>
      </c>
      <c r="C581" s="167" t="n">
        <v>50</v>
      </c>
      <c r="D581" s="167" t="str">
        <f aca="false">A581&amp;" "&amp;B581&amp;" "&amp;C581</f>
        <v>3/8" Hex BB RS-550 50</v>
      </c>
      <c r="E581" s="167" t="n">
        <v>1</v>
      </c>
      <c r="F581" s="167" t="n">
        <v>1</v>
      </c>
      <c r="G581" s="167" t="n">
        <v>0</v>
      </c>
      <c r="H581" s="167" t="n">
        <v>0</v>
      </c>
      <c r="I581" s="167" t="n">
        <v>1</v>
      </c>
    </row>
    <row r="582" customFormat="false" ht="14.25" hidden="false" customHeight="true" outlineLevel="0" collapsed="false">
      <c r="A582" s="167" t="s">
        <v>246</v>
      </c>
      <c r="B582" s="167" t="s">
        <v>237</v>
      </c>
      <c r="C582" s="167" t="n">
        <v>63</v>
      </c>
      <c r="D582" s="167" t="str">
        <f aca="false">A582&amp;" "&amp;B582&amp;" "&amp;C582</f>
        <v>3/8" Hex BB RS-550 63</v>
      </c>
      <c r="E582" s="167" t="n">
        <v>1</v>
      </c>
      <c r="F582" s="167" t="n">
        <v>0</v>
      </c>
      <c r="G582" s="167" t="n">
        <v>0</v>
      </c>
      <c r="H582" s="167" t="n">
        <v>0</v>
      </c>
      <c r="I582" s="167" t="n">
        <v>1</v>
      </c>
    </row>
    <row r="583" customFormat="false" ht="14.25" hidden="false" customHeight="true" outlineLevel="0" collapsed="false">
      <c r="A583" s="167" t="s">
        <v>246</v>
      </c>
      <c r="B583" s="167" t="s">
        <v>237</v>
      </c>
      <c r="C583" s="167" t="n">
        <v>70</v>
      </c>
      <c r="D583" s="167" t="str">
        <f aca="false">A583&amp;" "&amp;B583&amp;" "&amp;C583</f>
        <v>3/8" Hex BB RS-550 70</v>
      </c>
      <c r="E583" s="167" t="n">
        <v>1</v>
      </c>
      <c r="F583" s="167" t="n">
        <v>0</v>
      </c>
      <c r="G583" s="167" t="n">
        <v>0</v>
      </c>
      <c r="H583" s="167" t="n">
        <v>0</v>
      </c>
      <c r="I583" s="167" t="n">
        <v>1</v>
      </c>
    </row>
    <row r="584" customFormat="false" ht="14.25" hidden="false" customHeight="true" outlineLevel="0" collapsed="false">
      <c r="A584" s="167" t="s">
        <v>246</v>
      </c>
      <c r="B584" s="167" t="s">
        <v>237</v>
      </c>
      <c r="C584" s="167" t="n">
        <v>81</v>
      </c>
      <c r="D584" s="167" t="str">
        <f aca="false">A584&amp;" "&amp;B584&amp;" "&amp;C584</f>
        <v>3/8" Hex BB RS-550 81</v>
      </c>
      <c r="E584" s="167" t="n">
        <v>1</v>
      </c>
      <c r="F584" s="167" t="n">
        <v>0</v>
      </c>
      <c r="G584" s="167" t="n">
        <v>0</v>
      </c>
      <c r="H584" s="167" t="n">
        <v>0</v>
      </c>
      <c r="I584" s="167" t="n">
        <v>1</v>
      </c>
    </row>
    <row r="585" customFormat="false" ht="14.25" hidden="false" customHeight="true" outlineLevel="0" collapsed="false">
      <c r="A585" s="167" t="s">
        <v>246</v>
      </c>
      <c r="B585" s="167" t="s">
        <v>237</v>
      </c>
      <c r="C585" s="167" t="n">
        <v>90</v>
      </c>
      <c r="D585" s="167" t="str">
        <f aca="false">A585&amp;" "&amp;B585&amp;" "&amp;C585</f>
        <v>3/8" Hex BB RS-550 90</v>
      </c>
      <c r="E585" s="167" t="n">
        <v>1</v>
      </c>
      <c r="F585" s="167" t="n">
        <v>0</v>
      </c>
      <c r="G585" s="167" t="n">
        <v>0</v>
      </c>
      <c r="H585" s="167" t="n">
        <v>0</v>
      </c>
      <c r="I585" s="167" t="n">
        <v>1</v>
      </c>
    </row>
    <row r="586" customFormat="false" ht="14.25" hidden="false" customHeight="true" outlineLevel="0" collapsed="false">
      <c r="A586" s="167" t="s">
        <v>246</v>
      </c>
      <c r="B586" s="167" t="s">
        <v>237</v>
      </c>
      <c r="C586" s="167" t="n">
        <v>100</v>
      </c>
      <c r="D586" s="167" t="str">
        <f aca="false">A586&amp;" "&amp;B586&amp;" "&amp;C586</f>
        <v>3/8" Hex BB RS-550 100</v>
      </c>
      <c r="E586" s="167" t="n">
        <v>1</v>
      </c>
      <c r="F586" s="167" t="n">
        <v>0</v>
      </c>
      <c r="G586" s="167" t="n">
        <v>0</v>
      </c>
      <c r="H586" s="167" t="n">
        <v>0</v>
      </c>
      <c r="I586" s="167" t="n">
        <v>0</v>
      </c>
    </row>
    <row r="587" customFormat="false" ht="14.25" hidden="false" customHeight="true" outlineLevel="0" collapsed="false">
      <c r="A587" s="167" t="s">
        <v>246</v>
      </c>
      <c r="B587" s="167" t="s">
        <v>239</v>
      </c>
      <c r="C587" s="167" t="n">
        <v>-3</v>
      </c>
      <c r="D587" s="167" t="str">
        <f aca="false">A587&amp;" "&amp;B587&amp;" "&amp;C587</f>
        <v>3/8" Hex BB RS-775 -3</v>
      </c>
      <c r="E587" s="167" t="n">
        <v>1</v>
      </c>
      <c r="F587" s="167" t="n">
        <v>1</v>
      </c>
      <c r="G587" s="167" t="n">
        <v>0</v>
      </c>
      <c r="H587" s="167" t="n">
        <v>0</v>
      </c>
      <c r="I587" s="167" t="n">
        <v>1</v>
      </c>
    </row>
    <row r="588" customFormat="false" ht="14.25" hidden="false" customHeight="true" outlineLevel="0" collapsed="false">
      <c r="A588" s="167" t="s">
        <v>246</v>
      </c>
      <c r="B588" s="167" t="s">
        <v>239</v>
      </c>
      <c r="C588" s="167" t="n">
        <v>-4</v>
      </c>
      <c r="D588" s="167" t="str">
        <f aca="false">A588&amp;" "&amp;B588&amp;" "&amp;C588</f>
        <v>3/8" Hex BB RS-775 -4</v>
      </c>
      <c r="E588" s="167" t="n">
        <v>1</v>
      </c>
      <c r="F588" s="167" t="n">
        <v>1</v>
      </c>
      <c r="G588" s="167" t="n">
        <v>0</v>
      </c>
      <c r="H588" s="167" t="n">
        <v>0</v>
      </c>
      <c r="I588" s="167" t="n">
        <v>1</v>
      </c>
    </row>
    <row r="589" customFormat="false" ht="14.25" hidden="false" customHeight="true" outlineLevel="0" collapsed="false">
      <c r="A589" s="167" t="s">
        <v>246</v>
      </c>
      <c r="B589" s="167" t="s">
        <v>239</v>
      </c>
      <c r="C589" s="167" t="n">
        <v>-5</v>
      </c>
      <c r="D589" s="167" t="str">
        <f aca="false">A589&amp;" "&amp;B589&amp;" "&amp;C589</f>
        <v>3/8" Hex BB RS-775 -5</v>
      </c>
      <c r="E589" s="167" t="n">
        <v>1</v>
      </c>
      <c r="F589" s="167" t="n">
        <v>1</v>
      </c>
      <c r="G589" s="167" t="n">
        <v>0</v>
      </c>
      <c r="H589" s="167" t="n">
        <v>0</v>
      </c>
      <c r="I589" s="167" t="n">
        <v>1</v>
      </c>
    </row>
    <row r="590" customFormat="false" ht="14.25" hidden="false" customHeight="true" outlineLevel="0" collapsed="false">
      <c r="A590" s="167" t="s">
        <v>246</v>
      </c>
      <c r="B590" s="167" t="s">
        <v>239</v>
      </c>
      <c r="C590" s="167" t="n">
        <v>-7</v>
      </c>
      <c r="D590" s="167" t="str">
        <f aca="false">A590&amp;" "&amp;B590&amp;" "&amp;C590</f>
        <v>3/8" Hex BB RS-775 -7</v>
      </c>
      <c r="E590" s="167" t="n">
        <v>1</v>
      </c>
      <c r="F590" s="167" t="n">
        <v>1</v>
      </c>
      <c r="G590" s="167" t="n">
        <v>0</v>
      </c>
      <c r="H590" s="167" t="n">
        <v>0</v>
      </c>
      <c r="I590" s="167" t="n">
        <v>1</v>
      </c>
    </row>
    <row r="591" customFormat="false" ht="14.25" hidden="false" customHeight="true" outlineLevel="0" collapsed="false">
      <c r="A591" s="167" t="s">
        <v>246</v>
      </c>
      <c r="B591" s="167" t="s">
        <v>239</v>
      </c>
      <c r="C591" s="167" t="n">
        <v>-9</v>
      </c>
      <c r="D591" s="167" t="str">
        <f aca="false">A591&amp;" "&amp;B591&amp;" "&amp;C591</f>
        <v>3/8" Hex BB RS-775 -9</v>
      </c>
      <c r="E591" s="167" t="n">
        <v>1</v>
      </c>
      <c r="F591" s="167" t="n">
        <v>1</v>
      </c>
      <c r="G591" s="167" t="n">
        <v>0</v>
      </c>
      <c r="H591" s="167" t="n">
        <v>0</v>
      </c>
      <c r="I591" s="167" t="n">
        <v>1</v>
      </c>
    </row>
    <row r="592" customFormat="false" ht="14.25" hidden="false" customHeight="true" outlineLevel="0" collapsed="false">
      <c r="A592" s="167" t="s">
        <v>246</v>
      </c>
      <c r="B592" s="167" t="s">
        <v>239</v>
      </c>
      <c r="C592" s="167" t="n">
        <v>-10</v>
      </c>
      <c r="D592" s="167" t="str">
        <f aca="false">A592&amp;" "&amp;B592&amp;" "&amp;C592</f>
        <v>3/8" Hex BB RS-775 -10</v>
      </c>
      <c r="E592" s="167" t="n">
        <v>1</v>
      </c>
      <c r="F592" s="167" t="n">
        <v>1</v>
      </c>
      <c r="G592" s="167" t="n">
        <v>0</v>
      </c>
      <c r="H592" s="167" t="n">
        <v>0</v>
      </c>
      <c r="I592" s="167" t="n">
        <v>1</v>
      </c>
    </row>
    <row r="593" customFormat="false" ht="14.25" hidden="false" customHeight="true" outlineLevel="0" collapsed="false">
      <c r="A593" s="167" t="s">
        <v>246</v>
      </c>
      <c r="B593" s="167" t="s">
        <v>239</v>
      </c>
      <c r="C593" s="167" t="n">
        <v>9</v>
      </c>
      <c r="D593" s="167" t="str">
        <f aca="false">A593&amp;" "&amp;B593&amp;" "&amp;C593</f>
        <v>3/8" Hex BB RS-775 9</v>
      </c>
      <c r="E593" s="167" t="n">
        <v>7</v>
      </c>
      <c r="F593" s="167" t="n">
        <v>3</v>
      </c>
      <c r="G593" s="167" t="n">
        <v>0</v>
      </c>
      <c r="H593" s="167" t="n">
        <v>0</v>
      </c>
      <c r="I593" s="167" t="n">
        <v>10</v>
      </c>
    </row>
    <row r="594" customFormat="false" ht="14.25" hidden="false" customHeight="true" outlineLevel="0" collapsed="false">
      <c r="A594" s="167" t="s">
        <v>246</v>
      </c>
      <c r="B594" s="167" t="s">
        <v>239</v>
      </c>
      <c r="C594" s="167" t="n">
        <v>12</v>
      </c>
      <c r="D594" s="167" t="str">
        <f aca="false">A594&amp;" "&amp;B594&amp;" "&amp;C594</f>
        <v>3/8" Hex BB RS-775 12</v>
      </c>
      <c r="E594" s="167" t="n">
        <v>5</v>
      </c>
      <c r="F594" s="167" t="n">
        <v>1</v>
      </c>
      <c r="G594" s="167" t="n">
        <v>0</v>
      </c>
      <c r="H594" s="167" t="n">
        <v>0</v>
      </c>
      <c r="I594" s="167" t="n">
        <v>10</v>
      </c>
    </row>
    <row r="595" customFormat="false" ht="14.25" hidden="false" customHeight="true" outlineLevel="0" collapsed="false">
      <c r="A595" s="167" t="s">
        <v>246</v>
      </c>
      <c r="B595" s="167" t="s">
        <v>239</v>
      </c>
      <c r="C595" s="167" t="n">
        <v>15</v>
      </c>
      <c r="D595" s="167" t="str">
        <f aca="false">A595&amp;" "&amp;B595&amp;" "&amp;C595</f>
        <v>3/8" Hex BB RS-775 15</v>
      </c>
      <c r="E595" s="167" t="n">
        <v>4</v>
      </c>
      <c r="F595" s="167" t="n">
        <v>1</v>
      </c>
      <c r="G595" s="167" t="n">
        <v>0</v>
      </c>
      <c r="H595" s="167" t="n">
        <v>0</v>
      </c>
      <c r="I595" s="167" t="n">
        <v>7</v>
      </c>
    </row>
    <row r="596" customFormat="false" ht="14.25" hidden="false" customHeight="true" outlineLevel="0" collapsed="false">
      <c r="A596" s="167" t="s">
        <v>246</v>
      </c>
      <c r="B596" s="167" t="s">
        <v>239</v>
      </c>
      <c r="C596" s="167" t="n">
        <v>16</v>
      </c>
      <c r="D596" s="167" t="str">
        <f aca="false">A596&amp;" "&amp;B596&amp;" "&amp;C596</f>
        <v>3/8" Hex BB RS-775 16</v>
      </c>
      <c r="E596" s="167" t="n">
        <v>4</v>
      </c>
      <c r="F596" s="167" t="n">
        <v>1</v>
      </c>
      <c r="G596" s="167" t="n">
        <v>0</v>
      </c>
      <c r="H596" s="167" t="n">
        <v>0</v>
      </c>
      <c r="I596" s="167" t="n">
        <v>7</v>
      </c>
    </row>
    <row r="597" customFormat="false" ht="14.25" hidden="false" customHeight="true" outlineLevel="0" collapsed="false">
      <c r="A597" s="167" t="s">
        <v>246</v>
      </c>
      <c r="B597" s="167" t="s">
        <v>239</v>
      </c>
      <c r="C597" s="167" t="n">
        <v>20</v>
      </c>
      <c r="D597" s="167" t="str">
        <f aca="false">A597&amp;" "&amp;B597&amp;" "&amp;C597</f>
        <v>3/8" Hex BB RS-775 20</v>
      </c>
      <c r="E597" s="167" t="n">
        <v>3</v>
      </c>
      <c r="F597" s="167" t="n">
        <v>1</v>
      </c>
      <c r="G597" s="167" t="n">
        <v>0</v>
      </c>
      <c r="H597" s="167" t="n">
        <v>0</v>
      </c>
      <c r="I597" s="167" t="n">
        <v>5</v>
      </c>
    </row>
    <row r="598" customFormat="false" ht="14.25" hidden="false" customHeight="true" outlineLevel="0" collapsed="false">
      <c r="A598" s="167" t="s">
        <v>246</v>
      </c>
      <c r="B598" s="167" t="s">
        <v>239</v>
      </c>
      <c r="C598" s="167" t="n">
        <v>21</v>
      </c>
      <c r="D598" s="167" t="str">
        <f aca="false">A598&amp;" "&amp;B598&amp;" "&amp;C598</f>
        <v>3/8" Hex BB RS-775 21</v>
      </c>
      <c r="E598" s="167" t="n">
        <v>3</v>
      </c>
      <c r="F598" s="167" t="n">
        <v>1</v>
      </c>
      <c r="G598" s="167" t="n">
        <v>0</v>
      </c>
      <c r="H598" s="167" t="n">
        <v>0</v>
      </c>
      <c r="I598" s="167" t="n">
        <v>5</v>
      </c>
    </row>
    <row r="599" customFormat="false" ht="14.25" hidden="false" customHeight="true" outlineLevel="0" collapsed="false">
      <c r="A599" s="167" t="s">
        <v>246</v>
      </c>
      <c r="B599" s="167" t="s">
        <v>239</v>
      </c>
      <c r="C599" s="167" t="n">
        <v>25</v>
      </c>
      <c r="D599" s="167" t="str">
        <f aca="false">A599&amp;" "&amp;B599&amp;" "&amp;C599</f>
        <v>3/8" Hex BB RS-775 25</v>
      </c>
      <c r="E599" s="167" t="n">
        <v>1</v>
      </c>
      <c r="F599" s="167" t="n">
        <v>1</v>
      </c>
      <c r="G599" s="167" t="n">
        <v>0</v>
      </c>
      <c r="H599" s="167" t="n">
        <v>0</v>
      </c>
      <c r="I599" s="167" t="n">
        <v>5</v>
      </c>
    </row>
    <row r="600" customFormat="false" ht="14.25" hidden="false" customHeight="true" outlineLevel="0" collapsed="false">
      <c r="A600" s="167" t="s">
        <v>246</v>
      </c>
      <c r="B600" s="167" t="s">
        <v>239</v>
      </c>
      <c r="C600" s="167" t="n">
        <v>27</v>
      </c>
      <c r="D600" s="167" t="str">
        <f aca="false">A600&amp;" "&amp;B600&amp;" "&amp;C600</f>
        <v>3/8" Hex BB RS-775 27</v>
      </c>
      <c r="E600" s="167" t="n">
        <v>1</v>
      </c>
      <c r="F600" s="167" t="n">
        <v>1</v>
      </c>
      <c r="G600" s="167" t="n">
        <v>0</v>
      </c>
      <c r="H600" s="167" t="n">
        <v>0</v>
      </c>
      <c r="I600" s="167" t="n">
        <v>4</v>
      </c>
    </row>
    <row r="601" customFormat="false" ht="14.25" hidden="false" customHeight="true" outlineLevel="0" collapsed="false">
      <c r="A601" s="167" t="s">
        <v>246</v>
      </c>
      <c r="B601" s="167" t="s">
        <v>239</v>
      </c>
      <c r="C601" s="167" t="n">
        <v>28</v>
      </c>
      <c r="D601" s="167" t="str">
        <f aca="false">A601&amp;" "&amp;B601&amp;" "&amp;C601</f>
        <v>3/8" Hex BB RS-775 28</v>
      </c>
      <c r="E601" s="167" t="n">
        <v>1</v>
      </c>
      <c r="F601" s="167" t="n">
        <v>1</v>
      </c>
      <c r="G601" s="167" t="n">
        <v>0</v>
      </c>
      <c r="H601" s="167" t="n">
        <v>0</v>
      </c>
      <c r="I601" s="167" t="n">
        <v>4</v>
      </c>
    </row>
    <row r="602" customFormat="false" ht="14.25" hidden="false" customHeight="true" outlineLevel="0" collapsed="false">
      <c r="A602" s="167" t="s">
        <v>246</v>
      </c>
      <c r="B602" s="167" t="s">
        <v>239</v>
      </c>
      <c r="C602" s="167" t="n">
        <v>30</v>
      </c>
      <c r="D602" s="167" t="str">
        <f aca="false">A602&amp;" "&amp;B602&amp;" "&amp;C602</f>
        <v>3/8" Hex BB RS-775 30</v>
      </c>
      <c r="E602" s="167" t="n">
        <v>1</v>
      </c>
      <c r="F602" s="167" t="n">
        <v>1</v>
      </c>
      <c r="G602" s="167" t="n">
        <v>0</v>
      </c>
      <c r="H602" s="167" t="n">
        <v>0</v>
      </c>
      <c r="I602" s="167" t="n">
        <v>4</v>
      </c>
    </row>
    <row r="603" customFormat="false" ht="14.25" hidden="false" customHeight="true" outlineLevel="0" collapsed="false">
      <c r="A603" s="167" t="s">
        <v>246</v>
      </c>
      <c r="B603" s="167" t="s">
        <v>239</v>
      </c>
      <c r="C603" s="167" t="n">
        <v>35</v>
      </c>
      <c r="D603" s="167" t="str">
        <f aca="false">A603&amp;" "&amp;B603&amp;" "&amp;C603</f>
        <v>3/8" Hex BB RS-775 35</v>
      </c>
      <c r="E603" s="167" t="n">
        <v>1</v>
      </c>
      <c r="F603" s="167" t="n">
        <v>1</v>
      </c>
      <c r="G603" s="167" t="n">
        <v>0</v>
      </c>
      <c r="H603" s="167" t="n">
        <v>0</v>
      </c>
      <c r="I603" s="167" t="n">
        <v>3</v>
      </c>
    </row>
    <row r="604" customFormat="false" ht="14.25" hidden="false" customHeight="true" outlineLevel="0" collapsed="false">
      <c r="A604" s="167" t="s">
        <v>246</v>
      </c>
      <c r="B604" s="167" t="s">
        <v>239</v>
      </c>
      <c r="C604" s="167" t="n">
        <v>36</v>
      </c>
      <c r="D604" s="167" t="str">
        <f aca="false">A604&amp;" "&amp;B604&amp;" "&amp;C604</f>
        <v>3/8" Hex BB RS-775 36</v>
      </c>
      <c r="E604" s="167" t="n">
        <v>1</v>
      </c>
      <c r="F604" s="167" t="n">
        <v>0</v>
      </c>
      <c r="G604" s="167" t="n">
        <v>0</v>
      </c>
      <c r="H604" s="167" t="n">
        <v>0</v>
      </c>
      <c r="I604" s="167" t="n">
        <v>3</v>
      </c>
    </row>
    <row r="605" customFormat="false" ht="14.25" hidden="false" customHeight="true" outlineLevel="0" collapsed="false">
      <c r="A605" s="167" t="s">
        <v>246</v>
      </c>
      <c r="B605" s="167" t="s">
        <v>239</v>
      </c>
      <c r="C605" s="167" t="n">
        <v>40</v>
      </c>
      <c r="D605" s="167" t="str">
        <f aca="false">A605&amp;" "&amp;B605&amp;" "&amp;C605</f>
        <v>3/8" Hex BB RS-775 40</v>
      </c>
      <c r="E605" s="167" t="n">
        <v>1</v>
      </c>
      <c r="F605" s="167" t="n">
        <v>0</v>
      </c>
      <c r="G605" s="167" t="n">
        <v>0</v>
      </c>
      <c r="H605" s="167" t="n">
        <v>0</v>
      </c>
      <c r="I605" s="167" t="n">
        <v>3</v>
      </c>
    </row>
    <row r="606" customFormat="false" ht="14.25" hidden="false" customHeight="true" outlineLevel="0" collapsed="false">
      <c r="A606" s="167" t="s">
        <v>246</v>
      </c>
      <c r="B606" s="167" t="s">
        <v>239</v>
      </c>
      <c r="C606" s="167" t="n">
        <v>45</v>
      </c>
      <c r="D606" s="167" t="str">
        <f aca="false">A606&amp;" "&amp;B606&amp;" "&amp;C606</f>
        <v>3/8" Hex BB RS-775 45</v>
      </c>
      <c r="E606" s="167" t="n">
        <v>1</v>
      </c>
      <c r="F606" s="167" t="n">
        <v>0</v>
      </c>
      <c r="G606" s="167" t="n">
        <v>0</v>
      </c>
      <c r="H606" s="167" t="n">
        <v>0</v>
      </c>
      <c r="I606" s="167" t="n">
        <v>1</v>
      </c>
    </row>
    <row r="607" customFormat="false" ht="14.25" hidden="false" customHeight="true" outlineLevel="0" collapsed="false">
      <c r="A607" s="167" t="s">
        <v>246</v>
      </c>
      <c r="B607" s="167" t="s">
        <v>239</v>
      </c>
      <c r="C607" s="167" t="n">
        <v>49</v>
      </c>
      <c r="D607" s="167" t="str">
        <f aca="false">A607&amp;" "&amp;B607&amp;" "&amp;C607</f>
        <v>3/8" Hex BB RS-775 49</v>
      </c>
      <c r="E607" s="167" t="n">
        <v>1</v>
      </c>
      <c r="F607" s="167" t="n">
        <v>0</v>
      </c>
      <c r="G607" s="167" t="n">
        <v>0</v>
      </c>
      <c r="H607" s="167" t="n">
        <v>0</v>
      </c>
      <c r="I607" s="167" t="n">
        <v>1</v>
      </c>
    </row>
    <row r="608" customFormat="false" ht="14.25" hidden="false" customHeight="true" outlineLevel="0" collapsed="false">
      <c r="A608" s="167" t="s">
        <v>246</v>
      </c>
      <c r="B608" s="167" t="s">
        <v>239</v>
      </c>
      <c r="C608" s="167" t="n">
        <v>50</v>
      </c>
      <c r="D608" s="167" t="str">
        <f aca="false">A608&amp;" "&amp;B608&amp;" "&amp;C608</f>
        <v>3/8" Hex BB RS-775 50</v>
      </c>
      <c r="E608" s="167" t="n">
        <v>1</v>
      </c>
      <c r="F608" s="167" t="n">
        <v>0</v>
      </c>
      <c r="G608" s="167" t="n">
        <v>0</v>
      </c>
      <c r="H608" s="167" t="n">
        <v>0</v>
      </c>
      <c r="I608" s="167" t="n">
        <v>1</v>
      </c>
    </row>
    <row r="609" customFormat="false" ht="14.25" hidden="false" customHeight="true" outlineLevel="0" collapsed="false">
      <c r="A609" s="167" t="s">
        <v>246</v>
      </c>
      <c r="B609" s="167" t="s">
        <v>239</v>
      </c>
      <c r="C609" s="167" t="n">
        <v>63</v>
      </c>
      <c r="D609" s="167" t="str">
        <f aca="false">A609&amp;" "&amp;B609&amp;" "&amp;C609</f>
        <v>3/8" Hex BB RS-775 63</v>
      </c>
      <c r="E609" s="167" t="n">
        <v>1</v>
      </c>
      <c r="F609" s="167" t="n">
        <v>0</v>
      </c>
      <c r="G609" s="167" t="n">
        <v>0</v>
      </c>
      <c r="H609" s="167" t="n">
        <v>0</v>
      </c>
      <c r="I609" s="167" t="n">
        <v>1</v>
      </c>
    </row>
    <row r="610" customFormat="false" ht="14.25" hidden="false" customHeight="true" outlineLevel="0" collapsed="false">
      <c r="A610" s="167" t="s">
        <v>246</v>
      </c>
      <c r="B610" s="167" t="s">
        <v>239</v>
      </c>
      <c r="C610" s="167" t="n">
        <v>70</v>
      </c>
      <c r="D610" s="167" t="str">
        <f aca="false">A610&amp;" "&amp;B610&amp;" "&amp;C610</f>
        <v>3/8" Hex BB RS-775 70</v>
      </c>
      <c r="E610" s="167" t="n">
        <v>1</v>
      </c>
      <c r="F610" s="167" t="n">
        <v>0</v>
      </c>
      <c r="G610" s="167" t="n">
        <v>0</v>
      </c>
      <c r="H610" s="167" t="n">
        <v>0</v>
      </c>
      <c r="I610" s="167" t="n">
        <v>1</v>
      </c>
    </row>
    <row r="611" customFormat="false" ht="14.25" hidden="false" customHeight="true" outlineLevel="0" collapsed="false">
      <c r="A611" s="167" t="s">
        <v>246</v>
      </c>
      <c r="B611" s="167" t="s">
        <v>239</v>
      </c>
      <c r="C611" s="167" t="n">
        <v>81</v>
      </c>
      <c r="D611" s="167" t="str">
        <f aca="false">A611&amp;" "&amp;B611&amp;" "&amp;C611</f>
        <v>3/8" Hex BB RS-775 81</v>
      </c>
      <c r="E611" s="167" t="n">
        <v>0</v>
      </c>
      <c r="F611" s="167" t="n">
        <v>0</v>
      </c>
      <c r="G611" s="167" t="n">
        <v>0</v>
      </c>
      <c r="H611" s="167" t="n">
        <v>0</v>
      </c>
      <c r="I611" s="167" t="n">
        <v>1</v>
      </c>
    </row>
    <row r="612" customFormat="false" ht="14.25" hidden="false" customHeight="true" outlineLevel="0" collapsed="false">
      <c r="A612" s="167" t="s">
        <v>246</v>
      </c>
      <c r="B612" s="167" t="s">
        <v>239</v>
      </c>
      <c r="C612" s="167" t="n">
        <v>90</v>
      </c>
      <c r="D612" s="167" t="str">
        <f aca="false">A612&amp;" "&amp;B612&amp;" "&amp;C612</f>
        <v>3/8" Hex BB RS-775 90</v>
      </c>
      <c r="E612" s="167" t="n">
        <v>0</v>
      </c>
      <c r="F612" s="167" t="n">
        <v>0</v>
      </c>
      <c r="G612" s="167" t="n">
        <v>0</v>
      </c>
      <c r="H612" s="167" t="n">
        <v>0</v>
      </c>
      <c r="I612" s="167" t="n">
        <v>1</v>
      </c>
    </row>
    <row r="613" customFormat="false" ht="14.25" hidden="false" customHeight="true" outlineLevel="0" collapsed="false">
      <c r="A613" s="167" t="s">
        <v>246</v>
      </c>
      <c r="B613" s="167" t="s">
        <v>239</v>
      </c>
      <c r="C613" s="167" t="n">
        <v>100</v>
      </c>
      <c r="D613" s="167" t="str">
        <f aca="false">A613&amp;" "&amp;B613&amp;" "&amp;C613</f>
        <v>3/8" Hex BB RS-775 100</v>
      </c>
      <c r="E613" s="167" t="n">
        <v>0</v>
      </c>
      <c r="F613" s="167" t="n">
        <v>0</v>
      </c>
      <c r="G613" s="167" t="n">
        <v>0</v>
      </c>
      <c r="H613" s="167" t="n">
        <v>0</v>
      </c>
      <c r="I613" s="167" t="n">
        <v>1</v>
      </c>
    </row>
    <row r="614" customFormat="false" ht="14.25" hidden="false" customHeight="true" outlineLevel="0" collapsed="false">
      <c r="A614" s="167" t="s">
        <v>246</v>
      </c>
      <c r="B614" s="167" t="s">
        <v>242</v>
      </c>
      <c r="C614" s="167" t="n">
        <v>-3</v>
      </c>
      <c r="D614" s="167" t="str">
        <f aca="false">A614&amp;" "&amp;B614&amp;" "&amp;C614</f>
        <v>3/8" Hex BAG Motor -3</v>
      </c>
      <c r="E614" s="167" t="n">
        <v>1</v>
      </c>
      <c r="F614" s="167" t="n">
        <v>1</v>
      </c>
      <c r="G614" s="167" t="n">
        <v>1</v>
      </c>
      <c r="H614" s="167" t="n">
        <v>0</v>
      </c>
      <c r="I614" s="167" t="n">
        <v>1</v>
      </c>
    </row>
    <row r="615" customFormat="false" ht="14.25" hidden="false" customHeight="true" outlineLevel="0" collapsed="false">
      <c r="A615" s="167" t="s">
        <v>246</v>
      </c>
      <c r="B615" s="167" t="s">
        <v>242</v>
      </c>
      <c r="C615" s="167" t="n">
        <v>-4</v>
      </c>
      <c r="D615" s="167" t="str">
        <f aca="false">A615&amp;" "&amp;B615&amp;" "&amp;C615</f>
        <v>3/8" Hex BAG Motor -4</v>
      </c>
      <c r="E615" s="167" t="n">
        <v>1</v>
      </c>
      <c r="F615" s="167" t="n">
        <v>1</v>
      </c>
      <c r="G615" s="167" t="n">
        <v>1</v>
      </c>
      <c r="H615" s="167" t="n">
        <v>0</v>
      </c>
      <c r="I615" s="167" t="n">
        <v>1</v>
      </c>
    </row>
    <row r="616" customFormat="false" ht="14.25" hidden="false" customHeight="true" outlineLevel="0" collapsed="false">
      <c r="A616" s="167" t="s">
        <v>246</v>
      </c>
      <c r="B616" s="167" t="s">
        <v>242</v>
      </c>
      <c r="C616" s="167" t="n">
        <v>-5</v>
      </c>
      <c r="D616" s="167" t="str">
        <f aca="false">A616&amp;" "&amp;B616&amp;" "&amp;C616</f>
        <v>3/8" Hex BAG Motor -5</v>
      </c>
      <c r="E616" s="167" t="n">
        <v>1</v>
      </c>
      <c r="F616" s="167" t="n">
        <v>1</v>
      </c>
      <c r="G616" s="167" t="n">
        <v>0</v>
      </c>
      <c r="H616" s="167" t="n">
        <v>0</v>
      </c>
      <c r="I616" s="167" t="n">
        <v>1</v>
      </c>
    </row>
    <row r="617" customFormat="false" ht="14.25" hidden="false" customHeight="true" outlineLevel="0" collapsed="false">
      <c r="A617" s="167" t="s">
        <v>246</v>
      </c>
      <c r="B617" s="167" t="s">
        <v>242</v>
      </c>
      <c r="C617" s="167" t="n">
        <v>-7</v>
      </c>
      <c r="D617" s="167" t="str">
        <f aca="false">A617&amp;" "&amp;B617&amp;" "&amp;C617</f>
        <v>3/8" Hex BAG Motor -7</v>
      </c>
      <c r="E617" s="167" t="n">
        <v>1</v>
      </c>
      <c r="F617" s="167" t="n">
        <v>1</v>
      </c>
      <c r="G617" s="167" t="n">
        <v>0</v>
      </c>
      <c r="H617" s="167" t="n">
        <v>0</v>
      </c>
      <c r="I617" s="167" t="n">
        <v>1</v>
      </c>
    </row>
    <row r="618" customFormat="false" ht="14.25" hidden="false" customHeight="true" outlineLevel="0" collapsed="false">
      <c r="A618" s="167" t="s">
        <v>246</v>
      </c>
      <c r="B618" s="167" t="s">
        <v>242</v>
      </c>
      <c r="C618" s="167" t="n">
        <v>-9</v>
      </c>
      <c r="D618" s="167" t="str">
        <f aca="false">A618&amp;" "&amp;B618&amp;" "&amp;C618</f>
        <v>3/8" Hex BAG Motor -9</v>
      </c>
      <c r="E618" s="167" t="n">
        <v>1</v>
      </c>
      <c r="F618" s="167" t="n">
        <v>1</v>
      </c>
      <c r="G618" s="167" t="n">
        <v>0</v>
      </c>
      <c r="H618" s="167" t="n">
        <v>0</v>
      </c>
      <c r="I618" s="167" t="n">
        <v>1</v>
      </c>
    </row>
    <row r="619" customFormat="false" ht="14.25" hidden="false" customHeight="true" outlineLevel="0" collapsed="false">
      <c r="A619" s="167" t="s">
        <v>246</v>
      </c>
      <c r="B619" s="167" t="s">
        <v>242</v>
      </c>
      <c r="C619" s="167" t="n">
        <v>-10</v>
      </c>
      <c r="D619" s="167" t="str">
        <f aca="false">A619&amp;" "&amp;B619&amp;" "&amp;C619</f>
        <v>3/8" Hex BAG Motor -10</v>
      </c>
      <c r="E619" s="167" t="n">
        <v>1</v>
      </c>
      <c r="F619" s="167" t="n">
        <v>1</v>
      </c>
      <c r="G619" s="167" t="n">
        <v>0</v>
      </c>
      <c r="H619" s="167" t="n">
        <v>0</v>
      </c>
      <c r="I619" s="167" t="n">
        <v>1</v>
      </c>
    </row>
    <row r="620" customFormat="false" ht="14.25" hidden="false" customHeight="true" outlineLevel="0" collapsed="false">
      <c r="A620" s="167" t="s">
        <v>246</v>
      </c>
      <c r="B620" s="167" t="s">
        <v>242</v>
      </c>
      <c r="C620" s="167" t="n">
        <v>9</v>
      </c>
      <c r="D620" s="167" t="str">
        <f aca="false">A620&amp;" "&amp;B620&amp;" "&amp;C620</f>
        <v>3/8" Hex BAG Motor 9</v>
      </c>
      <c r="E620" s="167" t="n">
        <v>10</v>
      </c>
      <c r="F620" s="167" t="n">
        <v>5</v>
      </c>
      <c r="G620" s="167" t="n">
        <v>0</v>
      </c>
      <c r="H620" s="167" t="n">
        <v>0</v>
      </c>
      <c r="I620" s="167" t="n">
        <v>9</v>
      </c>
    </row>
    <row r="621" customFormat="false" ht="14.25" hidden="false" customHeight="true" outlineLevel="0" collapsed="false">
      <c r="A621" s="167" t="s">
        <v>246</v>
      </c>
      <c r="B621" s="167" t="s">
        <v>242</v>
      </c>
      <c r="C621" s="167" t="n">
        <v>12</v>
      </c>
      <c r="D621" s="167" t="str">
        <f aca="false">A621&amp;" "&amp;B621&amp;" "&amp;C621</f>
        <v>3/8" Hex BAG Motor 12</v>
      </c>
      <c r="E621" s="167" t="n">
        <v>10</v>
      </c>
      <c r="F621" s="167" t="n">
        <v>5</v>
      </c>
      <c r="G621" s="167" t="n">
        <v>0</v>
      </c>
      <c r="H621" s="167" t="n">
        <v>0</v>
      </c>
      <c r="I621" s="167" t="n">
        <v>5</v>
      </c>
    </row>
    <row r="622" customFormat="false" ht="14.25" hidden="false" customHeight="true" outlineLevel="0" collapsed="false">
      <c r="A622" s="167" t="s">
        <v>246</v>
      </c>
      <c r="B622" s="167" t="s">
        <v>242</v>
      </c>
      <c r="C622" s="167" t="n">
        <v>15</v>
      </c>
      <c r="D622" s="167" t="str">
        <f aca="false">A622&amp;" "&amp;B622&amp;" "&amp;C622</f>
        <v>3/8" Hex BAG Motor 15</v>
      </c>
      <c r="E622" s="167" t="n">
        <v>7</v>
      </c>
      <c r="F622" s="167" t="n">
        <v>4</v>
      </c>
      <c r="G622" s="167" t="n">
        <v>0</v>
      </c>
      <c r="H622" s="167" t="n">
        <v>0</v>
      </c>
      <c r="I622" s="167" t="n">
        <v>5</v>
      </c>
    </row>
    <row r="623" customFormat="false" ht="14.25" hidden="false" customHeight="true" outlineLevel="0" collapsed="false">
      <c r="A623" s="167" t="s">
        <v>246</v>
      </c>
      <c r="B623" s="167" t="s">
        <v>242</v>
      </c>
      <c r="C623" s="167" t="n">
        <v>16</v>
      </c>
      <c r="D623" s="167" t="str">
        <f aca="false">A623&amp;" "&amp;B623&amp;" "&amp;C623</f>
        <v>3/8" Hex BAG Motor 16</v>
      </c>
      <c r="E623" s="167" t="n">
        <v>7</v>
      </c>
      <c r="F623" s="167" t="n">
        <v>3</v>
      </c>
      <c r="G623" s="167" t="n">
        <v>0</v>
      </c>
      <c r="H623" s="167" t="n">
        <v>0</v>
      </c>
      <c r="I623" s="167" t="n">
        <v>5</v>
      </c>
    </row>
    <row r="624" customFormat="false" ht="14.25" hidden="false" customHeight="true" outlineLevel="0" collapsed="false">
      <c r="A624" s="167" t="s">
        <v>246</v>
      </c>
      <c r="B624" s="167" t="s">
        <v>242</v>
      </c>
      <c r="C624" s="167" t="n">
        <v>20</v>
      </c>
      <c r="D624" s="167" t="str">
        <f aca="false">A624&amp;" "&amp;B624&amp;" "&amp;C624</f>
        <v>3/8" Hex BAG Motor 20</v>
      </c>
      <c r="E624" s="167" t="n">
        <v>5</v>
      </c>
      <c r="F624" s="167" t="n">
        <v>3</v>
      </c>
      <c r="G624" s="167" t="n">
        <v>0</v>
      </c>
      <c r="H624" s="167" t="n">
        <v>0</v>
      </c>
      <c r="I624" s="167" t="n">
        <v>4</v>
      </c>
    </row>
    <row r="625" customFormat="false" ht="14.25" hidden="false" customHeight="true" outlineLevel="0" collapsed="false">
      <c r="A625" s="167" t="s">
        <v>246</v>
      </c>
      <c r="B625" s="167" t="s">
        <v>242</v>
      </c>
      <c r="C625" s="167" t="n">
        <v>21</v>
      </c>
      <c r="D625" s="167" t="str">
        <f aca="false">A625&amp;" "&amp;B625&amp;" "&amp;C625</f>
        <v>3/8" Hex BAG Motor 21</v>
      </c>
      <c r="E625" s="167" t="n">
        <v>5</v>
      </c>
      <c r="F625" s="167" t="n">
        <v>1</v>
      </c>
      <c r="G625" s="167" t="n">
        <v>0</v>
      </c>
      <c r="H625" s="167" t="n">
        <v>0</v>
      </c>
      <c r="I625" s="167" t="n">
        <v>3</v>
      </c>
    </row>
    <row r="626" customFormat="false" ht="14.25" hidden="false" customHeight="true" outlineLevel="0" collapsed="false">
      <c r="A626" s="167" t="s">
        <v>246</v>
      </c>
      <c r="B626" s="167" t="s">
        <v>242</v>
      </c>
      <c r="C626" s="167" t="n">
        <v>25</v>
      </c>
      <c r="D626" s="167" t="str">
        <f aca="false">A626&amp;" "&amp;B626&amp;" "&amp;C626</f>
        <v>3/8" Hex BAG Motor 25</v>
      </c>
      <c r="E626" s="167" t="n">
        <v>5</v>
      </c>
      <c r="F626" s="167" t="n">
        <v>1</v>
      </c>
      <c r="G626" s="167" t="n">
        <v>0</v>
      </c>
      <c r="H626" s="167" t="n">
        <v>0</v>
      </c>
      <c r="I626" s="167" t="n">
        <v>3</v>
      </c>
    </row>
    <row r="627" customFormat="false" ht="14.25" hidden="false" customHeight="true" outlineLevel="0" collapsed="false">
      <c r="A627" s="167" t="s">
        <v>246</v>
      </c>
      <c r="B627" s="167" t="s">
        <v>242</v>
      </c>
      <c r="C627" s="167" t="n">
        <v>27</v>
      </c>
      <c r="D627" s="167" t="str">
        <f aca="false">A627&amp;" "&amp;B627&amp;" "&amp;C627</f>
        <v>3/8" Hex BAG Motor 27</v>
      </c>
      <c r="E627" s="167" t="n">
        <v>4</v>
      </c>
      <c r="F627" s="167" t="n">
        <v>1</v>
      </c>
      <c r="G627" s="167" t="n">
        <v>0</v>
      </c>
      <c r="H627" s="167" t="n">
        <v>0</v>
      </c>
      <c r="I627" s="167" t="n">
        <v>3</v>
      </c>
    </row>
    <row r="628" customFormat="false" ht="14.25" hidden="false" customHeight="true" outlineLevel="0" collapsed="false">
      <c r="A628" s="167" t="s">
        <v>246</v>
      </c>
      <c r="B628" s="167" t="s">
        <v>242</v>
      </c>
      <c r="C628" s="167" t="n">
        <v>28</v>
      </c>
      <c r="D628" s="167" t="str">
        <f aca="false">A628&amp;" "&amp;B628&amp;" "&amp;C628</f>
        <v>3/8" Hex BAG Motor 28</v>
      </c>
      <c r="E628" s="167" t="n">
        <v>4</v>
      </c>
      <c r="F628" s="167" t="n">
        <v>1</v>
      </c>
      <c r="G628" s="167" t="n">
        <v>0</v>
      </c>
      <c r="H628" s="167" t="n">
        <v>0</v>
      </c>
      <c r="I628" s="167" t="n">
        <v>1</v>
      </c>
    </row>
    <row r="629" customFormat="false" ht="14.25" hidden="false" customHeight="true" outlineLevel="0" collapsed="false">
      <c r="A629" s="167" t="s">
        <v>246</v>
      </c>
      <c r="B629" s="167" t="s">
        <v>242</v>
      </c>
      <c r="C629" s="167" t="n">
        <v>30</v>
      </c>
      <c r="D629" s="167" t="str">
        <f aca="false">A629&amp;" "&amp;B629&amp;" "&amp;C629</f>
        <v>3/8" Hex BAG Motor 30</v>
      </c>
      <c r="E629" s="167" t="n">
        <v>4</v>
      </c>
      <c r="F629" s="167" t="n">
        <v>1</v>
      </c>
      <c r="G629" s="167" t="n">
        <v>0</v>
      </c>
      <c r="H629" s="167" t="n">
        <v>0</v>
      </c>
      <c r="I629" s="167" t="n">
        <v>1</v>
      </c>
    </row>
    <row r="630" customFormat="false" ht="14.25" hidden="false" customHeight="true" outlineLevel="0" collapsed="false">
      <c r="A630" s="167" t="s">
        <v>246</v>
      </c>
      <c r="B630" s="167" t="s">
        <v>242</v>
      </c>
      <c r="C630" s="167" t="n">
        <v>35</v>
      </c>
      <c r="D630" s="167" t="str">
        <f aca="false">A630&amp;" "&amp;B630&amp;" "&amp;C630</f>
        <v>3/8" Hex BAG Motor 35</v>
      </c>
      <c r="E630" s="167" t="n">
        <v>3</v>
      </c>
      <c r="F630" s="167" t="n">
        <v>1</v>
      </c>
      <c r="G630" s="167" t="n">
        <v>0</v>
      </c>
      <c r="H630" s="167" t="n">
        <v>0</v>
      </c>
      <c r="I630" s="167" t="n">
        <v>1</v>
      </c>
    </row>
    <row r="631" customFormat="false" ht="14.25" hidden="false" customHeight="true" outlineLevel="0" collapsed="false">
      <c r="A631" s="167" t="s">
        <v>246</v>
      </c>
      <c r="B631" s="167" t="s">
        <v>242</v>
      </c>
      <c r="C631" s="167" t="n">
        <v>36</v>
      </c>
      <c r="D631" s="167" t="str">
        <f aca="false">A631&amp;" "&amp;B631&amp;" "&amp;C631</f>
        <v>3/8" Hex BAG Motor 36</v>
      </c>
      <c r="E631" s="167" t="n">
        <v>3</v>
      </c>
      <c r="F631" s="167" t="n">
        <v>1</v>
      </c>
      <c r="G631" s="167" t="n">
        <v>0</v>
      </c>
      <c r="H631" s="167" t="n">
        <v>0</v>
      </c>
      <c r="I631" s="167" t="n">
        <v>1</v>
      </c>
    </row>
    <row r="632" customFormat="false" ht="14.25" hidden="false" customHeight="true" outlineLevel="0" collapsed="false">
      <c r="A632" s="167" t="s">
        <v>246</v>
      </c>
      <c r="B632" s="167" t="s">
        <v>242</v>
      </c>
      <c r="C632" s="167" t="n">
        <v>40</v>
      </c>
      <c r="D632" s="167" t="str">
        <f aca="false">A632&amp;" "&amp;B632&amp;" "&amp;C632</f>
        <v>3/8" Hex BAG Motor 40</v>
      </c>
      <c r="E632" s="167" t="n">
        <v>3</v>
      </c>
      <c r="F632" s="167" t="n">
        <v>1</v>
      </c>
      <c r="G632" s="167" t="n">
        <v>0</v>
      </c>
      <c r="H632" s="167" t="n">
        <v>0</v>
      </c>
      <c r="I632" s="167" t="n">
        <v>1</v>
      </c>
    </row>
    <row r="633" customFormat="false" ht="14.25" hidden="false" customHeight="true" outlineLevel="0" collapsed="false">
      <c r="A633" s="167" t="s">
        <v>246</v>
      </c>
      <c r="B633" s="167" t="s">
        <v>242</v>
      </c>
      <c r="C633" s="167" t="n">
        <v>45</v>
      </c>
      <c r="D633" s="167" t="str">
        <f aca="false">A633&amp;" "&amp;B633&amp;" "&amp;C633</f>
        <v>3/8" Hex BAG Motor 45</v>
      </c>
      <c r="E633" s="167" t="n">
        <v>1</v>
      </c>
      <c r="F633" s="167" t="n">
        <v>1</v>
      </c>
      <c r="G633" s="167" t="n">
        <v>0</v>
      </c>
      <c r="H633" s="167" t="n">
        <v>0</v>
      </c>
      <c r="I633" s="167" t="n">
        <v>1</v>
      </c>
    </row>
    <row r="634" customFormat="false" ht="14.25" hidden="false" customHeight="true" outlineLevel="0" collapsed="false">
      <c r="A634" s="167" t="s">
        <v>246</v>
      </c>
      <c r="B634" s="167" t="s">
        <v>242</v>
      </c>
      <c r="C634" s="167" t="n">
        <v>49</v>
      </c>
      <c r="D634" s="167" t="str">
        <f aca="false">A634&amp;" "&amp;B634&amp;" "&amp;C634</f>
        <v>3/8" Hex BAG Motor 49</v>
      </c>
      <c r="E634" s="167" t="n">
        <v>1</v>
      </c>
      <c r="F634" s="167" t="n">
        <v>1</v>
      </c>
      <c r="G634" s="167" t="n">
        <v>0</v>
      </c>
      <c r="H634" s="167" t="n">
        <v>0</v>
      </c>
      <c r="I634" s="167" t="n">
        <v>1</v>
      </c>
    </row>
    <row r="635" customFormat="false" ht="14.25" hidden="false" customHeight="true" outlineLevel="0" collapsed="false">
      <c r="A635" s="167" t="s">
        <v>246</v>
      </c>
      <c r="B635" s="167" t="s">
        <v>242</v>
      </c>
      <c r="C635" s="167" t="n">
        <v>50</v>
      </c>
      <c r="D635" s="167" t="str">
        <f aca="false">A635&amp;" "&amp;B635&amp;" "&amp;C635</f>
        <v>3/8" Hex BAG Motor 50</v>
      </c>
      <c r="E635" s="167" t="n">
        <v>1</v>
      </c>
      <c r="F635" s="167" t="n">
        <v>1</v>
      </c>
      <c r="G635" s="167" t="n">
        <v>0</v>
      </c>
      <c r="H635" s="167" t="n">
        <v>0</v>
      </c>
      <c r="I635" s="167" t="n">
        <v>1</v>
      </c>
    </row>
    <row r="636" customFormat="false" ht="14.25" hidden="false" customHeight="true" outlineLevel="0" collapsed="false">
      <c r="A636" s="167" t="s">
        <v>246</v>
      </c>
      <c r="B636" s="167" t="s">
        <v>242</v>
      </c>
      <c r="C636" s="167" t="n">
        <v>63</v>
      </c>
      <c r="D636" s="167" t="str">
        <f aca="false">A636&amp;" "&amp;B636&amp;" "&amp;C636</f>
        <v>3/8" Hex BAG Motor 63</v>
      </c>
      <c r="E636" s="167" t="n">
        <v>1</v>
      </c>
      <c r="F636" s="167" t="n">
        <v>0</v>
      </c>
      <c r="G636" s="167" t="n">
        <v>0</v>
      </c>
      <c r="H636" s="167" t="n">
        <v>0</v>
      </c>
      <c r="I636" s="167" t="n">
        <v>1</v>
      </c>
    </row>
    <row r="637" customFormat="false" ht="14.25" hidden="false" customHeight="true" outlineLevel="0" collapsed="false">
      <c r="A637" s="167" t="s">
        <v>246</v>
      </c>
      <c r="B637" s="167" t="s">
        <v>242</v>
      </c>
      <c r="C637" s="167" t="n">
        <v>70</v>
      </c>
      <c r="D637" s="167" t="str">
        <f aca="false">A637&amp;" "&amp;B637&amp;" "&amp;C637</f>
        <v>3/8" Hex BAG Motor 70</v>
      </c>
      <c r="E637" s="167" t="n">
        <v>1</v>
      </c>
      <c r="F637" s="167" t="n">
        <v>0</v>
      </c>
      <c r="G637" s="167" t="n">
        <v>0</v>
      </c>
      <c r="H637" s="167" t="n">
        <v>0</v>
      </c>
      <c r="I637" s="167" t="n">
        <v>1</v>
      </c>
    </row>
    <row r="638" customFormat="false" ht="14.25" hidden="false" customHeight="true" outlineLevel="0" collapsed="false">
      <c r="A638" s="167" t="s">
        <v>246</v>
      </c>
      <c r="B638" s="167" t="s">
        <v>242</v>
      </c>
      <c r="C638" s="167" t="n">
        <v>81</v>
      </c>
      <c r="D638" s="167" t="str">
        <f aca="false">A638&amp;" "&amp;B638&amp;" "&amp;C638</f>
        <v>3/8" Hex BAG Motor 81</v>
      </c>
      <c r="E638" s="167" t="n">
        <v>1</v>
      </c>
      <c r="F638" s="167" t="n">
        <v>0</v>
      </c>
      <c r="G638" s="167" t="n">
        <v>0</v>
      </c>
      <c r="H638" s="167" t="n">
        <v>0</v>
      </c>
      <c r="I638" s="167" t="n">
        <v>1</v>
      </c>
    </row>
    <row r="639" customFormat="false" ht="14.25" hidden="false" customHeight="true" outlineLevel="0" collapsed="false">
      <c r="A639" s="167" t="s">
        <v>246</v>
      </c>
      <c r="B639" s="167" t="s">
        <v>242</v>
      </c>
      <c r="C639" s="167" t="n">
        <v>90</v>
      </c>
      <c r="D639" s="167" t="str">
        <f aca="false">A639&amp;" "&amp;B639&amp;" "&amp;C639</f>
        <v>3/8" Hex BAG Motor 90</v>
      </c>
      <c r="E639" s="167" t="n">
        <v>1</v>
      </c>
      <c r="F639" s="167" t="n">
        <v>0</v>
      </c>
      <c r="G639" s="167" t="n">
        <v>0</v>
      </c>
      <c r="H639" s="167" t="n">
        <v>0</v>
      </c>
      <c r="I639" s="167" t="n">
        <v>0</v>
      </c>
    </row>
    <row r="640" customFormat="false" ht="14.25" hidden="false" customHeight="true" outlineLevel="0" collapsed="false">
      <c r="A640" s="167" t="s">
        <v>246</v>
      </c>
      <c r="B640" s="167" t="s">
        <v>242</v>
      </c>
      <c r="C640" s="167" t="n">
        <v>100</v>
      </c>
      <c r="D640" s="167" t="str">
        <f aca="false">A640&amp;" "&amp;B640&amp;" "&amp;C640</f>
        <v>3/8" Hex BAG Motor 100</v>
      </c>
      <c r="E640" s="167" t="n">
        <v>1</v>
      </c>
      <c r="F640" s="167" t="n">
        <v>0</v>
      </c>
      <c r="G640" s="167" t="n">
        <v>0</v>
      </c>
      <c r="H640" s="167" t="n">
        <v>0</v>
      </c>
      <c r="I640" s="167" t="n">
        <v>0</v>
      </c>
    </row>
    <row r="641" customFormat="false" ht="14.25" hidden="false" customHeight="true" outlineLevel="0" collapsed="false">
      <c r="A641" s="167" t="s">
        <v>246</v>
      </c>
      <c r="B641" s="167" t="s">
        <v>41</v>
      </c>
      <c r="C641" s="167" t="n">
        <v>-3</v>
      </c>
      <c r="D641" s="167" t="str">
        <f aca="false">A641&amp;" "&amp;B641&amp;" "&amp;C641</f>
        <v>3/8" Hex 775pro -3</v>
      </c>
      <c r="E641" s="167" t="n">
        <v>1</v>
      </c>
      <c r="F641" s="167" t="n">
        <v>1</v>
      </c>
      <c r="G641" s="167" t="n">
        <v>0</v>
      </c>
      <c r="H641" s="167" t="n">
        <v>0</v>
      </c>
      <c r="I641" s="167" t="n">
        <v>1</v>
      </c>
    </row>
    <row r="642" customFormat="false" ht="14.25" hidden="false" customHeight="true" outlineLevel="0" collapsed="false">
      <c r="A642" s="167" t="s">
        <v>246</v>
      </c>
      <c r="B642" s="167" t="s">
        <v>41</v>
      </c>
      <c r="C642" s="167" t="n">
        <v>-4</v>
      </c>
      <c r="D642" s="167" t="str">
        <f aca="false">A642&amp;" "&amp;B642&amp;" "&amp;C642</f>
        <v>3/8" Hex 775pro -4</v>
      </c>
      <c r="E642" s="167" t="n">
        <v>1</v>
      </c>
      <c r="F642" s="167" t="n">
        <v>1</v>
      </c>
      <c r="G642" s="167" t="n">
        <v>0</v>
      </c>
      <c r="H642" s="167" t="n">
        <v>0</v>
      </c>
      <c r="I642" s="167" t="n">
        <v>1</v>
      </c>
    </row>
    <row r="643" customFormat="false" ht="14.25" hidden="false" customHeight="true" outlineLevel="0" collapsed="false">
      <c r="A643" s="167" t="s">
        <v>246</v>
      </c>
      <c r="B643" s="167" t="s">
        <v>41</v>
      </c>
      <c r="C643" s="167" t="n">
        <v>-5</v>
      </c>
      <c r="D643" s="167" t="str">
        <f aca="false">A643&amp;" "&amp;B643&amp;" "&amp;C643</f>
        <v>3/8" Hex 775pro -5</v>
      </c>
      <c r="E643" s="167" t="n">
        <v>1</v>
      </c>
      <c r="F643" s="167" t="n">
        <v>1</v>
      </c>
      <c r="G643" s="167" t="n">
        <v>0</v>
      </c>
      <c r="H643" s="167" t="n">
        <v>0</v>
      </c>
      <c r="I643" s="167" t="n">
        <v>1</v>
      </c>
    </row>
    <row r="644" customFormat="false" ht="14.25" hidden="false" customHeight="true" outlineLevel="0" collapsed="false">
      <c r="A644" s="167" t="s">
        <v>246</v>
      </c>
      <c r="B644" s="167" t="s">
        <v>41</v>
      </c>
      <c r="C644" s="167" t="n">
        <v>-7</v>
      </c>
      <c r="D644" s="167" t="str">
        <f aca="false">A644&amp;" "&amp;B644&amp;" "&amp;C644</f>
        <v>3/8" Hex 775pro -7</v>
      </c>
      <c r="E644" s="167" t="n">
        <v>1</v>
      </c>
      <c r="F644" s="167" t="n">
        <v>1</v>
      </c>
      <c r="G644" s="167" t="n">
        <v>0</v>
      </c>
      <c r="H644" s="167" t="n">
        <v>0</v>
      </c>
      <c r="I644" s="167" t="n">
        <v>1</v>
      </c>
    </row>
    <row r="645" customFormat="false" ht="14.25" hidden="false" customHeight="true" outlineLevel="0" collapsed="false">
      <c r="A645" s="167" t="s">
        <v>246</v>
      </c>
      <c r="B645" s="167" t="s">
        <v>41</v>
      </c>
      <c r="C645" s="167" t="n">
        <v>-9</v>
      </c>
      <c r="D645" s="167" t="str">
        <f aca="false">A645&amp;" "&amp;B645&amp;" "&amp;C645</f>
        <v>3/8" Hex 775pro -9</v>
      </c>
      <c r="E645" s="167" t="n">
        <v>1</v>
      </c>
      <c r="F645" s="167" t="n">
        <v>1</v>
      </c>
      <c r="G645" s="167" t="n">
        <v>0</v>
      </c>
      <c r="H645" s="167" t="n">
        <v>0</v>
      </c>
      <c r="I645" s="167" t="n">
        <v>1</v>
      </c>
    </row>
    <row r="646" customFormat="false" ht="14.25" hidden="false" customHeight="true" outlineLevel="0" collapsed="false">
      <c r="A646" s="167" t="s">
        <v>246</v>
      </c>
      <c r="B646" s="167" t="s">
        <v>41</v>
      </c>
      <c r="C646" s="167" t="n">
        <v>-10</v>
      </c>
      <c r="D646" s="167" t="str">
        <f aca="false">A646&amp;" "&amp;B646&amp;" "&amp;C646</f>
        <v>3/8" Hex 775pro -10</v>
      </c>
      <c r="E646" s="167" t="n">
        <v>1</v>
      </c>
      <c r="F646" s="167" t="n">
        <v>1</v>
      </c>
      <c r="G646" s="167" t="n">
        <v>0</v>
      </c>
      <c r="H646" s="167" t="n">
        <v>0</v>
      </c>
      <c r="I646" s="167" t="n">
        <v>1</v>
      </c>
    </row>
    <row r="647" customFormat="false" ht="14.25" hidden="false" customHeight="true" outlineLevel="0" collapsed="false">
      <c r="A647" s="167" t="s">
        <v>246</v>
      </c>
      <c r="B647" s="167" t="s">
        <v>41</v>
      </c>
      <c r="C647" s="167" t="n">
        <v>9</v>
      </c>
      <c r="D647" s="167" t="str">
        <f aca="false">A647&amp;" "&amp;B647&amp;" "&amp;C647</f>
        <v>3/8" Hex 775pro 9</v>
      </c>
      <c r="E647" s="167" t="n">
        <v>7</v>
      </c>
      <c r="F647" s="167" t="n">
        <v>4</v>
      </c>
      <c r="G647" s="167" t="n">
        <v>0</v>
      </c>
      <c r="H647" s="167" t="n">
        <v>0</v>
      </c>
      <c r="I647" s="167" t="n">
        <v>5</v>
      </c>
    </row>
    <row r="648" customFormat="false" ht="14.25" hidden="false" customHeight="true" outlineLevel="0" collapsed="false">
      <c r="A648" s="167" t="s">
        <v>246</v>
      </c>
      <c r="B648" s="167" t="s">
        <v>41</v>
      </c>
      <c r="C648" s="167" t="n">
        <v>12</v>
      </c>
      <c r="D648" s="167" t="str">
        <f aca="false">A648&amp;" "&amp;B648&amp;" "&amp;C648</f>
        <v>3/8" Hex 775pro 12</v>
      </c>
      <c r="E648" s="167" t="n">
        <v>5</v>
      </c>
      <c r="F648" s="167" t="n">
        <v>3</v>
      </c>
      <c r="G648" s="167" t="n">
        <v>0</v>
      </c>
      <c r="H648" s="167" t="n">
        <v>0</v>
      </c>
      <c r="I648" s="167" t="n">
        <v>4</v>
      </c>
    </row>
    <row r="649" customFormat="false" ht="14.25" hidden="false" customHeight="true" outlineLevel="0" collapsed="false">
      <c r="A649" s="167" t="s">
        <v>246</v>
      </c>
      <c r="B649" s="167" t="s">
        <v>41</v>
      </c>
      <c r="C649" s="167" t="n">
        <v>15</v>
      </c>
      <c r="D649" s="167" t="str">
        <f aca="false">A649&amp;" "&amp;B649&amp;" "&amp;C649</f>
        <v>3/8" Hex 775pro 15</v>
      </c>
      <c r="E649" s="167" t="n">
        <v>5</v>
      </c>
      <c r="F649" s="167" t="n">
        <v>1</v>
      </c>
      <c r="G649" s="167" t="n">
        <v>0</v>
      </c>
      <c r="H649" s="167" t="n">
        <v>0</v>
      </c>
      <c r="I649" s="167" t="n">
        <v>3</v>
      </c>
    </row>
    <row r="650" customFormat="false" ht="14.25" hidden="false" customHeight="true" outlineLevel="0" collapsed="false">
      <c r="A650" s="167" t="s">
        <v>246</v>
      </c>
      <c r="B650" s="167" t="s">
        <v>41</v>
      </c>
      <c r="C650" s="167" t="n">
        <v>16</v>
      </c>
      <c r="D650" s="167" t="str">
        <f aca="false">A650&amp;" "&amp;B650&amp;" "&amp;C650</f>
        <v>3/8" Hex 775pro 16</v>
      </c>
      <c r="E650" s="167" t="n">
        <v>4</v>
      </c>
      <c r="F650" s="167" t="n">
        <v>1</v>
      </c>
      <c r="G650" s="167" t="n">
        <v>0</v>
      </c>
      <c r="H650" s="167" t="n">
        <v>0</v>
      </c>
      <c r="I650" s="167" t="n">
        <v>3</v>
      </c>
    </row>
    <row r="651" customFormat="false" ht="14.25" hidden="false" customHeight="true" outlineLevel="0" collapsed="false">
      <c r="A651" s="167" t="s">
        <v>246</v>
      </c>
      <c r="B651" s="167" t="s">
        <v>41</v>
      </c>
      <c r="C651" s="167" t="n">
        <v>20</v>
      </c>
      <c r="D651" s="167" t="str">
        <f aca="false">A651&amp;" "&amp;B651&amp;" "&amp;C651</f>
        <v>3/8" Hex 775pro 20</v>
      </c>
      <c r="E651" s="167" t="n">
        <v>3</v>
      </c>
      <c r="F651" s="167" t="n">
        <v>1</v>
      </c>
      <c r="G651" s="167" t="n">
        <v>0</v>
      </c>
      <c r="H651" s="167" t="n">
        <v>0</v>
      </c>
      <c r="I651" s="167" t="n">
        <v>1</v>
      </c>
    </row>
    <row r="652" customFormat="false" ht="14.25" hidden="false" customHeight="true" outlineLevel="0" collapsed="false">
      <c r="A652" s="167" t="s">
        <v>246</v>
      </c>
      <c r="B652" s="167" t="s">
        <v>41</v>
      </c>
      <c r="C652" s="167" t="n">
        <v>21</v>
      </c>
      <c r="D652" s="167" t="str">
        <f aca="false">A652&amp;" "&amp;B652&amp;" "&amp;C652</f>
        <v>3/8" Hex 775pro 21</v>
      </c>
      <c r="E652" s="167" t="n">
        <v>3</v>
      </c>
      <c r="F652" s="167" t="n">
        <v>1</v>
      </c>
      <c r="G652" s="167" t="n">
        <v>0</v>
      </c>
      <c r="H652" s="167" t="n">
        <v>0</v>
      </c>
      <c r="I652" s="167" t="n">
        <v>1</v>
      </c>
    </row>
    <row r="653" customFormat="false" ht="14.25" hidden="false" customHeight="true" outlineLevel="0" collapsed="false">
      <c r="A653" s="167" t="s">
        <v>246</v>
      </c>
      <c r="B653" s="167" t="s">
        <v>41</v>
      </c>
      <c r="C653" s="167" t="n">
        <v>25</v>
      </c>
      <c r="D653" s="167" t="str">
        <f aca="false">A653&amp;" "&amp;B653&amp;" "&amp;C653</f>
        <v>3/8" Hex 775pro 25</v>
      </c>
      <c r="E653" s="167" t="n">
        <v>3</v>
      </c>
      <c r="F653" s="167" t="n">
        <v>1</v>
      </c>
      <c r="G653" s="167" t="n">
        <v>0</v>
      </c>
      <c r="H653" s="167" t="n">
        <v>0</v>
      </c>
      <c r="I653" s="167" t="n">
        <v>1</v>
      </c>
    </row>
    <row r="654" customFormat="false" ht="14.25" hidden="false" customHeight="true" outlineLevel="0" collapsed="false">
      <c r="A654" s="167" t="s">
        <v>246</v>
      </c>
      <c r="B654" s="167" t="s">
        <v>41</v>
      </c>
      <c r="C654" s="167" t="n">
        <v>27</v>
      </c>
      <c r="D654" s="167" t="str">
        <f aca="false">A654&amp;" "&amp;B654&amp;" "&amp;C654</f>
        <v>3/8" Hex 775pro 27</v>
      </c>
      <c r="E654" s="167" t="n">
        <v>1</v>
      </c>
      <c r="F654" s="167" t="n">
        <v>1</v>
      </c>
      <c r="G654" s="167" t="n">
        <v>0</v>
      </c>
      <c r="H654" s="167" t="n">
        <v>0</v>
      </c>
      <c r="I654" s="167" t="n">
        <v>1</v>
      </c>
    </row>
    <row r="655" customFormat="false" ht="14.25" hidden="false" customHeight="true" outlineLevel="0" collapsed="false">
      <c r="A655" s="167" t="s">
        <v>246</v>
      </c>
      <c r="B655" s="167" t="s">
        <v>41</v>
      </c>
      <c r="C655" s="167" t="n">
        <v>28</v>
      </c>
      <c r="D655" s="167" t="str">
        <f aca="false">A655&amp;" "&amp;B655&amp;" "&amp;C655</f>
        <v>3/8" Hex 775pro 28</v>
      </c>
      <c r="E655" s="167" t="n">
        <v>1</v>
      </c>
      <c r="F655" s="167" t="n">
        <v>1</v>
      </c>
      <c r="G655" s="167" t="n">
        <v>0</v>
      </c>
      <c r="H655" s="167" t="n">
        <v>0</v>
      </c>
      <c r="I655" s="167" t="n">
        <v>1</v>
      </c>
    </row>
    <row r="656" customFormat="false" ht="14.25" hidden="false" customHeight="true" outlineLevel="0" collapsed="false">
      <c r="A656" s="167" t="s">
        <v>246</v>
      </c>
      <c r="B656" s="167" t="s">
        <v>41</v>
      </c>
      <c r="C656" s="167" t="n">
        <v>30</v>
      </c>
      <c r="D656" s="167" t="str">
        <f aca="false">A656&amp;" "&amp;B656&amp;" "&amp;C656</f>
        <v>3/8" Hex 775pro 30</v>
      </c>
      <c r="E656" s="167" t="n">
        <v>1</v>
      </c>
      <c r="F656" s="167" t="n">
        <v>1</v>
      </c>
      <c r="G656" s="167" t="n">
        <v>0</v>
      </c>
      <c r="H656" s="167" t="n">
        <v>0</v>
      </c>
      <c r="I656" s="167" t="n">
        <v>1</v>
      </c>
    </row>
    <row r="657" customFormat="false" ht="14.25" hidden="false" customHeight="true" outlineLevel="0" collapsed="false">
      <c r="A657" s="167" t="s">
        <v>246</v>
      </c>
      <c r="B657" s="167" t="s">
        <v>41</v>
      </c>
      <c r="C657" s="167" t="n">
        <v>35</v>
      </c>
      <c r="D657" s="167" t="str">
        <f aca="false">A657&amp;" "&amp;B657&amp;" "&amp;C657</f>
        <v>3/8" Hex 775pro 35</v>
      </c>
      <c r="E657" s="167" t="n">
        <v>1</v>
      </c>
      <c r="F657" s="167" t="n">
        <v>1</v>
      </c>
      <c r="G657" s="167" t="n">
        <v>0</v>
      </c>
      <c r="H657" s="167" t="n">
        <v>0</v>
      </c>
      <c r="I657" s="167" t="n">
        <v>1</v>
      </c>
    </row>
    <row r="658" customFormat="false" ht="14.25" hidden="false" customHeight="true" outlineLevel="0" collapsed="false">
      <c r="A658" s="167" t="s">
        <v>246</v>
      </c>
      <c r="B658" s="167" t="s">
        <v>41</v>
      </c>
      <c r="C658" s="167" t="n">
        <v>36</v>
      </c>
      <c r="D658" s="167" t="str">
        <f aca="false">A658&amp;" "&amp;B658&amp;" "&amp;C658</f>
        <v>3/8" Hex 775pro 36</v>
      </c>
      <c r="E658" s="167" t="n">
        <v>1</v>
      </c>
      <c r="F658" s="167" t="n">
        <v>1</v>
      </c>
      <c r="G658" s="167" t="n">
        <v>0</v>
      </c>
      <c r="H658" s="167" t="n">
        <v>0</v>
      </c>
      <c r="I658" s="167" t="n">
        <v>1</v>
      </c>
    </row>
    <row r="659" customFormat="false" ht="14.25" hidden="false" customHeight="true" outlineLevel="0" collapsed="false">
      <c r="A659" s="167" t="s">
        <v>246</v>
      </c>
      <c r="B659" s="167" t="s">
        <v>41</v>
      </c>
      <c r="C659" s="167" t="n">
        <v>40</v>
      </c>
      <c r="D659" s="167" t="str">
        <f aca="false">A659&amp;" "&amp;B659&amp;" "&amp;C659</f>
        <v>3/8" Hex 775pro 40</v>
      </c>
      <c r="E659" s="167" t="n">
        <v>1</v>
      </c>
      <c r="F659" s="167" t="n">
        <v>0</v>
      </c>
      <c r="G659" s="167" t="n">
        <v>0</v>
      </c>
      <c r="H659" s="167" t="n">
        <v>0</v>
      </c>
      <c r="I659" s="167" t="n">
        <v>1</v>
      </c>
    </row>
    <row r="660" customFormat="false" ht="14.25" hidden="false" customHeight="true" outlineLevel="0" collapsed="false">
      <c r="A660" s="167" t="s">
        <v>246</v>
      </c>
      <c r="B660" s="167" t="s">
        <v>41</v>
      </c>
      <c r="C660" s="167" t="n">
        <v>45</v>
      </c>
      <c r="D660" s="167" t="str">
        <f aca="false">A660&amp;" "&amp;B660&amp;" "&amp;C660</f>
        <v>3/8" Hex 775pro 45</v>
      </c>
      <c r="E660" s="167" t="n">
        <v>1</v>
      </c>
      <c r="F660" s="167" t="n">
        <v>0</v>
      </c>
      <c r="G660" s="167" t="n">
        <v>0</v>
      </c>
      <c r="H660" s="167" t="n">
        <v>0</v>
      </c>
      <c r="I660" s="167" t="n">
        <v>1</v>
      </c>
    </row>
    <row r="661" customFormat="false" ht="14.25" hidden="false" customHeight="true" outlineLevel="0" collapsed="false">
      <c r="A661" s="167" t="s">
        <v>246</v>
      </c>
      <c r="B661" s="167" t="s">
        <v>41</v>
      </c>
      <c r="C661" s="167" t="n">
        <v>49</v>
      </c>
      <c r="D661" s="167" t="str">
        <f aca="false">A661&amp;" "&amp;B661&amp;" "&amp;C661</f>
        <v>3/8" Hex 775pro 49</v>
      </c>
      <c r="E661" s="167" t="n">
        <v>1</v>
      </c>
      <c r="F661" s="167" t="n">
        <v>0</v>
      </c>
      <c r="G661" s="167" t="n">
        <v>0</v>
      </c>
      <c r="H661" s="167" t="n">
        <v>0</v>
      </c>
      <c r="I661" s="167" t="n">
        <v>1</v>
      </c>
    </row>
    <row r="662" customFormat="false" ht="14.25" hidden="false" customHeight="true" outlineLevel="0" collapsed="false">
      <c r="A662" s="167" t="s">
        <v>246</v>
      </c>
      <c r="B662" s="167" t="s">
        <v>41</v>
      </c>
      <c r="C662" s="167" t="n">
        <v>50</v>
      </c>
      <c r="D662" s="167" t="str">
        <f aca="false">A662&amp;" "&amp;B662&amp;" "&amp;C662</f>
        <v>3/8" Hex 775pro 50</v>
      </c>
      <c r="E662" s="167" t="n">
        <v>1</v>
      </c>
      <c r="F662" s="167" t="n">
        <v>0</v>
      </c>
      <c r="G662" s="167" t="n">
        <v>0</v>
      </c>
      <c r="H662" s="167" t="n">
        <v>0</v>
      </c>
      <c r="I662" s="167" t="n">
        <v>0</v>
      </c>
    </row>
    <row r="663" customFormat="false" ht="14.25" hidden="false" customHeight="true" outlineLevel="0" collapsed="false">
      <c r="A663" s="167" t="s">
        <v>246</v>
      </c>
      <c r="B663" s="167" t="s">
        <v>41</v>
      </c>
      <c r="C663" s="167" t="n">
        <v>63</v>
      </c>
      <c r="D663" s="167" t="str">
        <f aca="false">A663&amp;" "&amp;B663&amp;" "&amp;C663</f>
        <v>3/8" Hex 775pro 63</v>
      </c>
      <c r="E663" s="167" t="n">
        <v>1</v>
      </c>
      <c r="F663" s="167" t="n">
        <v>0</v>
      </c>
      <c r="G663" s="167" t="n">
        <v>0</v>
      </c>
      <c r="H663" s="167" t="n">
        <v>0</v>
      </c>
      <c r="I663" s="167" t="n">
        <v>0</v>
      </c>
    </row>
    <row r="664" customFormat="false" ht="14.25" hidden="false" customHeight="true" outlineLevel="0" collapsed="false">
      <c r="A664" s="167" t="s">
        <v>246</v>
      </c>
      <c r="B664" s="167" t="s">
        <v>41</v>
      </c>
      <c r="C664" s="167" t="n">
        <v>70</v>
      </c>
      <c r="D664" s="167" t="str">
        <f aca="false">A664&amp;" "&amp;B664&amp;" "&amp;C664</f>
        <v>3/8" Hex 775pro 70</v>
      </c>
      <c r="E664" s="167" t="n">
        <v>1</v>
      </c>
      <c r="F664" s="167" t="n">
        <v>0</v>
      </c>
      <c r="G664" s="167" t="n">
        <v>0</v>
      </c>
      <c r="H664" s="167" t="n">
        <v>0</v>
      </c>
      <c r="I664" s="167" t="n">
        <v>0</v>
      </c>
    </row>
    <row r="665" customFormat="false" ht="14.25" hidden="false" customHeight="true" outlineLevel="0" collapsed="false">
      <c r="A665" s="167" t="s">
        <v>246</v>
      </c>
      <c r="B665" s="167" t="s">
        <v>41</v>
      </c>
      <c r="C665" s="167" t="n">
        <v>81</v>
      </c>
      <c r="D665" s="167" t="str">
        <f aca="false">A665&amp;" "&amp;B665&amp;" "&amp;C665</f>
        <v>3/8" Hex 775pro 81</v>
      </c>
      <c r="E665" s="167" t="n">
        <v>0</v>
      </c>
      <c r="F665" s="167" t="n">
        <v>0</v>
      </c>
      <c r="G665" s="167" t="n">
        <v>0</v>
      </c>
      <c r="H665" s="167" t="n">
        <v>0</v>
      </c>
      <c r="I665" s="167" t="n">
        <v>0</v>
      </c>
    </row>
    <row r="666" customFormat="false" ht="14.25" hidden="false" customHeight="true" outlineLevel="0" collapsed="false">
      <c r="A666" s="167" t="s">
        <v>246</v>
      </c>
      <c r="B666" s="167" t="s">
        <v>41</v>
      </c>
      <c r="C666" s="167" t="n">
        <v>90</v>
      </c>
      <c r="D666" s="167" t="str">
        <f aca="false">A666&amp;" "&amp;B666&amp;" "&amp;C666</f>
        <v>3/8" Hex 775pro 90</v>
      </c>
      <c r="E666" s="167" t="n">
        <v>0</v>
      </c>
      <c r="F666" s="167" t="n">
        <v>0</v>
      </c>
      <c r="G666" s="167" t="n">
        <v>0</v>
      </c>
      <c r="H666" s="167" t="n">
        <v>0</v>
      </c>
      <c r="I666" s="167" t="n">
        <v>0</v>
      </c>
    </row>
    <row r="667" customFormat="false" ht="14.25" hidden="false" customHeight="true" outlineLevel="0" collapsed="false">
      <c r="A667" s="167" t="s">
        <v>246</v>
      </c>
      <c r="B667" s="167" t="s">
        <v>41</v>
      </c>
      <c r="C667" s="167" t="n">
        <v>100</v>
      </c>
      <c r="D667" s="167" t="str">
        <f aca="false">A667&amp;" "&amp;B667&amp;" "&amp;C667</f>
        <v>3/8" Hex 775pro 100</v>
      </c>
      <c r="E667" s="167" t="n">
        <v>0</v>
      </c>
      <c r="F667" s="167" t="n">
        <v>0</v>
      </c>
      <c r="G667" s="167" t="n">
        <v>0</v>
      </c>
      <c r="H667" s="167" t="n">
        <v>0</v>
      </c>
      <c r="I667" s="167" t="n">
        <v>0</v>
      </c>
    </row>
    <row r="668" customFormat="false" ht="14.25" hidden="false" customHeight="true" outlineLevel="0" collapsed="false">
      <c r="A668" s="167" t="s">
        <v>246</v>
      </c>
      <c r="B668" s="167" t="s">
        <v>249</v>
      </c>
      <c r="C668" s="167" t="n">
        <v>-3</v>
      </c>
      <c r="D668" s="167" t="str">
        <f aca="false">A668&amp;" "&amp;B668&amp;" "&amp;C668</f>
        <v>3/8" Hex Mini CIM -3</v>
      </c>
      <c r="E668" s="167" t="n">
        <v>1</v>
      </c>
      <c r="I668" s="167" t="n">
        <v>0</v>
      </c>
    </row>
    <row r="669" customFormat="false" ht="14.25" hidden="false" customHeight="true" outlineLevel="0" collapsed="false">
      <c r="A669" s="167" t="s">
        <v>246</v>
      </c>
      <c r="B669" s="167" t="s">
        <v>249</v>
      </c>
      <c r="C669" s="167" t="n">
        <v>-4</v>
      </c>
      <c r="D669" s="167" t="str">
        <f aca="false">A669&amp;" "&amp;B669&amp;" "&amp;C669</f>
        <v>3/8" Hex Mini CIM -4</v>
      </c>
      <c r="E669" s="167" t="n">
        <v>1</v>
      </c>
      <c r="I669" s="167" t="n">
        <v>0</v>
      </c>
    </row>
    <row r="670" customFormat="false" ht="14.25" hidden="false" customHeight="true" outlineLevel="0" collapsed="false">
      <c r="A670" s="167" t="s">
        <v>246</v>
      </c>
      <c r="B670" s="167" t="s">
        <v>249</v>
      </c>
      <c r="C670" s="167" t="n">
        <v>-5</v>
      </c>
      <c r="D670" s="167" t="str">
        <f aca="false">A670&amp;" "&amp;B670&amp;" "&amp;C670</f>
        <v>3/8" Hex Mini CIM -5</v>
      </c>
      <c r="E670" s="167" t="n">
        <v>1</v>
      </c>
      <c r="I670" s="167" t="n">
        <v>0</v>
      </c>
    </row>
    <row r="671" customFormat="false" ht="14.25" hidden="false" customHeight="true" outlineLevel="0" collapsed="false">
      <c r="A671" s="167" t="s">
        <v>246</v>
      </c>
      <c r="B671" s="167" t="s">
        <v>249</v>
      </c>
      <c r="C671" s="167" t="n">
        <v>-7</v>
      </c>
      <c r="D671" s="167" t="str">
        <f aca="false">A671&amp;" "&amp;B671&amp;" "&amp;C671</f>
        <v>3/8" Hex Mini CIM -7</v>
      </c>
      <c r="E671" s="167" t="n">
        <v>1</v>
      </c>
      <c r="I671" s="167" t="n">
        <v>0</v>
      </c>
    </row>
    <row r="672" customFormat="false" ht="14.25" hidden="false" customHeight="true" outlineLevel="0" collapsed="false">
      <c r="A672" s="167" t="s">
        <v>246</v>
      </c>
      <c r="B672" s="167" t="s">
        <v>249</v>
      </c>
      <c r="C672" s="167" t="n">
        <v>-9</v>
      </c>
      <c r="D672" s="167" t="str">
        <f aca="false">A672&amp;" "&amp;B672&amp;" "&amp;C672</f>
        <v>3/8" Hex Mini CIM -9</v>
      </c>
      <c r="E672" s="167" t="n">
        <v>1</v>
      </c>
      <c r="I672" s="167" t="n">
        <v>0</v>
      </c>
    </row>
    <row r="673" customFormat="false" ht="14.25" hidden="false" customHeight="true" outlineLevel="0" collapsed="false">
      <c r="A673" s="167" t="s">
        <v>246</v>
      </c>
      <c r="B673" s="167" t="s">
        <v>249</v>
      </c>
      <c r="C673" s="167" t="n">
        <v>-10</v>
      </c>
      <c r="D673" s="167" t="str">
        <f aca="false">A673&amp;" "&amp;B673&amp;" "&amp;C673</f>
        <v>3/8" Hex Mini CIM -10</v>
      </c>
      <c r="E673" s="167" t="n">
        <v>1</v>
      </c>
      <c r="I673" s="167" t="n">
        <v>0</v>
      </c>
    </row>
    <row r="674" customFormat="false" ht="14.25" hidden="false" customHeight="true" outlineLevel="0" collapsed="false">
      <c r="A674" s="167" t="s">
        <v>246</v>
      </c>
      <c r="B674" s="167" t="s">
        <v>249</v>
      </c>
      <c r="C674" s="167" t="n">
        <v>9</v>
      </c>
      <c r="D674" s="167" t="str">
        <f aca="false">A674&amp;" "&amp;B674&amp;" "&amp;C674</f>
        <v>3/8" Hex Mini CIM 9</v>
      </c>
      <c r="E674" s="167" t="n">
        <v>4</v>
      </c>
      <c r="I674" s="167" t="n">
        <v>0</v>
      </c>
    </row>
    <row r="675" customFormat="false" ht="14.25" hidden="false" customHeight="true" outlineLevel="0" collapsed="false">
      <c r="A675" s="167" t="s">
        <v>246</v>
      </c>
      <c r="B675" s="167" t="s">
        <v>249</v>
      </c>
      <c r="C675" s="167" t="n">
        <v>12</v>
      </c>
      <c r="D675" s="167" t="str">
        <f aca="false">A675&amp;" "&amp;B675&amp;" "&amp;C675</f>
        <v>3/8" Hex Mini CIM 12</v>
      </c>
      <c r="E675" s="167" t="n">
        <v>3</v>
      </c>
      <c r="I675" s="167" t="n">
        <v>0</v>
      </c>
    </row>
    <row r="676" customFormat="false" ht="14.25" hidden="false" customHeight="true" outlineLevel="0" collapsed="false">
      <c r="A676" s="167" t="s">
        <v>246</v>
      </c>
      <c r="B676" s="167" t="s">
        <v>249</v>
      </c>
      <c r="C676" s="167" t="n">
        <v>15</v>
      </c>
      <c r="D676" s="167" t="str">
        <f aca="false">A676&amp;" "&amp;B676&amp;" "&amp;C676</f>
        <v>3/8" Hex Mini CIM 15</v>
      </c>
      <c r="E676" s="167" t="n">
        <v>1</v>
      </c>
      <c r="I676" s="167" t="n">
        <v>0</v>
      </c>
    </row>
    <row r="677" customFormat="false" ht="14.25" hidden="false" customHeight="true" outlineLevel="0" collapsed="false">
      <c r="A677" s="167" t="s">
        <v>246</v>
      </c>
      <c r="B677" s="167" t="s">
        <v>249</v>
      </c>
      <c r="C677" s="167" t="n">
        <v>16</v>
      </c>
      <c r="D677" s="167" t="str">
        <f aca="false">A677&amp;" "&amp;B677&amp;" "&amp;C677</f>
        <v>3/8" Hex Mini CIM 16</v>
      </c>
      <c r="E677" s="167" t="n">
        <v>1</v>
      </c>
      <c r="I677" s="167" t="n">
        <v>0</v>
      </c>
    </row>
    <row r="678" customFormat="false" ht="14.25" hidden="false" customHeight="true" outlineLevel="0" collapsed="false">
      <c r="A678" s="167" t="s">
        <v>246</v>
      </c>
      <c r="B678" s="167" t="s">
        <v>249</v>
      </c>
      <c r="C678" s="167" t="n">
        <v>20</v>
      </c>
      <c r="D678" s="167" t="str">
        <f aca="false">A678&amp;" "&amp;B678&amp;" "&amp;C678</f>
        <v>3/8" Hex Mini CIM 20</v>
      </c>
      <c r="E678" s="167" t="n">
        <v>1</v>
      </c>
      <c r="I678" s="167" t="n">
        <v>0</v>
      </c>
    </row>
    <row r="679" customFormat="false" ht="14.25" hidden="false" customHeight="true" outlineLevel="0" collapsed="false">
      <c r="A679" s="167" t="s">
        <v>246</v>
      </c>
      <c r="B679" s="167" t="s">
        <v>249</v>
      </c>
      <c r="C679" s="167" t="n">
        <v>21</v>
      </c>
      <c r="D679" s="167" t="str">
        <f aca="false">A679&amp;" "&amp;B679&amp;" "&amp;C679</f>
        <v>3/8" Hex Mini CIM 21</v>
      </c>
      <c r="E679" s="167" t="n">
        <v>1</v>
      </c>
      <c r="I679" s="167" t="n">
        <v>0</v>
      </c>
    </row>
    <row r="680" customFormat="false" ht="14.25" hidden="false" customHeight="true" outlineLevel="0" collapsed="false">
      <c r="A680" s="167" t="s">
        <v>246</v>
      </c>
      <c r="B680" s="167" t="s">
        <v>249</v>
      </c>
      <c r="C680" s="167" t="n">
        <v>25</v>
      </c>
      <c r="D680" s="167" t="str">
        <f aca="false">A680&amp;" "&amp;B680&amp;" "&amp;C680</f>
        <v>3/8" Hex Mini CIM 25</v>
      </c>
      <c r="E680" s="167" t="n">
        <v>1</v>
      </c>
      <c r="I680" s="167" t="n">
        <v>0</v>
      </c>
    </row>
    <row r="681" customFormat="false" ht="14.25" hidden="false" customHeight="true" outlineLevel="0" collapsed="false">
      <c r="A681" s="167" t="s">
        <v>246</v>
      </c>
      <c r="B681" s="167" t="s">
        <v>249</v>
      </c>
      <c r="C681" s="167" t="n">
        <v>27</v>
      </c>
      <c r="D681" s="167" t="str">
        <f aca="false">A681&amp;" "&amp;B681&amp;" "&amp;C681</f>
        <v>3/8" Hex Mini CIM 27</v>
      </c>
      <c r="E681" s="167" t="n">
        <v>1</v>
      </c>
      <c r="I681" s="167" t="n">
        <v>0</v>
      </c>
    </row>
    <row r="682" customFormat="false" ht="14.25" hidden="false" customHeight="true" outlineLevel="0" collapsed="false">
      <c r="A682" s="167" t="s">
        <v>246</v>
      </c>
      <c r="B682" s="167" t="s">
        <v>249</v>
      </c>
      <c r="C682" s="167" t="n">
        <v>28</v>
      </c>
      <c r="D682" s="167" t="str">
        <f aca="false">A682&amp;" "&amp;B682&amp;" "&amp;C682</f>
        <v>3/8" Hex Mini CIM 28</v>
      </c>
      <c r="E682" s="167" t="n">
        <v>1</v>
      </c>
      <c r="I682" s="167" t="n">
        <v>0</v>
      </c>
    </row>
    <row r="683" customFormat="false" ht="14.25" hidden="false" customHeight="true" outlineLevel="0" collapsed="false">
      <c r="A683" s="167" t="s">
        <v>246</v>
      </c>
      <c r="B683" s="167" t="s">
        <v>249</v>
      </c>
      <c r="C683" s="167" t="n">
        <v>30</v>
      </c>
      <c r="D683" s="167" t="str">
        <f aca="false">A683&amp;" "&amp;B683&amp;" "&amp;C683</f>
        <v>3/8" Hex Mini CIM 30</v>
      </c>
      <c r="E683" s="167" t="n">
        <v>1</v>
      </c>
      <c r="I683" s="167" t="n">
        <v>0</v>
      </c>
    </row>
    <row r="684" customFormat="false" ht="14.25" hidden="false" customHeight="true" outlineLevel="0" collapsed="false">
      <c r="A684" s="167" t="s">
        <v>246</v>
      </c>
      <c r="B684" s="167" t="s">
        <v>249</v>
      </c>
      <c r="C684" s="167" t="n">
        <v>35</v>
      </c>
      <c r="D684" s="167" t="str">
        <f aca="false">A684&amp;" "&amp;B684&amp;" "&amp;C684</f>
        <v>3/8" Hex Mini CIM 35</v>
      </c>
      <c r="E684" s="167" t="n">
        <v>1</v>
      </c>
      <c r="I684" s="167" t="n">
        <v>0</v>
      </c>
    </row>
    <row r="685" customFormat="false" ht="14.25" hidden="false" customHeight="true" outlineLevel="0" collapsed="false">
      <c r="A685" s="167" t="s">
        <v>246</v>
      </c>
      <c r="B685" s="167" t="s">
        <v>249</v>
      </c>
      <c r="C685" s="167" t="n">
        <v>36</v>
      </c>
      <c r="D685" s="167" t="str">
        <f aca="false">A685&amp;" "&amp;B685&amp;" "&amp;C685</f>
        <v>3/8" Hex Mini CIM 36</v>
      </c>
      <c r="E685" s="167" t="n">
        <v>1</v>
      </c>
      <c r="I685" s="167" t="n">
        <v>0</v>
      </c>
    </row>
    <row r="686" customFormat="false" ht="14.25" hidden="false" customHeight="true" outlineLevel="0" collapsed="false">
      <c r="A686" s="167" t="s">
        <v>246</v>
      </c>
      <c r="B686" s="167" t="s">
        <v>249</v>
      </c>
      <c r="C686" s="167" t="n">
        <v>40</v>
      </c>
      <c r="D686" s="167" t="str">
        <f aca="false">A686&amp;" "&amp;B686&amp;" "&amp;C686</f>
        <v>3/8" Hex Mini CIM 40</v>
      </c>
      <c r="E686" s="167" t="n">
        <v>0</v>
      </c>
      <c r="I686" s="167" t="n">
        <v>0</v>
      </c>
    </row>
    <row r="687" customFormat="false" ht="14.25" hidden="false" customHeight="true" outlineLevel="0" collapsed="false">
      <c r="A687" s="167" t="s">
        <v>246</v>
      </c>
      <c r="B687" s="167" t="s">
        <v>249</v>
      </c>
      <c r="C687" s="167" t="n">
        <v>45</v>
      </c>
      <c r="D687" s="167" t="str">
        <f aca="false">A687&amp;" "&amp;B687&amp;" "&amp;C687</f>
        <v>3/8" Hex Mini CIM 45</v>
      </c>
      <c r="E687" s="167" t="n">
        <v>0</v>
      </c>
      <c r="I687" s="167" t="n">
        <v>0</v>
      </c>
    </row>
    <row r="688" customFormat="false" ht="14.25" hidden="false" customHeight="true" outlineLevel="0" collapsed="false">
      <c r="A688" s="167" t="s">
        <v>246</v>
      </c>
      <c r="B688" s="167" t="s">
        <v>249</v>
      </c>
      <c r="C688" s="167" t="n">
        <v>49</v>
      </c>
      <c r="D688" s="167" t="str">
        <f aca="false">A688&amp;" "&amp;B688&amp;" "&amp;C688</f>
        <v>3/8" Hex Mini CIM 49</v>
      </c>
      <c r="E688" s="167" t="n">
        <v>0</v>
      </c>
      <c r="I688" s="167" t="n">
        <v>0</v>
      </c>
    </row>
    <row r="689" customFormat="false" ht="14.25" hidden="false" customHeight="true" outlineLevel="0" collapsed="false">
      <c r="A689" s="167" t="s">
        <v>246</v>
      </c>
      <c r="B689" s="167" t="s">
        <v>249</v>
      </c>
      <c r="C689" s="167" t="n">
        <v>50</v>
      </c>
      <c r="D689" s="167" t="str">
        <f aca="false">A689&amp;" "&amp;B689&amp;" "&amp;C689</f>
        <v>3/8" Hex Mini CIM 50</v>
      </c>
      <c r="E689" s="167" t="n">
        <v>0</v>
      </c>
      <c r="I689" s="167" t="n">
        <v>0</v>
      </c>
    </row>
    <row r="690" customFormat="false" ht="14.25" hidden="false" customHeight="true" outlineLevel="0" collapsed="false">
      <c r="A690" s="167" t="s">
        <v>246</v>
      </c>
      <c r="B690" s="167" t="s">
        <v>249</v>
      </c>
      <c r="C690" s="167" t="n">
        <v>63</v>
      </c>
      <c r="D690" s="167" t="str">
        <f aca="false">A690&amp;" "&amp;B690&amp;" "&amp;C690</f>
        <v>3/8" Hex Mini CIM 63</v>
      </c>
      <c r="E690" s="167" t="n">
        <v>0</v>
      </c>
      <c r="I690" s="167" t="n">
        <v>0</v>
      </c>
    </row>
    <row r="691" customFormat="false" ht="14.25" hidden="false" customHeight="true" outlineLevel="0" collapsed="false">
      <c r="A691" s="167" t="s">
        <v>246</v>
      </c>
      <c r="B691" s="167" t="s">
        <v>249</v>
      </c>
      <c r="C691" s="167" t="n">
        <v>70</v>
      </c>
      <c r="D691" s="167" t="str">
        <f aca="false">A691&amp;" "&amp;B691&amp;" "&amp;C691</f>
        <v>3/8" Hex Mini CIM 70</v>
      </c>
      <c r="E691" s="167" t="n">
        <v>0</v>
      </c>
      <c r="I691" s="167" t="n">
        <v>0</v>
      </c>
    </row>
    <row r="692" customFormat="false" ht="14.25" hidden="false" customHeight="true" outlineLevel="0" collapsed="false">
      <c r="A692" s="167" t="s">
        <v>246</v>
      </c>
      <c r="B692" s="167" t="s">
        <v>249</v>
      </c>
      <c r="C692" s="167" t="n">
        <v>81</v>
      </c>
      <c r="D692" s="167" t="str">
        <f aca="false">A692&amp;" "&amp;B692&amp;" "&amp;C692</f>
        <v>3/8" Hex Mini CIM 81</v>
      </c>
      <c r="E692" s="167" t="n">
        <v>0</v>
      </c>
      <c r="I692" s="167" t="n">
        <v>0</v>
      </c>
    </row>
    <row r="693" customFormat="false" ht="14.25" hidden="false" customHeight="true" outlineLevel="0" collapsed="false">
      <c r="A693" s="167" t="s">
        <v>246</v>
      </c>
      <c r="B693" s="167" t="s">
        <v>249</v>
      </c>
      <c r="C693" s="167" t="n">
        <v>90</v>
      </c>
      <c r="D693" s="167" t="str">
        <f aca="false">A693&amp;" "&amp;B693&amp;" "&amp;C693</f>
        <v>3/8" Hex Mini CIM 90</v>
      </c>
      <c r="E693" s="167" t="n">
        <v>0</v>
      </c>
      <c r="I693" s="167" t="n">
        <v>0</v>
      </c>
    </row>
    <row r="694" customFormat="false" ht="14.25" hidden="false" customHeight="true" outlineLevel="0" collapsed="false">
      <c r="A694" s="167" t="s">
        <v>246</v>
      </c>
      <c r="B694" s="167" t="s">
        <v>249</v>
      </c>
      <c r="C694" s="167" t="n">
        <v>100</v>
      </c>
      <c r="D694" s="167" t="str">
        <f aca="false">A694&amp;" "&amp;B694&amp;" "&amp;C694</f>
        <v>3/8" Hex Mini CIM 100</v>
      </c>
      <c r="E694" s="167" t="n">
        <v>0</v>
      </c>
      <c r="I694" s="167" t="n">
        <v>0</v>
      </c>
    </row>
    <row r="695" customFormat="false" ht="14.25" hidden="false" customHeight="true" outlineLevel="0" collapsed="false">
      <c r="A695" s="167" t="s">
        <v>246</v>
      </c>
      <c r="B695" s="167" t="s">
        <v>89</v>
      </c>
      <c r="C695" s="167" t="n">
        <v>-3</v>
      </c>
      <c r="D695" s="167" t="str">
        <f aca="false">A695&amp;" "&amp;B695&amp;" "&amp;C695</f>
        <v>3/8" Hex CIM -3</v>
      </c>
      <c r="E695" s="167" t="n">
        <v>1</v>
      </c>
      <c r="I695" s="167" t="n">
        <v>0</v>
      </c>
    </row>
    <row r="696" customFormat="false" ht="14.25" hidden="false" customHeight="true" outlineLevel="0" collapsed="false">
      <c r="A696" s="167" t="s">
        <v>246</v>
      </c>
      <c r="B696" s="167" t="s">
        <v>89</v>
      </c>
      <c r="C696" s="167" t="n">
        <v>-4</v>
      </c>
      <c r="D696" s="167" t="str">
        <f aca="false">A696&amp;" "&amp;B696&amp;" "&amp;C696</f>
        <v>3/8" Hex CIM -4</v>
      </c>
      <c r="E696" s="167" t="n">
        <v>1</v>
      </c>
      <c r="I696" s="167" t="n">
        <v>0</v>
      </c>
    </row>
    <row r="697" customFormat="false" ht="14.25" hidden="false" customHeight="true" outlineLevel="0" collapsed="false">
      <c r="A697" s="167" t="s">
        <v>246</v>
      </c>
      <c r="B697" s="167" t="s">
        <v>89</v>
      </c>
      <c r="C697" s="167" t="n">
        <v>-5</v>
      </c>
      <c r="D697" s="167" t="str">
        <f aca="false">A697&amp;" "&amp;B697&amp;" "&amp;C697</f>
        <v>3/8" Hex CIM -5</v>
      </c>
      <c r="E697" s="167" t="n">
        <v>1</v>
      </c>
      <c r="I697" s="167" t="n">
        <v>0</v>
      </c>
    </row>
    <row r="698" customFormat="false" ht="14.25" hidden="false" customHeight="true" outlineLevel="0" collapsed="false">
      <c r="A698" s="167" t="s">
        <v>246</v>
      </c>
      <c r="B698" s="167" t="s">
        <v>89</v>
      </c>
      <c r="C698" s="167" t="n">
        <v>-7</v>
      </c>
      <c r="D698" s="167" t="str">
        <f aca="false">A698&amp;" "&amp;B698&amp;" "&amp;C698</f>
        <v>3/8" Hex CIM -7</v>
      </c>
      <c r="E698" s="167" t="n">
        <v>1</v>
      </c>
      <c r="I698" s="167" t="n">
        <v>0</v>
      </c>
    </row>
    <row r="699" customFormat="false" ht="14.25" hidden="false" customHeight="true" outlineLevel="0" collapsed="false">
      <c r="A699" s="167" t="s">
        <v>246</v>
      </c>
      <c r="B699" s="167" t="s">
        <v>89</v>
      </c>
      <c r="C699" s="167" t="n">
        <v>-9</v>
      </c>
      <c r="D699" s="167" t="str">
        <f aca="false">A699&amp;" "&amp;B699&amp;" "&amp;C699</f>
        <v>3/8" Hex CIM -9</v>
      </c>
      <c r="E699" s="167" t="n">
        <v>1</v>
      </c>
      <c r="I699" s="167" t="n">
        <v>0</v>
      </c>
    </row>
    <row r="700" customFormat="false" ht="14.25" hidden="false" customHeight="true" outlineLevel="0" collapsed="false">
      <c r="A700" s="167" t="s">
        <v>246</v>
      </c>
      <c r="B700" s="167" t="s">
        <v>89</v>
      </c>
      <c r="C700" s="167" t="n">
        <v>-10</v>
      </c>
      <c r="D700" s="167" t="str">
        <f aca="false">A700&amp;" "&amp;B700&amp;" "&amp;C700</f>
        <v>3/8" Hex CIM -10</v>
      </c>
      <c r="E700" s="167" t="n">
        <v>1</v>
      </c>
      <c r="I700" s="167" t="n">
        <v>0</v>
      </c>
    </row>
    <row r="701" customFormat="false" ht="14.25" hidden="false" customHeight="true" outlineLevel="0" collapsed="false">
      <c r="A701" s="167" t="s">
        <v>246</v>
      </c>
      <c r="B701" s="167" t="s">
        <v>89</v>
      </c>
      <c r="C701" s="167" t="n">
        <v>9</v>
      </c>
      <c r="D701" s="167" t="str">
        <f aca="false">A701&amp;" "&amp;B701&amp;" "&amp;C701</f>
        <v>3/8" Hex CIM 9</v>
      </c>
      <c r="E701" s="167" t="n">
        <v>1</v>
      </c>
      <c r="I701" s="167" t="n">
        <v>0</v>
      </c>
    </row>
    <row r="702" customFormat="false" ht="14.25" hidden="false" customHeight="true" outlineLevel="0" collapsed="false">
      <c r="A702" s="167" t="s">
        <v>246</v>
      </c>
      <c r="B702" s="167" t="s">
        <v>89</v>
      </c>
      <c r="C702" s="167" t="n">
        <v>12</v>
      </c>
      <c r="D702" s="167" t="str">
        <f aca="false">A702&amp;" "&amp;B702&amp;" "&amp;C702</f>
        <v>3/8" Hex CIM 12</v>
      </c>
      <c r="E702" s="167" t="n">
        <v>1</v>
      </c>
      <c r="I702" s="167" t="n">
        <v>0</v>
      </c>
    </row>
    <row r="703" customFormat="false" ht="14.25" hidden="false" customHeight="true" outlineLevel="0" collapsed="false">
      <c r="A703" s="167" t="s">
        <v>246</v>
      </c>
      <c r="B703" s="167" t="s">
        <v>89</v>
      </c>
      <c r="C703" s="167" t="n">
        <v>15</v>
      </c>
      <c r="D703" s="167" t="str">
        <f aca="false">A703&amp;" "&amp;B703&amp;" "&amp;C703</f>
        <v>3/8" Hex CIM 15</v>
      </c>
      <c r="E703" s="167" t="n">
        <v>1</v>
      </c>
      <c r="I703" s="167" t="n">
        <v>0</v>
      </c>
    </row>
    <row r="704" customFormat="false" ht="14.25" hidden="false" customHeight="true" outlineLevel="0" collapsed="false">
      <c r="A704" s="167" t="s">
        <v>246</v>
      </c>
      <c r="B704" s="167" t="s">
        <v>89</v>
      </c>
      <c r="C704" s="167" t="n">
        <v>16</v>
      </c>
      <c r="D704" s="167" t="str">
        <f aca="false">A704&amp;" "&amp;B704&amp;" "&amp;C704</f>
        <v>3/8" Hex CIM 16</v>
      </c>
      <c r="E704" s="167" t="n">
        <v>1</v>
      </c>
      <c r="I704" s="167" t="n">
        <v>0</v>
      </c>
    </row>
    <row r="705" customFormat="false" ht="14.25" hidden="false" customHeight="true" outlineLevel="0" collapsed="false">
      <c r="A705" s="167" t="s">
        <v>246</v>
      </c>
      <c r="B705" s="167" t="s">
        <v>89</v>
      </c>
      <c r="C705" s="167" t="n">
        <v>20</v>
      </c>
      <c r="D705" s="167" t="str">
        <f aca="false">A705&amp;" "&amp;B705&amp;" "&amp;C705</f>
        <v>3/8" Hex CIM 20</v>
      </c>
      <c r="E705" s="167" t="n">
        <v>1</v>
      </c>
      <c r="I705" s="167" t="n">
        <v>0</v>
      </c>
    </row>
    <row r="706" customFormat="false" ht="14.25" hidden="false" customHeight="true" outlineLevel="0" collapsed="false">
      <c r="A706" s="167" t="s">
        <v>246</v>
      </c>
      <c r="B706" s="167" t="s">
        <v>89</v>
      </c>
      <c r="C706" s="167" t="n">
        <v>21</v>
      </c>
      <c r="D706" s="167" t="str">
        <f aca="false">A706&amp;" "&amp;B706&amp;" "&amp;C706</f>
        <v>3/8" Hex CIM 21</v>
      </c>
      <c r="E706" s="167" t="n">
        <v>1</v>
      </c>
      <c r="I706" s="167" t="n">
        <v>0</v>
      </c>
    </row>
    <row r="707" customFormat="false" ht="14.25" hidden="false" customHeight="true" outlineLevel="0" collapsed="false">
      <c r="A707" s="167" t="s">
        <v>246</v>
      </c>
      <c r="B707" s="167" t="s">
        <v>89</v>
      </c>
      <c r="C707" s="167" t="n">
        <v>25</v>
      </c>
      <c r="D707" s="167" t="str">
        <f aca="false">A707&amp;" "&amp;B707&amp;" "&amp;C707</f>
        <v>3/8" Hex CIM 25</v>
      </c>
      <c r="E707" s="167" t="n">
        <v>0</v>
      </c>
      <c r="I707" s="167" t="n">
        <v>0</v>
      </c>
    </row>
    <row r="708" customFormat="false" ht="14.25" hidden="false" customHeight="true" outlineLevel="0" collapsed="false">
      <c r="A708" s="167" t="s">
        <v>246</v>
      </c>
      <c r="B708" s="167" t="s">
        <v>89</v>
      </c>
      <c r="C708" s="167" t="n">
        <v>27</v>
      </c>
      <c r="D708" s="167" t="str">
        <f aca="false">A708&amp;" "&amp;B708&amp;" "&amp;C708</f>
        <v>3/8" Hex CIM 27</v>
      </c>
      <c r="E708" s="167" t="n">
        <v>0</v>
      </c>
      <c r="I708" s="167" t="n">
        <v>0</v>
      </c>
    </row>
    <row r="709" customFormat="false" ht="14.25" hidden="false" customHeight="true" outlineLevel="0" collapsed="false">
      <c r="A709" s="167" t="s">
        <v>246</v>
      </c>
      <c r="B709" s="167" t="s">
        <v>89</v>
      </c>
      <c r="C709" s="167" t="n">
        <v>28</v>
      </c>
      <c r="D709" s="167" t="str">
        <f aca="false">A709&amp;" "&amp;B709&amp;" "&amp;C709</f>
        <v>3/8" Hex CIM 28</v>
      </c>
      <c r="E709" s="167" t="n">
        <v>0</v>
      </c>
      <c r="I709" s="167" t="n">
        <v>0</v>
      </c>
    </row>
    <row r="710" customFormat="false" ht="14.25" hidden="false" customHeight="true" outlineLevel="0" collapsed="false">
      <c r="A710" s="167" t="s">
        <v>246</v>
      </c>
      <c r="B710" s="167" t="s">
        <v>89</v>
      </c>
      <c r="C710" s="167" t="n">
        <v>30</v>
      </c>
      <c r="D710" s="167" t="str">
        <f aca="false">A710&amp;" "&amp;B710&amp;" "&amp;C710</f>
        <v>3/8" Hex CIM 30</v>
      </c>
      <c r="E710" s="167" t="n">
        <v>0</v>
      </c>
      <c r="I710" s="167" t="n">
        <v>0</v>
      </c>
    </row>
    <row r="711" customFormat="false" ht="14.25" hidden="false" customHeight="true" outlineLevel="0" collapsed="false">
      <c r="A711" s="167" t="s">
        <v>246</v>
      </c>
      <c r="B711" s="167" t="s">
        <v>89</v>
      </c>
      <c r="C711" s="167" t="n">
        <v>35</v>
      </c>
      <c r="D711" s="167" t="str">
        <f aca="false">A711&amp;" "&amp;B711&amp;" "&amp;C711</f>
        <v>3/8" Hex CIM 35</v>
      </c>
      <c r="E711" s="167" t="n">
        <v>0</v>
      </c>
      <c r="I711" s="167" t="n">
        <v>0</v>
      </c>
    </row>
    <row r="712" customFormat="false" ht="14.25" hidden="false" customHeight="true" outlineLevel="0" collapsed="false">
      <c r="A712" s="167" t="s">
        <v>246</v>
      </c>
      <c r="B712" s="167" t="s">
        <v>89</v>
      </c>
      <c r="C712" s="167" t="n">
        <v>36</v>
      </c>
      <c r="D712" s="167" t="str">
        <f aca="false">A712&amp;" "&amp;B712&amp;" "&amp;C712</f>
        <v>3/8" Hex CIM 36</v>
      </c>
      <c r="E712" s="167" t="n">
        <v>0</v>
      </c>
      <c r="I712" s="167" t="n">
        <v>0</v>
      </c>
    </row>
    <row r="713" customFormat="false" ht="14.25" hidden="false" customHeight="true" outlineLevel="0" collapsed="false">
      <c r="A713" s="167" t="s">
        <v>246</v>
      </c>
      <c r="B713" s="167" t="s">
        <v>89</v>
      </c>
      <c r="C713" s="167" t="n">
        <v>40</v>
      </c>
      <c r="D713" s="167" t="str">
        <f aca="false">A713&amp;" "&amp;B713&amp;" "&amp;C713</f>
        <v>3/8" Hex CIM 40</v>
      </c>
      <c r="E713" s="167" t="n">
        <v>0</v>
      </c>
      <c r="I713" s="167" t="n">
        <v>0</v>
      </c>
    </row>
    <row r="714" customFormat="false" ht="14.25" hidden="false" customHeight="true" outlineLevel="0" collapsed="false">
      <c r="A714" s="167" t="s">
        <v>246</v>
      </c>
      <c r="B714" s="167" t="s">
        <v>89</v>
      </c>
      <c r="C714" s="167" t="n">
        <v>45</v>
      </c>
      <c r="D714" s="167" t="str">
        <f aca="false">A714&amp;" "&amp;B714&amp;" "&amp;C714</f>
        <v>3/8" Hex CIM 45</v>
      </c>
      <c r="E714" s="167" t="n">
        <v>0</v>
      </c>
      <c r="I714" s="167" t="n">
        <v>0</v>
      </c>
    </row>
    <row r="715" customFormat="false" ht="14.25" hidden="false" customHeight="true" outlineLevel="0" collapsed="false">
      <c r="A715" s="167" t="s">
        <v>246</v>
      </c>
      <c r="B715" s="167" t="s">
        <v>89</v>
      </c>
      <c r="C715" s="167" t="n">
        <v>49</v>
      </c>
      <c r="D715" s="167" t="str">
        <f aca="false">A715&amp;" "&amp;B715&amp;" "&amp;C715</f>
        <v>3/8" Hex CIM 49</v>
      </c>
      <c r="E715" s="167" t="n">
        <v>0</v>
      </c>
      <c r="I715" s="167" t="n">
        <v>0</v>
      </c>
    </row>
    <row r="716" customFormat="false" ht="14.25" hidden="false" customHeight="true" outlineLevel="0" collapsed="false">
      <c r="A716" s="167" t="s">
        <v>246</v>
      </c>
      <c r="B716" s="167" t="s">
        <v>89</v>
      </c>
      <c r="C716" s="167" t="n">
        <v>50</v>
      </c>
      <c r="D716" s="167" t="str">
        <f aca="false">A716&amp;" "&amp;B716&amp;" "&amp;C716</f>
        <v>3/8" Hex CIM 50</v>
      </c>
      <c r="E716" s="167" t="n">
        <v>0</v>
      </c>
      <c r="I716" s="167" t="n">
        <v>0</v>
      </c>
    </row>
    <row r="717" customFormat="false" ht="14.25" hidden="false" customHeight="true" outlineLevel="0" collapsed="false">
      <c r="A717" s="167" t="s">
        <v>246</v>
      </c>
      <c r="B717" s="167" t="s">
        <v>89</v>
      </c>
      <c r="C717" s="167" t="n">
        <v>63</v>
      </c>
      <c r="D717" s="167" t="str">
        <f aca="false">A717&amp;" "&amp;B717&amp;" "&amp;C717</f>
        <v>3/8" Hex CIM 63</v>
      </c>
      <c r="E717" s="167" t="n">
        <v>0</v>
      </c>
      <c r="I717" s="167" t="n">
        <v>0</v>
      </c>
    </row>
    <row r="718" customFormat="false" ht="14.25" hidden="false" customHeight="true" outlineLevel="0" collapsed="false">
      <c r="A718" s="167" t="s">
        <v>246</v>
      </c>
      <c r="B718" s="167" t="s">
        <v>89</v>
      </c>
      <c r="C718" s="167" t="n">
        <v>70</v>
      </c>
      <c r="D718" s="167" t="str">
        <f aca="false">A718&amp;" "&amp;B718&amp;" "&amp;C718</f>
        <v>3/8" Hex CIM 70</v>
      </c>
      <c r="E718" s="167" t="n">
        <v>0</v>
      </c>
      <c r="I718" s="167" t="n">
        <v>0</v>
      </c>
    </row>
    <row r="719" customFormat="false" ht="14.25" hidden="false" customHeight="true" outlineLevel="0" collapsed="false">
      <c r="A719" s="167" t="s">
        <v>246</v>
      </c>
      <c r="B719" s="167" t="s">
        <v>89</v>
      </c>
      <c r="C719" s="167" t="n">
        <v>81</v>
      </c>
      <c r="D719" s="167" t="str">
        <f aca="false">A719&amp;" "&amp;B719&amp;" "&amp;C719</f>
        <v>3/8" Hex CIM 81</v>
      </c>
      <c r="E719" s="167" t="n">
        <v>0</v>
      </c>
      <c r="I719" s="167" t="n">
        <v>0</v>
      </c>
    </row>
    <row r="720" customFormat="false" ht="14.25" hidden="false" customHeight="true" outlineLevel="0" collapsed="false">
      <c r="A720" s="167" t="s">
        <v>246</v>
      </c>
      <c r="B720" s="167" t="s">
        <v>89</v>
      </c>
      <c r="C720" s="167" t="n">
        <v>90</v>
      </c>
      <c r="D720" s="167" t="str">
        <f aca="false">A720&amp;" "&amp;B720&amp;" "&amp;C720</f>
        <v>3/8" Hex CIM 90</v>
      </c>
      <c r="E720" s="167" t="n">
        <v>0</v>
      </c>
      <c r="I720" s="167" t="n">
        <v>0</v>
      </c>
    </row>
    <row r="721" customFormat="false" ht="14.25" hidden="false" customHeight="true" outlineLevel="0" collapsed="false">
      <c r="A721" s="167" t="s">
        <v>246</v>
      </c>
      <c r="B721" s="167" t="s">
        <v>89</v>
      </c>
      <c r="C721" s="167" t="n">
        <v>100</v>
      </c>
      <c r="D721" s="167" t="str">
        <f aca="false">A721&amp;" "&amp;B721&amp;" "&amp;C721</f>
        <v>3/8" Hex CIM 100</v>
      </c>
      <c r="E721" s="167" t="n">
        <v>0</v>
      </c>
      <c r="I721" s="167" t="n">
        <v>0</v>
      </c>
    </row>
    <row r="722" customFormat="false" ht="14.25" hidden="false" customHeight="true" outlineLevel="0" collapsed="false">
      <c r="A722" s="167" t="s">
        <v>246</v>
      </c>
      <c r="B722" s="167" t="s">
        <v>256</v>
      </c>
      <c r="C722" s="167" t="n">
        <v>-3</v>
      </c>
      <c r="D722" s="167" t="str">
        <f aca="false">A722&amp;" "&amp;B722&amp;" "&amp;C722</f>
        <v>3/8" Hex NEO -3</v>
      </c>
      <c r="E722" s="167" t="n">
        <v>1</v>
      </c>
      <c r="I722" s="167" t="n">
        <v>0</v>
      </c>
    </row>
    <row r="723" customFormat="false" ht="14.25" hidden="false" customHeight="true" outlineLevel="0" collapsed="false">
      <c r="A723" s="167" t="s">
        <v>246</v>
      </c>
      <c r="B723" s="167" t="s">
        <v>256</v>
      </c>
      <c r="C723" s="167" t="n">
        <v>-4</v>
      </c>
      <c r="D723" s="167" t="str">
        <f aca="false">A723&amp;" "&amp;B723&amp;" "&amp;C723</f>
        <v>3/8" Hex NEO -4</v>
      </c>
      <c r="E723" s="167" t="n">
        <v>1</v>
      </c>
      <c r="I723" s="167" t="n">
        <v>0</v>
      </c>
    </row>
    <row r="724" customFormat="false" ht="14.25" hidden="false" customHeight="true" outlineLevel="0" collapsed="false">
      <c r="A724" s="167" t="s">
        <v>246</v>
      </c>
      <c r="B724" s="167" t="s">
        <v>256</v>
      </c>
      <c r="C724" s="167" t="n">
        <v>-5</v>
      </c>
      <c r="D724" s="167" t="str">
        <f aca="false">A724&amp;" "&amp;B724&amp;" "&amp;C724</f>
        <v>3/8" Hex NEO -5</v>
      </c>
      <c r="E724" s="167" t="n">
        <v>1</v>
      </c>
      <c r="I724" s="167" t="n">
        <v>0</v>
      </c>
    </row>
    <row r="725" customFormat="false" ht="14.25" hidden="false" customHeight="true" outlineLevel="0" collapsed="false">
      <c r="A725" s="167" t="s">
        <v>246</v>
      </c>
      <c r="B725" s="167" t="s">
        <v>256</v>
      </c>
      <c r="C725" s="167" t="n">
        <v>-7</v>
      </c>
      <c r="D725" s="167" t="str">
        <f aca="false">A725&amp;" "&amp;B725&amp;" "&amp;C725</f>
        <v>3/8" Hex NEO -7</v>
      </c>
      <c r="E725" s="167" t="n">
        <v>1</v>
      </c>
      <c r="I725" s="167" t="n">
        <v>0</v>
      </c>
    </row>
    <row r="726" customFormat="false" ht="14.25" hidden="false" customHeight="true" outlineLevel="0" collapsed="false">
      <c r="A726" s="167" t="s">
        <v>246</v>
      </c>
      <c r="B726" s="167" t="s">
        <v>256</v>
      </c>
      <c r="C726" s="167" t="n">
        <v>-9</v>
      </c>
      <c r="D726" s="167" t="str">
        <f aca="false">A726&amp;" "&amp;B726&amp;" "&amp;C726</f>
        <v>3/8" Hex NEO -9</v>
      </c>
      <c r="E726" s="167" t="n">
        <v>1</v>
      </c>
      <c r="I726" s="167" t="n">
        <v>0</v>
      </c>
    </row>
    <row r="727" customFormat="false" ht="14.25" hidden="false" customHeight="true" outlineLevel="0" collapsed="false">
      <c r="A727" s="167" t="s">
        <v>246</v>
      </c>
      <c r="B727" s="167" t="s">
        <v>256</v>
      </c>
      <c r="C727" s="167" t="n">
        <v>-10</v>
      </c>
      <c r="D727" s="167" t="str">
        <f aca="false">A727&amp;" "&amp;B727&amp;" "&amp;C727</f>
        <v>3/8" Hex NEO -10</v>
      </c>
      <c r="E727" s="167" t="n">
        <v>1</v>
      </c>
      <c r="I727" s="167" t="n">
        <v>0</v>
      </c>
    </row>
    <row r="728" customFormat="false" ht="14.25" hidden="false" customHeight="true" outlineLevel="0" collapsed="false">
      <c r="A728" s="167" t="s">
        <v>246</v>
      </c>
      <c r="B728" s="167" t="s">
        <v>256</v>
      </c>
      <c r="C728" s="167" t="n">
        <v>9</v>
      </c>
      <c r="D728" s="167" t="str">
        <f aca="false">A728&amp;" "&amp;B728&amp;" "&amp;C728</f>
        <v>3/8" Hex NEO 9</v>
      </c>
      <c r="E728" s="167" t="n">
        <v>1</v>
      </c>
      <c r="I728" s="167" t="n">
        <v>0</v>
      </c>
    </row>
    <row r="729" customFormat="false" ht="14.25" hidden="false" customHeight="true" outlineLevel="0" collapsed="false">
      <c r="A729" s="167" t="s">
        <v>246</v>
      </c>
      <c r="B729" s="167" t="s">
        <v>256</v>
      </c>
      <c r="C729" s="167" t="n">
        <v>12</v>
      </c>
      <c r="D729" s="167" t="str">
        <f aca="false">A729&amp;" "&amp;B729&amp;" "&amp;C729</f>
        <v>3/8" Hex NEO 12</v>
      </c>
      <c r="E729" s="167" t="n">
        <v>1</v>
      </c>
      <c r="I729" s="167" t="n">
        <v>0</v>
      </c>
    </row>
    <row r="730" customFormat="false" ht="14.25" hidden="false" customHeight="true" outlineLevel="0" collapsed="false">
      <c r="A730" s="167" t="s">
        <v>246</v>
      </c>
      <c r="B730" s="167" t="s">
        <v>256</v>
      </c>
      <c r="C730" s="167" t="n">
        <v>15</v>
      </c>
      <c r="D730" s="167" t="str">
        <f aca="false">A730&amp;" "&amp;B730&amp;" "&amp;C730</f>
        <v>3/8" Hex NEO 15</v>
      </c>
      <c r="E730" s="167" t="n">
        <v>1</v>
      </c>
      <c r="I730" s="167" t="n">
        <v>0</v>
      </c>
    </row>
    <row r="731" customFormat="false" ht="14.25" hidden="false" customHeight="true" outlineLevel="0" collapsed="false">
      <c r="A731" s="167" t="s">
        <v>246</v>
      </c>
      <c r="B731" s="167" t="s">
        <v>256</v>
      </c>
      <c r="C731" s="167" t="n">
        <v>16</v>
      </c>
      <c r="D731" s="167" t="str">
        <f aca="false">A731&amp;" "&amp;B731&amp;" "&amp;C731</f>
        <v>3/8" Hex NEO 16</v>
      </c>
      <c r="E731" s="167" t="n">
        <v>1</v>
      </c>
      <c r="I731" s="167" t="n">
        <v>0</v>
      </c>
    </row>
    <row r="732" customFormat="false" ht="14.25" hidden="false" customHeight="true" outlineLevel="0" collapsed="false">
      <c r="A732" s="167" t="s">
        <v>246</v>
      </c>
      <c r="B732" s="167" t="s">
        <v>256</v>
      </c>
      <c r="C732" s="167" t="n">
        <v>20</v>
      </c>
      <c r="D732" s="167" t="str">
        <f aca="false">A732&amp;" "&amp;B732&amp;" "&amp;C732</f>
        <v>3/8" Hex NEO 20</v>
      </c>
      <c r="E732" s="167" t="n">
        <v>0</v>
      </c>
      <c r="I732" s="167" t="n">
        <v>0</v>
      </c>
    </row>
    <row r="733" customFormat="false" ht="14.25" hidden="false" customHeight="true" outlineLevel="0" collapsed="false">
      <c r="A733" s="167" t="s">
        <v>246</v>
      </c>
      <c r="B733" s="167" t="s">
        <v>256</v>
      </c>
      <c r="C733" s="167" t="n">
        <v>21</v>
      </c>
      <c r="D733" s="167" t="str">
        <f aca="false">A733&amp;" "&amp;B733&amp;" "&amp;C733</f>
        <v>3/8" Hex NEO 21</v>
      </c>
      <c r="E733" s="167" t="n">
        <v>0</v>
      </c>
      <c r="I733" s="167" t="n">
        <v>0</v>
      </c>
    </row>
    <row r="734" customFormat="false" ht="14.25" hidden="false" customHeight="true" outlineLevel="0" collapsed="false">
      <c r="A734" s="167" t="s">
        <v>246</v>
      </c>
      <c r="B734" s="167" t="s">
        <v>256</v>
      </c>
      <c r="C734" s="167" t="n">
        <v>25</v>
      </c>
      <c r="D734" s="167" t="str">
        <f aca="false">A734&amp;" "&amp;B734&amp;" "&amp;C734</f>
        <v>3/8" Hex NEO 25</v>
      </c>
      <c r="E734" s="167" t="n">
        <v>0</v>
      </c>
      <c r="I734" s="167" t="n">
        <v>0</v>
      </c>
    </row>
    <row r="735" customFormat="false" ht="14.25" hidden="false" customHeight="true" outlineLevel="0" collapsed="false">
      <c r="A735" s="167" t="s">
        <v>246</v>
      </c>
      <c r="B735" s="167" t="s">
        <v>256</v>
      </c>
      <c r="C735" s="167" t="n">
        <v>27</v>
      </c>
      <c r="D735" s="167" t="str">
        <f aca="false">A735&amp;" "&amp;B735&amp;" "&amp;C735</f>
        <v>3/8" Hex NEO 27</v>
      </c>
      <c r="E735" s="167" t="n">
        <v>0</v>
      </c>
      <c r="I735" s="167" t="n">
        <v>0</v>
      </c>
    </row>
    <row r="736" customFormat="false" ht="14.25" hidden="false" customHeight="true" outlineLevel="0" collapsed="false">
      <c r="A736" s="167" t="s">
        <v>246</v>
      </c>
      <c r="B736" s="167" t="s">
        <v>256</v>
      </c>
      <c r="C736" s="167" t="n">
        <v>28</v>
      </c>
      <c r="D736" s="167" t="str">
        <f aca="false">A736&amp;" "&amp;B736&amp;" "&amp;C736</f>
        <v>3/8" Hex NEO 28</v>
      </c>
      <c r="E736" s="167" t="n">
        <v>0</v>
      </c>
      <c r="I736" s="167" t="n">
        <v>0</v>
      </c>
    </row>
    <row r="737" customFormat="false" ht="14.25" hidden="false" customHeight="true" outlineLevel="0" collapsed="false">
      <c r="A737" s="167" t="s">
        <v>246</v>
      </c>
      <c r="B737" s="167" t="s">
        <v>256</v>
      </c>
      <c r="C737" s="167" t="n">
        <v>30</v>
      </c>
      <c r="D737" s="167" t="str">
        <f aca="false">A737&amp;" "&amp;B737&amp;" "&amp;C737</f>
        <v>3/8" Hex NEO 30</v>
      </c>
      <c r="E737" s="167" t="n">
        <v>0</v>
      </c>
      <c r="I737" s="167" t="n">
        <v>0</v>
      </c>
    </row>
    <row r="738" customFormat="false" ht="14.25" hidden="false" customHeight="true" outlineLevel="0" collapsed="false">
      <c r="A738" s="167" t="s">
        <v>246</v>
      </c>
      <c r="B738" s="167" t="s">
        <v>256</v>
      </c>
      <c r="C738" s="167" t="n">
        <v>35</v>
      </c>
      <c r="D738" s="167" t="str">
        <f aca="false">A738&amp;" "&amp;B738&amp;" "&amp;C738</f>
        <v>3/8" Hex NEO 35</v>
      </c>
      <c r="E738" s="167" t="n">
        <v>0</v>
      </c>
      <c r="I738" s="167" t="n">
        <v>0</v>
      </c>
    </row>
    <row r="739" customFormat="false" ht="14.25" hidden="false" customHeight="true" outlineLevel="0" collapsed="false">
      <c r="A739" s="167" t="s">
        <v>246</v>
      </c>
      <c r="B739" s="167" t="s">
        <v>256</v>
      </c>
      <c r="C739" s="167" t="n">
        <v>36</v>
      </c>
      <c r="D739" s="167" t="str">
        <f aca="false">A739&amp;" "&amp;B739&amp;" "&amp;C739</f>
        <v>3/8" Hex NEO 36</v>
      </c>
      <c r="E739" s="167" t="n">
        <v>0</v>
      </c>
      <c r="I739" s="167" t="n">
        <v>0</v>
      </c>
    </row>
    <row r="740" customFormat="false" ht="14.25" hidden="false" customHeight="true" outlineLevel="0" collapsed="false">
      <c r="A740" s="167" t="s">
        <v>246</v>
      </c>
      <c r="B740" s="167" t="s">
        <v>256</v>
      </c>
      <c r="C740" s="167" t="n">
        <v>40</v>
      </c>
      <c r="D740" s="167" t="str">
        <f aca="false">A740&amp;" "&amp;B740&amp;" "&amp;C740</f>
        <v>3/8" Hex NEO 40</v>
      </c>
      <c r="E740" s="167" t="n">
        <v>0</v>
      </c>
      <c r="I740" s="167" t="n">
        <v>0</v>
      </c>
    </row>
    <row r="741" customFormat="false" ht="14.25" hidden="false" customHeight="true" outlineLevel="0" collapsed="false">
      <c r="A741" s="167" t="s">
        <v>246</v>
      </c>
      <c r="B741" s="167" t="s">
        <v>256</v>
      </c>
      <c r="C741" s="167" t="n">
        <v>45</v>
      </c>
      <c r="D741" s="167" t="str">
        <f aca="false">A741&amp;" "&amp;B741&amp;" "&amp;C741</f>
        <v>3/8" Hex NEO 45</v>
      </c>
      <c r="E741" s="167" t="n">
        <v>0</v>
      </c>
      <c r="I741" s="167" t="n">
        <v>0</v>
      </c>
    </row>
    <row r="742" customFormat="false" ht="14.25" hidden="false" customHeight="true" outlineLevel="0" collapsed="false">
      <c r="A742" s="167" t="s">
        <v>246</v>
      </c>
      <c r="B742" s="167" t="s">
        <v>256</v>
      </c>
      <c r="C742" s="167" t="n">
        <v>49</v>
      </c>
      <c r="D742" s="167" t="str">
        <f aca="false">A742&amp;" "&amp;B742&amp;" "&amp;C742</f>
        <v>3/8" Hex NEO 49</v>
      </c>
      <c r="E742" s="167" t="n">
        <v>0</v>
      </c>
      <c r="I742" s="167" t="n">
        <v>0</v>
      </c>
    </row>
    <row r="743" customFormat="false" ht="14.25" hidden="false" customHeight="true" outlineLevel="0" collapsed="false">
      <c r="A743" s="167" t="s">
        <v>246</v>
      </c>
      <c r="B743" s="167" t="s">
        <v>256</v>
      </c>
      <c r="C743" s="167" t="n">
        <v>50</v>
      </c>
      <c r="D743" s="167" t="str">
        <f aca="false">A743&amp;" "&amp;B743&amp;" "&amp;C743</f>
        <v>3/8" Hex NEO 50</v>
      </c>
      <c r="E743" s="167" t="n">
        <v>0</v>
      </c>
      <c r="I743" s="167" t="n">
        <v>0</v>
      </c>
    </row>
    <row r="744" customFormat="false" ht="14.25" hidden="false" customHeight="true" outlineLevel="0" collapsed="false">
      <c r="A744" s="167" t="s">
        <v>246</v>
      </c>
      <c r="B744" s="167" t="s">
        <v>256</v>
      </c>
      <c r="C744" s="167" t="n">
        <v>63</v>
      </c>
      <c r="D744" s="167" t="str">
        <f aca="false">A744&amp;" "&amp;B744&amp;" "&amp;C744</f>
        <v>3/8" Hex NEO 63</v>
      </c>
      <c r="E744" s="167" t="n">
        <v>0</v>
      </c>
      <c r="I744" s="167" t="n">
        <v>0</v>
      </c>
    </row>
    <row r="745" customFormat="false" ht="14.25" hidden="false" customHeight="true" outlineLevel="0" collapsed="false">
      <c r="A745" s="167" t="s">
        <v>246</v>
      </c>
      <c r="B745" s="167" t="s">
        <v>256</v>
      </c>
      <c r="C745" s="167" t="n">
        <v>70</v>
      </c>
      <c r="D745" s="167" t="str">
        <f aca="false">A745&amp;" "&amp;B745&amp;" "&amp;C745</f>
        <v>3/8" Hex NEO 70</v>
      </c>
      <c r="E745" s="167" t="n">
        <v>0</v>
      </c>
      <c r="I745" s="167" t="n">
        <v>0</v>
      </c>
    </row>
    <row r="746" customFormat="false" ht="14.25" hidden="false" customHeight="true" outlineLevel="0" collapsed="false">
      <c r="A746" s="167" t="s">
        <v>246</v>
      </c>
      <c r="B746" s="167" t="s">
        <v>256</v>
      </c>
      <c r="C746" s="167" t="n">
        <v>81</v>
      </c>
      <c r="D746" s="167" t="str">
        <f aca="false">A746&amp;" "&amp;B746&amp;" "&amp;C746</f>
        <v>3/8" Hex NEO 81</v>
      </c>
      <c r="E746" s="167" t="n">
        <v>0</v>
      </c>
      <c r="I746" s="167" t="n">
        <v>0</v>
      </c>
    </row>
    <row r="747" customFormat="false" ht="14.25" hidden="false" customHeight="true" outlineLevel="0" collapsed="false">
      <c r="A747" s="167" t="s">
        <v>246</v>
      </c>
      <c r="B747" s="167" t="s">
        <v>256</v>
      </c>
      <c r="C747" s="167" t="n">
        <v>90</v>
      </c>
      <c r="D747" s="167" t="str">
        <f aca="false">A747&amp;" "&amp;B747&amp;" "&amp;C747</f>
        <v>3/8" Hex NEO 90</v>
      </c>
      <c r="E747" s="167" t="n">
        <v>0</v>
      </c>
      <c r="I747" s="167" t="n">
        <v>0</v>
      </c>
    </row>
    <row r="748" customFormat="false" ht="14.25" hidden="false" customHeight="true" outlineLevel="0" collapsed="false">
      <c r="A748" s="167" t="s">
        <v>246</v>
      </c>
      <c r="B748" s="167" t="s">
        <v>256</v>
      </c>
      <c r="C748" s="167" t="n">
        <v>100</v>
      </c>
      <c r="D748" s="167" t="str">
        <f aca="false">A748&amp;" "&amp;B748&amp;" "&amp;C748</f>
        <v>3/8" Hex NEO 100</v>
      </c>
      <c r="E748" s="167" t="n">
        <v>0</v>
      </c>
      <c r="I748" s="167" t="n">
        <v>0</v>
      </c>
    </row>
    <row r="749" customFormat="false" ht="14.25" hidden="false" customHeight="true" outlineLevel="0" collapsed="false">
      <c r="A749" s="167" t="s">
        <v>246</v>
      </c>
      <c r="B749" s="167" t="s">
        <v>257</v>
      </c>
      <c r="C749" s="167" t="n">
        <v>-3</v>
      </c>
      <c r="D749" s="167" t="str">
        <f aca="false">A749&amp;" "&amp;B749&amp;" "&amp;C749</f>
        <v>3/8" Hex Falcon 500 -3</v>
      </c>
      <c r="E749" s="167" t="n">
        <v>1</v>
      </c>
      <c r="I749" s="167" t="n">
        <v>0</v>
      </c>
    </row>
    <row r="750" customFormat="false" ht="14.25" hidden="false" customHeight="true" outlineLevel="0" collapsed="false">
      <c r="A750" s="167" t="s">
        <v>246</v>
      </c>
      <c r="B750" s="167" t="s">
        <v>257</v>
      </c>
      <c r="C750" s="167" t="n">
        <v>-4</v>
      </c>
      <c r="D750" s="167" t="str">
        <f aca="false">A750&amp;" "&amp;B750&amp;" "&amp;C750</f>
        <v>3/8" Hex Falcon 500 -4</v>
      </c>
      <c r="E750" s="167" t="n">
        <v>1</v>
      </c>
      <c r="I750" s="167" t="n">
        <v>0</v>
      </c>
    </row>
    <row r="751" customFormat="false" ht="14.25" hidden="false" customHeight="true" outlineLevel="0" collapsed="false">
      <c r="A751" s="167" t="s">
        <v>246</v>
      </c>
      <c r="B751" s="167" t="s">
        <v>257</v>
      </c>
      <c r="C751" s="167" t="n">
        <v>-5</v>
      </c>
      <c r="D751" s="167" t="str">
        <f aca="false">A751&amp;" "&amp;B751&amp;" "&amp;C751</f>
        <v>3/8" Hex Falcon 500 -5</v>
      </c>
      <c r="E751" s="167" t="n">
        <v>1</v>
      </c>
      <c r="I751" s="167" t="n">
        <v>0</v>
      </c>
    </row>
    <row r="752" customFormat="false" ht="14.25" hidden="false" customHeight="true" outlineLevel="0" collapsed="false">
      <c r="A752" s="167" t="s">
        <v>246</v>
      </c>
      <c r="B752" s="167" t="s">
        <v>257</v>
      </c>
      <c r="C752" s="167" t="n">
        <v>-7</v>
      </c>
      <c r="D752" s="167" t="str">
        <f aca="false">A752&amp;" "&amp;B752&amp;" "&amp;C752</f>
        <v>3/8" Hex Falcon 500 -7</v>
      </c>
      <c r="E752" s="167" t="n">
        <v>1</v>
      </c>
      <c r="I752" s="167" t="n">
        <v>0</v>
      </c>
    </row>
    <row r="753" customFormat="false" ht="14.25" hidden="false" customHeight="true" outlineLevel="0" collapsed="false">
      <c r="A753" s="167" t="s">
        <v>246</v>
      </c>
      <c r="B753" s="167" t="s">
        <v>257</v>
      </c>
      <c r="C753" s="167" t="n">
        <v>-9</v>
      </c>
      <c r="D753" s="167" t="str">
        <f aca="false">A753&amp;" "&amp;B753&amp;" "&amp;C753</f>
        <v>3/8" Hex Falcon 500 -9</v>
      </c>
      <c r="E753" s="167" t="n">
        <v>1</v>
      </c>
      <c r="I753" s="167" t="n">
        <v>0</v>
      </c>
    </row>
    <row r="754" customFormat="false" ht="14.25" hidden="false" customHeight="true" outlineLevel="0" collapsed="false">
      <c r="A754" s="167" t="s">
        <v>246</v>
      </c>
      <c r="B754" s="167" t="s">
        <v>257</v>
      </c>
      <c r="C754" s="167" t="n">
        <v>-10</v>
      </c>
      <c r="D754" s="167" t="str">
        <f aca="false">A754&amp;" "&amp;B754&amp;" "&amp;C754</f>
        <v>3/8" Hex Falcon 500 -10</v>
      </c>
      <c r="E754" s="167" t="n">
        <v>1</v>
      </c>
      <c r="I754" s="167" t="n">
        <v>0</v>
      </c>
    </row>
    <row r="755" customFormat="false" ht="14.25" hidden="false" customHeight="true" outlineLevel="0" collapsed="false">
      <c r="A755" s="167" t="s">
        <v>246</v>
      </c>
      <c r="B755" s="167" t="s">
        <v>257</v>
      </c>
      <c r="C755" s="167" t="n">
        <v>9</v>
      </c>
      <c r="D755" s="167" t="str">
        <f aca="false">A755&amp;" "&amp;B755&amp;" "&amp;C755</f>
        <v>3/8" Hex Falcon 500 9</v>
      </c>
      <c r="E755" s="167" t="n">
        <v>1</v>
      </c>
      <c r="I755" s="167" t="n">
        <v>0</v>
      </c>
    </row>
    <row r="756" customFormat="false" ht="14.25" hidden="false" customHeight="true" outlineLevel="0" collapsed="false">
      <c r="A756" s="167" t="s">
        <v>246</v>
      </c>
      <c r="B756" s="167" t="s">
        <v>257</v>
      </c>
      <c r="C756" s="167" t="n">
        <v>12</v>
      </c>
      <c r="D756" s="167" t="str">
        <f aca="false">A756&amp;" "&amp;B756&amp;" "&amp;C756</f>
        <v>3/8" Hex Falcon 500 12</v>
      </c>
      <c r="E756" s="167" t="n">
        <v>1</v>
      </c>
      <c r="I756" s="167" t="n">
        <v>0</v>
      </c>
    </row>
    <row r="757" customFormat="false" ht="14.25" hidden="false" customHeight="true" outlineLevel="0" collapsed="false">
      <c r="A757" s="167" t="s">
        <v>246</v>
      </c>
      <c r="B757" s="167" t="s">
        <v>257</v>
      </c>
      <c r="C757" s="167" t="n">
        <v>15</v>
      </c>
      <c r="D757" s="167" t="str">
        <f aca="false">A757&amp;" "&amp;B757&amp;" "&amp;C757</f>
        <v>3/8" Hex Falcon 500 15</v>
      </c>
      <c r="E757" s="167" t="n">
        <v>0</v>
      </c>
      <c r="I757" s="167" t="n">
        <v>0</v>
      </c>
    </row>
    <row r="758" customFormat="false" ht="14.25" hidden="false" customHeight="true" outlineLevel="0" collapsed="false">
      <c r="A758" s="167" t="s">
        <v>246</v>
      </c>
      <c r="B758" s="167" t="s">
        <v>257</v>
      </c>
      <c r="C758" s="167" t="n">
        <v>16</v>
      </c>
      <c r="D758" s="167" t="str">
        <f aca="false">A758&amp;" "&amp;B758&amp;" "&amp;C758</f>
        <v>3/8" Hex Falcon 500 16</v>
      </c>
      <c r="E758" s="167" t="n">
        <v>0</v>
      </c>
      <c r="I758" s="167" t="n">
        <v>0</v>
      </c>
    </row>
    <row r="759" customFormat="false" ht="14.25" hidden="false" customHeight="true" outlineLevel="0" collapsed="false">
      <c r="A759" s="167" t="s">
        <v>246</v>
      </c>
      <c r="B759" s="167" t="s">
        <v>257</v>
      </c>
      <c r="C759" s="167" t="n">
        <v>20</v>
      </c>
      <c r="D759" s="167" t="str">
        <f aca="false">A759&amp;" "&amp;B759&amp;" "&amp;C759</f>
        <v>3/8" Hex Falcon 500 20</v>
      </c>
      <c r="E759" s="167" t="n">
        <v>0</v>
      </c>
      <c r="I759" s="167" t="n">
        <v>0</v>
      </c>
    </row>
    <row r="760" customFormat="false" ht="14.25" hidden="false" customHeight="true" outlineLevel="0" collapsed="false">
      <c r="A760" s="167" t="s">
        <v>246</v>
      </c>
      <c r="B760" s="167" t="s">
        <v>257</v>
      </c>
      <c r="C760" s="167" t="n">
        <v>21</v>
      </c>
      <c r="D760" s="167" t="str">
        <f aca="false">A760&amp;" "&amp;B760&amp;" "&amp;C760</f>
        <v>3/8" Hex Falcon 500 21</v>
      </c>
      <c r="E760" s="167" t="n">
        <v>0</v>
      </c>
      <c r="I760" s="167" t="n">
        <v>0</v>
      </c>
    </row>
    <row r="761" customFormat="false" ht="14.25" hidden="false" customHeight="true" outlineLevel="0" collapsed="false">
      <c r="A761" s="167" t="s">
        <v>246</v>
      </c>
      <c r="B761" s="167" t="s">
        <v>257</v>
      </c>
      <c r="C761" s="167" t="n">
        <v>25</v>
      </c>
      <c r="D761" s="167" t="str">
        <f aca="false">A761&amp;" "&amp;B761&amp;" "&amp;C761</f>
        <v>3/8" Hex Falcon 500 25</v>
      </c>
      <c r="E761" s="167" t="n">
        <v>0</v>
      </c>
      <c r="I761" s="167" t="n">
        <v>0</v>
      </c>
    </row>
    <row r="762" customFormat="false" ht="14.25" hidden="false" customHeight="true" outlineLevel="0" collapsed="false">
      <c r="A762" s="167" t="s">
        <v>246</v>
      </c>
      <c r="B762" s="167" t="s">
        <v>257</v>
      </c>
      <c r="C762" s="167" t="n">
        <v>27</v>
      </c>
      <c r="D762" s="167" t="str">
        <f aca="false">A762&amp;" "&amp;B762&amp;" "&amp;C762</f>
        <v>3/8" Hex Falcon 500 27</v>
      </c>
      <c r="E762" s="167" t="n">
        <v>0</v>
      </c>
      <c r="I762" s="167" t="n">
        <v>0</v>
      </c>
    </row>
    <row r="763" customFormat="false" ht="14.25" hidden="false" customHeight="true" outlineLevel="0" collapsed="false">
      <c r="A763" s="167" t="s">
        <v>246</v>
      </c>
      <c r="B763" s="167" t="s">
        <v>257</v>
      </c>
      <c r="C763" s="167" t="n">
        <v>28</v>
      </c>
      <c r="D763" s="167" t="str">
        <f aca="false">A763&amp;" "&amp;B763&amp;" "&amp;C763</f>
        <v>3/8" Hex Falcon 500 28</v>
      </c>
      <c r="E763" s="167" t="n">
        <v>0</v>
      </c>
      <c r="I763" s="167" t="n">
        <v>0</v>
      </c>
    </row>
    <row r="764" customFormat="false" ht="14.25" hidden="false" customHeight="true" outlineLevel="0" collapsed="false">
      <c r="A764" s="167" t="s">
        <v>246</v>
      </c>
      <c r="B764" s="167" t="s">
        <v>257</v>
      </c>
      <c r="C764" s="167" t="n">
        <v>30</v>
      </c>
      <c r="D764" s="167" t="str">
        <f aca="false">A764&amp;" "&amp;B764&amp;" "&amp;C764</f>
        <v>3/8" Hex Falcon 500 30</v>
      </c>
      <c r="E764" s="167" t="n">
        <v>0</v>
      </c>
      <c r="I764" s="167" t="n">
        <v>0</v>
      </c>
    </row>
    <row r="765" customFormat="false" ht="14.25" hidden="false" customHeight="true" outlineLevel="0" collapsed="false">
      <c r="A765" s="167" t="s">
        <v>246</v>
      </c>
      <c r="B765" s="167" t="s">
        <v>257</v>
      </c>
      <c r="C765" s="167" t="n">
        <v>35</v>
      </c>
      <c r="D765" s="167" t="str">
        <f aca="false">A765&amp;" "&amp;B765&amp;" "&amp;C765</f>
        <v>3/8" Hex Falcon 500 35</v>
      </c>
      <c r="E765" s="167" t="n">
        <v>0</v>
      </c>
      <c r="I765" s="167" t="n">
        <v>0</v>
      </c>
    </row>
    <row r="766" customFormat="false" ht="14.25" hidden="false" customHeight="true" outlineLevel="0" collapsed="false">
      <c r="A766" s="167" t="s">
        <v>246</v>
      </c>
      <c r="B766" s="167" t="s">
        <v>257</v>
      </c>
      <c r="C766" s="167" t="n">
        <v>36</v>
      </c>
      <c r="D766" s="167" t="str">
        <f aca="false">A766&amp;" "&amp;B766&amp;" "&amp;C766</f>
        <v>3/8" Hex Falcon 500 36</v>
      </c>
      <c r="E766" s="167" t="n">
        <v>0</v>
      </c>
      <c r="I766" s="167" t="n">
        <v>0</v>
      </c>
    </row>
    <row r="767" customFormat="false" ht="14.25" hidden="false" customHeight="true" outlineLevel="0" collapsed="false">
      <c r="A767" s="167" t="s">
        <v>246</v>
      </c>
      <c r="B767" s="167" t="s">
        <v>257</v>
      </c>
      <c r="C767" s="167" t="n">
        <v>40</v>
      </c>
      <c r="D767" s="167" t="str">
        <f aca="false">A767&amp;" "&amp;B767&amp;" "&amp;C767</f>
        <v>3/8" Hex Falcon 500 40</v>
      </c>
      <c r="E767" s="167" t="n">
        <v>0</v>
      </c>
      <c r="I767" s="167" t="n">
        <v>0</v>
      </c>
    </row>
    <row r="768" customFormat="false" ht="14.25" hidden="false" customHeight="true" outlineLevel="0" collapsed="false">
      <c r="A768" s="167" t="s">
        <v>246</v>
      </c>
      <c r="B768" s="167" t="s">
        <v>257</v>
      </c>
      <c r="C768" s="167" t="n">
        <v>45</v>
      </c>
      <c r="D768" s="167" t="str">
        <f aca="false">A768&amp;" "&amp;B768&amp;" "&amp;C768</f>
        <v>3/8" Hex Falcon 500 45</v>
      </c>
      <c r="E768" s="167" t="n">
        <v>0</v>
      </c>
      <c r="I768" s="167" t="n">
        <v>0</v>
      </c>
    </row>
    <row r="769" customFormat="false" ht="14.25" hidden="false" customHeight="true" outlineLevel="0" collapsed="false">
      <c r="A769" s="167" t="s">
        <v>246</v>
      </c>
      <c r="B769" s="167" t="s">
        <v>257</v>
      </c>
      <c r="C769" s="167" t="n">
        <v>49</v>
      </c>
      <c r="D769" s="167" t="str">
        <f aca="false">A769&amp;" "&amp;B769&amp;" "&amp;C769</f>
        <v>3/8" Hex Falcon 500 49</v>
      </c>
      <c r="E769" s="167" t="n">
        <v>0</v>
      </c>
      <c r="I769" s="167" t="n">
        <v>0</v>
      </c>
    </row>
    <row r="770" customFormat="false" ht="14.25" hidden="false" customHeight="true" outlineLevel="0" collapsed="false">
      <c r="A770" s="167" t="s">
        <v>246</v>
      </c>
      <c r="B770" s="167" t="s">
        <v>257</v>
      </c>
      <c r="C770" s="167" t="n">
        <v>50</v>
      </c>
      <c r="D770" s="167" t="str">
        <f aca="false">A770&amp;" "&amp;B770&amp;" "&amp;C770</f>
        <v>3/8" Hex Falcon 500 50</v>
      </c>
      <c r="E770" s="167" t="n">
        <v>0</v>
      </c>
      <c r="I770" s="167" t="n">
        <v>0</v>
      </c>
    </row>
    <row r="771" customFormat="false" ht="14.25" hidden="false" customHeight="true" outlineLevel="0" collapsed="false">
      <c r="A771" s="167" t="s">
        <v>246</v>
      </c>
      <c r="B771" s="167" t="s">
        <v>257</v>
      </c>
      <c r="C771" s="167" t="n">
        <v>63</v>
      </c>
      <c r="D771" s="167" t="str">
        <f aca="false">A771&amp;" "&amp;B771&amp;" "&amp;C771</f>
        <v>3/8" Hex Falcon 500 63</v>
      </c>
      <c r="E771" s="167" t="n">
        <v>0</v>
      </c>
      <c r="I771" s="167" t="n">
        <v>0</v>
      </c>
    </row>
    <row r="772" customFormat="false" ht="14.25" hidden="false" customHeight="true" outlineLevel="0" collapsed="false">
      <c r="A772" s="167" t="s">
        <v>246</v>
      </c>
      <c r="B772" s="167" t="s">
        <v>257</v>
      </c>
      <c r="C772" s="167" t="n">
        <v>70</v>
      </c>
      <c r="D772" s="167" t="str">
        <f aca="false">A772&amp;" "&amp;B772&amp;" "&amp;C772</f>
        <v>3/8" Hex Falcon 500 70</v>
      </c>
      <c r="E772" s="167" t="n">
        <v>0</v>
      </c>
      <c r="I772" s="167" t="n">
        <v>0</v>
      </c>
    </row>
    <row r="773" customFormat="false" ht="14.25" hidden="false" customHeight="true" outlineLevel="0" collapsed="false">
      <c r="A773" s="167" t="s">
        <v>246</v>
      </c>
      <c r="B773" s="167" t="s">
        <v>257</v>
      </c>
      <c r="C773" s="167" t="n">
        <v>81</v>
      </c>
      <c r="D773" s="167" t="str">
        <f aca="false">A773&amp;" "&amp;B773&amp;" "&amp;C773</f>
        <v>3/8" Hex Falcon 500 81</v>
      </c>
      <c r="E773" s="167" t="n">
        <v>0</v>
      </c>
      <c r="I773" s="167" t="n">
        <v>0</v>
      </c>
    </row>
    <row r="774" customFormat="false" ht="14.25" hidden="false" customHeight="true" outlineLevel="0" collapsed="false">
      <c r="A774" s="167" t="s">
        <v>246</v>
      </c>
      <c r="B774" s="167" t="s">
        <v>257</v>
      </c>
      <c r="C774" s="167" t="n">
        <v>90</v>
      </c>
      <c r="D774" s="167" t="str">
        <f aca="false">A774&amp;" "&amp;B774&amp;" "&amp;C774</f>
        <v>3/8" Hex Falcon 500 90</v>
      </c>
      <c r="E774" s="167" t="n">
        <v>0</v>
      </c>
      <c r="I774" s="167" t="n">
        <v>0</v>
      </c>
    </row>
    <row r="775" customFormat="false" ht="14.25" hidden="false" customHeight="true" outlineLevel="0" collapsed="false">
      <c r="A775" s="167" t="s">
        <v>246</v>
      </c>
      <c r="B775" s="167" t="s">
        <v>257</v>
      </c>
      <c r="C775" s="167" t="n">
        <v>100</v>
      </c>
      <c r="D775" s="167" t="str">
        <f aca="false">A775&amp;" "&amp;B775&amp;" "&amp;C775</f>
        <v>3/8" Hex Falcon 500 100</v>
      </c>
      <c r="E775" s="167" t="n">
        <v>0</v>
      </c>
      <c r="I775" s="167" t="n">
        <v>0</v>
      </c>
    </row>
    <row r="776" customFormat="false" ht="14.25" hidden="false" customHeight="true" outlineLevel="0" collapsed="false">
      <c r="A776" s="167" t="s">
        <v>250</v>
      </c>
      <c r="B776" s="167" t="s">
        <v>236</v>
      </c>
      <c r="C776" s="167" t="n">
        <v>-3</v>
      </c>
      <c r="D776" s="167" t="str">
        <f aca="false">A776&amp;" "&amp;B776&amp;" "&amp;C776</f>
        <v>CIM Motor AM 9015 -3</v>
      </c>
      <c r="E776" s="167" t="n">
        <v>1</v>
      </c>
      <c r="I776" s="167" t="n">
        <v>1</v>
      </c>
    </row>
    <row r="777" customFormat="false" ht="14.25" hidden="false" customHeight="true" outlineLevel="0" collapsed="false">
      <c r="A777" s="167" t="s">
        <v>250</v>
      </c>
      <c r="B777" s="167" t="s">
        <v>236</v>
      </c>
      <c r="C777" s="167" t="n">
        <v>-4</v>
      </c>
      <c r="D777" s="167" t="str">
        <f aca="false">A777&amp;" "&amp;B777&amp;" "&amp;C777</f>
        <v>CIM Motor AM 9015 -4</v>
      </c>
      <c r="E777" s="167" t="n">
        <v>1</v>
      </c>
      <c r="I777" s="167" t="n">
        <v>1</v>
      </c>
    </row>
    <row r="778" customFormat="false" ht="14.25" hidden="false" customHeight="true" outlineLevel="0" collapsed="false">
      <c r="A778" s="167" t="s">
        <v>250</v>
      </c>
      <c r="B778" s="167" t="s">
        <v>236</v>
      </c>
      <c r="C778" s="167" t="n">
        <v>-5</v>
      </c>
      <c r="D778" s="167" t="str">
        <f aca="false">A778&amp;" "&amp;B778&amp;" "&amp;C778</f>
        <v>CIM Motor AM 9015 -5</v>
      </c>
      <c r="E778" s="167" t="n">
        <v>1</v>
      </c>
      <c r="I778" s="167" t="n">
        <v>1</v>
      </c>
    </row>
    <row r="779" customFormat="false" ht="14.25" hidden="false" customHeight="true" outlineLevel="0" collapsed="false">
      <c r="A779" s="167" t="s">
        <v>250</v>
      </c>
      <c r="B779" s="167" t="s">
        <v>236</v>
      </c>
      <c r="C779" s="167" t="n">
        <v>-7</v>
      </c>
      <c r="D779" s="167" t="str">
        <f aca="false">A779&amp;" "&amp;B779&amp;" "&amp;C779</f>
        <v>CIM Motor AM 9015 -7</v>
      </c>
      <c r="E779" s="167" t="n">
        <v>1</v>
      </c>
      <c r="I779" s="167" t="n">
        <v>1</v>
      </c>
    </row>
    <row r="780" customFormat="false" ht="14.25" hidden="false" customHeight="true" outlineLevel="0" collapsed="false">
      <c r="A780" s="167" t="s">
        <v>250</v>
      </c>
      <c r="B780" s="167" t="s">
        <v>236</v>
      </c>
      <c r="C780" s="167" t="n">
        <v>-9</v>
      </c>
      <c r="D780" s="167" t="str">
        <f aca="false">A780&amp;" "&amp;B780&amp;" "&amp;C780</f>
        <v>CIM Motor AM 9015 -9</v>
      </c>
      <c r="E780" s="167" t="n">
        <v>1</v>
      </c>
      <c r="I780" s="167" t="n">
        <v>1</v>
      </c>
    </row>
    <row r="781" customFormat="false" ht="14.25" hidden="false" customHeight="true" outlineLevel="0" collapsed="false">
      <c r="A781" s="167" t="s">
        <v>250</v>
      </c>
      <c r="B781" s="167" t="s">
        <v>236</v>
      </c>
      <c r="C781" s="167" t="n">
        <v>-10</v>
      </c>
      <c r="D781" s="167" t="str">
        <f aca="false">A781&amp;" "&amp;B781&amp;" "&amp;C781</f>
        <v>CIM Motor AM 9015 -10</v>
      </c>
      <c r="E781" s="167" t="n">
        <v>1</v>
      </c>
      <c r="I781" s="167" t="n">
        <v>1</v>
      </c>
    </row>
    <row r="782" customFormat="false" ht="14.25" hidden="false" customHeight="true" outlineLevel="0" collapsed="false">
      <c r="A782" s="167" t="s">
        <v>250</v>
      </c>
      <c r="B782" s="167" t="s">
        <v>236</v>
      </c>
      <c r="C782" s="167" t="n">
        <v>9</v>
      </c>
      <c r="D782" s="167" t="str">
        <f aca="false">A782&amp;" "&amp;B782&amp;" "&amp;C782</f>
        <v>CIM Motor AM 9015 9</v>
      </c>
      <c r="E782" s="167" t="n">
        <v>7</v>
      </c>
      <c r="I782" s="167" t="n">
        <v>7</v>
      </c>
    </row>
    <row r="783" customFormat="false" ht="14.25" hidden="false" customHeight="true" outlineLevel="0" collapsed="false">
      <c r="A783" s="167" t="s">
        <v>250</v>
      </c>
      <c r="B783" s="167" t="s">
        <v>236</v>
      </c>
      <c r="C783" s="167" t="n">
        <v>12</v>
      </c>
      <c r="D783" s="167" t="str">
        <f aca="false">A783&amp;" "&amp;B783&amp;" "&amp;C783</f>
        <v>CIM Motor AM 9015 12</v>
      </c>
      <c r="E783" s="167" t="n">
        <v>5</v>
      </c>
      <c r="I783" s="167" t="n">
        <v>5</v>
      </c>
    </row>
    <row r="784" customFormat="false" ht="14.25" hidden="false" customHeight="true" outlineLevel="0" collapsed="false">
      <c r="A784" s="167" t="s">
        <v>250</v>
      </c>
      <c r="B784" s="167" t="s">
        <v>236</v>
      </c>
      <c r="C784" s="167" t="n">
        <v>15</v>
      </c>
      <c r="D784" s="167" t="str">
        <f aca="false">A784&amp;" "&amp;B784&amp;" "&amp;C784</f>
        <v>CIM Motor AM 9015 15</v>
      </c>
      <c r="E784" s="167" t="n">
        <v>4</v>
      </c>
      <c r="I784" s="167" t="n">
        <v>5</v>
      </c>
    </row>
    <row r="785" customFormat="false" ht="14.25" hidden="false" customHeight="true" outlineLevel="0" collapsed="false">
      <c r="A785" s="167" t="s">
        <v>250</v>
      </c>
      <c r="B785" s="167" t="s">
        <v>236</v>
      </c>
      <c r="C785" s="167" t="n">
        <v>16</v>
      </c>
      <c r="D785" s="167" t="str">
        <f aca="false">A785&amp;" "&amp;B785&amp;" "&amp;C785</f>
        <v>CIM Motor AM 9015 16</v>
      </c>
      <c r="E785" s="167" t="n">
        <v>4</v>
      </c>
      <c r="I785" s="167" t="n">
        <v>5</v>
      </c>
    </row>
    <row r="786" customFormat="false" ht="14.25" hidden="false" customHeight="true" outlineLevel="0" collapsed="false">
      <c r="A786" s="167" t="s">
        <v>250</v>
      </c>
      <c r="B786" s="167" t="s">
        <v>236</v>
      </c>
      <c r="C786" s="167" t="n">
        <v>20</v>
      </c>
      <c r="D786" s="167" t="str">
        <f aca="false">A786&amp;" "&amp;B786&amp;" "&amp;C786</f>
        <v>CIM Motor AM 9015 20</v>
      </c>
      <c r="E786" s="167" t="n">
        <v>3</v>
      </c>
      <c r="I786" s="167" t="n">
        <v>4</v>
      </c>
    </row>
    <row r="787" customFormat="false" ht="14.25" hidden="false" customHeight="true" outlineLevel="0" collapsed="false">
      <c r="A787" s="167" t="s">
        <v>250</v>
      </c>
      <c r="B787" s="167" t="s">
        <v>236</v>
      </c>
      <c r="C787" s="167" t="n">
        <v>21</v>
      </c>
      <c r="D787" s="167" t="str">
        <f aca="false">A787&amp;" "&amp;B787&amp;" "&amp;C787</f>
        <v>CIM Motor AM 9015 21</v>
      </c>
      <c r="E787" s="167" t="n">
        <v>3</v>
      </c>
      <c r="I787" s="167" t="n">
        <v>3</v>
      </c>
    </row>
    <row r="788" customFormat="false" ht="14.25" hidden="false" customHeight="true" outlineLevel="0" collapsed="false">
      <c r="A788" s="167" t="s">
        <v>250</v>
      </c>
      <c r="B788" s="167" t="s">
        <v>236</v>
      </c>
      <c r="C788" s="167" t="n">
        <v>25</v>
      </c>
      <c r="D788" s="167" t="str">
        <f aca="false">A788&amp;" "&amp;B788&amp;" "&amp;C788</f>
        <v>CIM Motor AM 9015 25</v>
      </c>
      <c r="E788" s="167" t="n">
        <v>1</v>
      </c>
      <c r="I788" s="167" t="n">
        <v>3</v>
      </c>
    </row>
    <row r="789" customFormat="false" ht="14.25" hidden="false" customHeight="true" outlineLevel="0" collapsed="false">
      <c r="A789" s="167" t="s">
        <v>250</v>
      </c>
      <c r="B789" s="167" t="s">
        <v>236</v>
      </c>
      <c r="C789" s="167" t="n">
        <v>27</v>
      </c>
      <c r="D789" s="167" t="str">
        <f aca="false">A789&amp;" "&amp;B789&amp;" "&amp;C789</f>
        <v>CIM Motor AM 9015 27</v>
      </c>
      <c r="E789" s="167" t="n">
        <v>1</v>
      </c>
      <c r="I789" s="167" t="n">
        <v>1</v>
      </c>
    </row>
    <row r="790" customFormat="false" ht="14.25" hidden="false" customHeight="true" outlineLevel="0" collapsed="false">
      <c r="A790" s="167" t="s">
        <v>250</v>
      </c>
      <c r="B790" s="167" t="s">
        <v>236</v>
      </c>
      <c r="C790" s="167" t="n">
        <v>28</v>
      </c>
      <c r="D790" s="167" t="str">
        <f aca="false">A790&amp;" "&amp;B790&amp;" "&amp;C790</f>
        <v>CIM Motor AM 9015 28</v>
      </c>
      <c r="E790" s="167" t="n">
        <v>1</v>
      </c>
      <c r="I790" s="167" t="n">
        <v>1</v>
      </c>
    </row>
    <row r="791" customFormat="false" ht="14.25" hidden="false" customHeight="true" outlineLevel="0" collapsed="false">
      <c r="A791" s="167" t="s">
        <v>250</v>
      </c>
      <c r="B791" s="167" t="s">
        <v>236</v>
      </c>
      <c r="C791" s="167" t="n">
        <v>30</v>
      </c>
      <c r="D791" s="167" t="str">
        <f aca="false">A791&amp;" "&amp;B791&amp;" "&amp;C791</f>
        <v>CIM Motor AM 9015 30</v>
      </c>
      <c r="E791" s="167" t="n">
        <v>1</v>
      </c>
      <c r="I791" s="167" t="n">
        <v>1</v>
      </c>
    </row>
    <row r="792" customFormat="false" ht="14.25" hidden="false" customHeight="true" outlineLevel="0" collapsed="false">
      <c r="A792" s="167" t="s">
        <v>250</v>
      </c>
      <c r="B792" s="167" t="s">
        <v>236</v>
      </c>
      <c r="C792" s="167" t="n">
        <v>35</v>
      </c>
      <c r="D792" s="167" t="str">
        <f aca="false">A792&amp;" "&amp;B792&amp;" "&amp;C792</f>
        <v>CIM Motor AM 9015 35</v>
      </c>
      <c r="E792" s="167" t="n">
        <v>1</v>
      </c>
      <c r="I792" s="167" t="n">
        <v>1</v>
      </c>
    </row>
    <row r="793" customFormat="false" ht="14.25" hidden="false" customHeight="true" outlineLevel="0" collapsed="false">
      <c r="A793" s="167" t="s">
        <v>250</v>
      </c>
      <c r="B793" s="167" t="s">
        <v>236</v>
      </c>
      <c r="C793" s="167" t="n">
        <v>36</v>
      </c>
      <c r="D793" s="167" t="str">
        <f aca="false">A793&amp;" "&amp;B793&amp;" "&amp;C793</f>
        <v>CIM Motor AM 9015 36</v>
      </c>
      <c r="E793" s="167" t="n">
        <v>1</v>
      </c>
      <c r="I793" s="167" t="n">
        <v>1</v>
      </c>
    </row>
    <row r="794" customFormat="false" ht="14.25" hidden="false" customHeight="true" outlineLevel="0" collapsed="false">
      <c r="A794" s="167" t="s">
        <v>250</v>
      </c>
      <c r="B794" s="167" t="s">
        <v>236</v>
      </c>
      <c r="C794" s="167" t="n">
        <v>40</v>
      </c>
      <c r="D794" s="167" t="str">
        <f aca="false">A794&amp;" "&amp;B794&amp;" "&amp;C794</f>
        <v>CIM Motor AM 9015 40</v>
      </c>
      <c r="E794" s="167" t="n">
        <v>1</v>
      </c>
      <c r="I794" s="167" t="n">
        <v>1</v>
      </c>
    </row>
    <row r="795" customFormat="false" ht="14.25" hidden="false" customHeight="true" outlineLevel="0" collapsed="false">
      <c r="A795" s="167" t="s">
        <v>250</v>
      </c>
      <c r="B795" s="167" t="s">
        <v>236</v>
      </c>
      <c r="C795" s="167" t="n">
        <v>45</v>
      </c>
      <c r="D795" s="167" t="str">
        <f aca="false">A795&amp;" "&amp;B795&amp;" "&amp;C795</f>
        <v>CIM Motor AM 9015 45</v>
      </c>
      <c r="E795" s="167" t="n">
        <v>1</v>
      </c>
      <c r="I795" s="167" t="n">
        <v>1</v>
      </c>
    </row>
    <row r="796" customFormat="false" ht="14.25" hidden="false" customHeight="true" outlineLevel="0" collapsed="false">
      <c r="A796" s="167" t="s">
        <v>250</v>
      </c>
      <c r="B796" s="167" t="s">
        <v>236</v>
      </c>
      <c r="C796" s="167" t="n">
        <v>49</v>
      </c>
      <c r="D796" s="167" t="str">
        <f aca="false">A796&amp;" "&amp;B796&amp;" "&amp;C796</f>
        <v>CIM Motor AM 9015 49</v>
      </c>
      <c r="E796" s="167" t="n">
        <v>1</v>
      </c>
      <c r="I796" s="167" t="n">
        <v>1</v>
      </c>
    </row>
    <row r="797" customFormat="false" ht="14.25" hidden="false" customHeight="true" outlineLevel="0" collapsed="false">
      <c r="A797" s="167" t="s">
        <v>250</v>
      </c>
      <c r="B797" s="167" t="s">
        <v>236</v>
      </c>
      <c r="C797" s="167" t="n">
        <v>50</v>
      </c>
      <c r="D797" s="167" t="str">
        <f aca="false">A797&amp;" "&amp;B797&amp;" "&amp;C797</f>
        <v>CIM Motor AM 9015 50</v>
      </c>
      <c r="E797" s="167" t="n">
        <v>1</v>
      </c>
      <c r="I797" s="167" t="n">
        <v>1</v>
      </c>
    </row>
    <row r="798" customFormat="false" ht="14.25" hidden="false" customHeight="true" outlineLevel="0" collapsed="false">
      <c r="A798" s="167" t="s">
        <v>250</v>
      </c>
      <c r="B798" s="167" t="s">
        <v>236</v>
      </c>
      <c r="C798" s="167" t="n">
        <v>63</v>
      </c>
      <c r="D798" s="167" t="str">
        <f aca="false">A798&amp;" "&amp;B798&amp;" "&amp;C798</f>
        <v>CIM Motor AM 9015 63</v>
      </c>
      <c r="E798" s="167" t="n">
        <v>1</v>
      </c>
      <c r="I798" s="167" t="n">
        <v>1</v>
      </c>
    </row>
    <row r="799" customFormat="false" ht="14.25" hidden="false" customHeight="true" outlineLevel="0" collapsed="false">
      <c r="A799" s="167" t="s">
        <v>250</v>
      </c>
      <c r="B799" s="167" t="s">
        <v>236</v>
      </c>
      <c r="C799" s="167" t="n">
        <v>70</v>
      </c>
      <c r="D799" s="167" t="str">
        <f aca="false">A799&amp;" "&amp;B799&amp;" "&amp;C799</f>
        <v>CIM Motor AM 9015 70</v>
      </c>
      <c r="E799" s="167" t="n">
        <v>0</v>
      </c>
      <c r="I799" s="167" t="n">
        <v>1</v>
      </c>
    </row>
    <row r="800" customFormat="false" ht="14.25" hidden="false" customHeight="true" outlineLevel="0" collapsed="false">
      <c r="A800" s="167" t="s">
        <v>250</v>
      </c>
      <c r="B800" s="167" t="s">
        <v>236</v>
      </c>
      <c r="C800" s="167" t="n">
        <v>81</v>
      </c>
      <c r="D800" s="167" t="str">
        <f aca="false">A800&amp;" "&amp;B800&amp;" "&amp;C800</f>
        <v>CIM Motor AM 9015 81</v>
      </c>
      <c r="E800" s="167" t="n">
        <v>0</v>
      </c>
      <c r="I800" s="167" t="n">
        <v>0</v>
      </c>
    </row>
    <row r="801" customFormat="false" ht="14.25" hidden="false" customHeight="true" outlineLevel="0" collapsed="false">
      <c r="A801" s="167" t="s">
        <v>250</v>
      </c>
      <c r="B801" s="167" t="s">
        <v>236</v>
      </c>
      <c r="C801" s="167" t="n">
        <v>90</v>
      </c>
      <c r="D801" s="167" t="str">
        <f aca="false">A801&amp;" "&amp;B801&amp;" "&amp;C801</f>
        <v>CIM Motor AM 9015 90</v>
      </c>
      <c r="E801" s="167" t="n">
        <v>0</v>
      </c>
      <c r="I801" s="167" t="n">
        <v>0</v>
      </c>
    </row>
    <row r="802" customFormat="false" ht="14.25" hidden="false" customHeight="true" outlineLevel="0" collapsed="false">
      <c r="A802" s="167" t="s">
        <v>250</v>
      </c>
      <c r="B802" s="167" t="s">
        <v>236</v>
      </c>
      <c r="C802" s="167" t="n">
        <v>100</v>
      </c>
      <c r="D802" s="167" t="str">
        <f aca="false">A802&amp;" "&amp;B802&amp;" "&amp;C802</f>
        <v>CIM Motor AM 9015 100</v>
      </c>
      <c r="E802" s="167" t="n">
        <v>0</v>
      </c>
      <c r="I802" s="167" t="n">
        <v>0</v>
      </c>
    </row>
    <row r="803" customFormat="false" ht="14.25" hidden="false" customHeight="true" outlineLevel="0" collapsed="false">
      <c r="A803" s="167" t="s">
        <v>250</v>
      </c>
      <c r="B803" s="167" t="s">
        <v>237</v>
      </c>
      <c r="C803" s="167" t="n">
        <v>-3</v>
      </c>
      <c r="D803" s="167" t="str">
        <f aca="false">A803&amp;" "&amp;B803&amp;" "&amp;C803</f>
        <v>CIM Motor BB RS-550 -3</v>
      </c>
      <c r="E803" s="167" t="n">
        <v>1</v>
      </c>
      <c r="F803" s="167" t="n">
        <v>1</v>
      </c>
      <c r="G803" s="167" t="n">
        <v>0</v>
      </c>
      <c r="H803" s="167" t="n">
        <v>1</v>
      </c>
      <c r="I803" s="167" t="n">
        <v>1</v>
      </c>
    </row>
    <row r="804" customFormat="false" ht="14.25" hidden="false" customHeight="true" outlineLevel="0" collapsed="false">
      <c r="A804" s="167" t="s">
        <v>250</v>
      </c>
      <c r="B804" s="167" t="s">
        <v>237</v>
      </c>
      <c r="C804" s="167" t="n">
        <v>-4</v>
      </c>
      <c r="D804" s="167" t="str">
        <f aca="false">A804&amp;" "&amp;B804&amp;" "&amp;C804</f>
        <v>CIM Motor BB RS-550 -4</v>
      </c>
      <c r="E804" s="167" t="n">
        <v>1</v>
      </c>
      <c r="F804" s="167" t="n">
        <v>1</v>
      </c>
      <c r="G804" s="167" t="n">
        <v>0</v>
      </c>
      <c r="H804" s="167" t="n">
        <v>0</v>
      </c>
      <c r="I804" s="167" t="n">
        <v>1</v>
      </c>
    </row>
    <row r="805" customFormat="false" ht="14.25" hidden="false" customHeight="true" outlineLevel="0" collapsed="false">
      <c r="A805" s="167" t="s">
        <v>250</v>
      </c>
      <c r="B805" s="167" t="s">
        <v>237</v>
      </c>
      <c r="C805" s="167" t="n">
        <v>-5</v>
      </c>
      <c r="D805" s="167" t="str">
        <f aca="false">A805&amp;" "&amp;B805&amp;" "&amp;C805</f>
        <v>CIM Motor BB RS-550 -5</v>
      </c>
      <c r="E805" s="167" t="n">
        <v>1</v>
      </c>
      <c r="F805" s="167" t="n">
        <v>1</v>
      </c>
      <c r="G805" s="167" t="n">
        <v>0</v>
      </c>
      <c r="H805" s="167" t="n">
        <v>0</v>
      </c>
      <c r="I805" s="167" t="n">
        <v>1</v>
      </c>
    </row>
    <row r="806" customFormat="false" ht="14.25" hidden="false" customHeight="true" outlineLevel="0" collapsed="false">
      <c r="A806" s="167" t="s">
        <v>250</v>
      </c>
      <c r="B806" s="167" t="s">
        <v>237</v>
      </c>
      <c r="C806" s="167" t="n">
        <v>-7</v>
      </c>
      <c r="D806" s="167" t="str">
        <f aca="false">A806&amp;" "&amp;B806&amp;" "&amp;C806</f>
        <v>CIM Motor BB RS-550 -7</v>
      </c>
      <c r="E806" s="167" t="n">
        <v>1</v>
      </c>
      <c r="F806" s="167" t="n">
        <v>1</v>
      </c>
      <c r="G806" s="167" t="n">
        <v>0</v>
      </c>
      <c r="H806" s="167" t="n">
        <v>0</v>
      </c>
      <c r="I806" s="167" t="n">
        <v>1</v>
      </c>
    </row>
    <row r="807" customFormat="false" ht="14.25" hidden="false" customHeight="true" outlineLevel="0" collapsed="false">
      <c r="A807" s="167" t="s">
        <v>250</v>
      </c>
      <c r="B807" s="167" t="s">
        <v>237</v>
      </c>
      <c r="C807" s="167" t="n">
        <v>-9</v>
      </c>
      <c r="D807" s="167" t="str">
        <f aca="false">A807&amp;" "&amp;B807&amp;" "&amp;C807</f>
        <v>CIM Motor BB RS-550 -9</v>
      </c>
      <c r="E807" s="167" t="n">
        <v>1</v>
      </c>
      <c r="F807" s="167" t="n">
        <v>1</v>
      </c>
      <c r="G807" s="167" t="n">
        <v>0</v>
      </c>
      <c r="H807" s="167" t="n">
        <v>0</v>
      </c>
      <c r="I807" s="167" t="n">
        <v>1</v>
      </c>
    </row>
    <row r="808" customFormat="false" ht="14.25" hidden="false" customHeight="true" outlineLevel="0" collapsed="false">
      <c r="A808" s="167" t="s">
        <v>250</v>
      </c>
      <c r="B808" s="167" t="s">
        <v>237</v>
      </c>
      <c r="C808" s="167" t="n">
        <v>-10</v>
      </c>
      <c r="D808" s="167" t="str">
        <f aca="false">A808&amp;" "&amp;B808&amp;" "&amp;C808</f>
        <v>CIM Motor BB RS-550 -10</v>
      </c>
      <c r="E808" s="167" t="n">
        <v>1</v>
      </c>
      <c r="F808" s="167" t="n">
        <v>1</v>
      </c>
      <c r="G808" s="167" t="n">
        <v>0</v>
      </c>
      <c r="H808" s="167" t="n">
        <v>0</v>
      </c>
      <c r="I808" s="167" t="n">
        <v>1</v>
      </c>
    </row>
    <row r="809" customFormat="false" ht="14.25" hidden="false" customHeight="true" outlineLevel="0" collapsed="false">
      <c r="A809" s="167" t="s">
        <v>250</v>
      </c>
      <c r="B809" s="167" t="s">
        <v>237</v>
      </c>
      <c r="C809" s="167" t="n">
        <v>9</v>
      </c>
      <c r="D809" s="167" t="str">
        <f aca="false">A809&amp;" "&amp;B809&amp;" "&amp;C809</f>
        <v>CIM Motor BB RS-550 9</v>
      </c>
      <c r="E809" s="167" t="n">
        <v>5</v>
      </c>
      <c r="F809" s="167" t="n">
        <v>3</v>
      </c>
      <c r="G809" s="167" t="n">
        <v>0</v>
      </c>
      <c r="H809" s="167" t="n">
        <v>0</v>
      </c>
      <c r="I809" s="167" t="n">
        <v>7</v>
      </c>
    </row>
    <row r="810" customFormat="false" ht="14.25" hidden="false" customHeight="true" outlineLevel="0" collapsed="false">
      <c r="A810" s="167" t="s">
        <v>250</v>
      </c>
      <c r="B810" s="167" t="s">
        <v>237</v>
      </c>
      <c r="C810" s="167" t="n">
        <v>12</v>
      </c>
      <c r="D810" s="167" t="str">
        <f aca="false">A810&amp;" "&amp;B810&amp;" "&amp;C810</f>
        <v>CIM Motor BB RS-550 12</v>
      </c>
      <c r="E810" s="167" t="n">
        <v>4</v>
      </c>
      <c r="F810" s="167" t="n">
        <v>1</v>
      </c>
      <c r="G810" s="167" t="n">
        <v>0</v>
      </c>
      <c r="H810" s="167" t="n">
        <v>0</v>
      </c>
      <c r="I810" s="167" t="n">
        <v>5</v>
      </c>
    </row>
    <row r="811" customFormat="false" ht="14.25" hidden="false" customHeight="true" outlineLevel="0" collapsed="false">
      <c r="A811" s="167" t="s">
        <v>250</v>
      </c>
      <c r="B811" s="167" t="s">
        <v>237</v>
      </c>
      <c r="C811" s="167" t="n">
        <v>15</v>
      </c>
      <c r="D811" s="167" t="str">
        <f aca="false">A811&amp;" "&amp;B811&amp;" "&amp;C811</f>
        <v>CIM Motor BB RS-550 15</v>
      </c>
      <c r="E811" s="167" t="n">
        <v>3</v>
      </c>
      <c r="F811" s="167" t="n">
        <v>1</v>
      </c>
      <c r="G811" s="167" t="n">
        <v>0</v>
      </c>
      <c r="H811" s="167" t="n">
        <v>0</v>
      </c>
      <c r="I811" s="167" t="n">
        <v>5</v>
      </c>
    </row>
    <row r="812" customFormat="false" ht="14.25" hidden="false" customHeight="true" outlineLevel="0" collapsed="false">
      <c r="A812" s="167" t="s">
        <v>250</v>
      </c>
      <c r="B812" s="167" t="s">
        <v>237</v>
      </c>
      <c r="C812" s="167" t="n">
        <v>16</v>
      </c>
      <c r="D812" s="167" t="str">
        <f aca="false">A812&amp;" "&amp;B812&amp;" "&amp;C812</f>
        <v>CIM Motor BB RS-550 16</v>
      </c>
      <c r="E812" s="167" t="n">
        <v>3</v>
      </c>
      <c r="F812" s="167" t="n">
        <v>1</v>
      </c>
      <c r="G812" s="167" t="n">
        <v>0</v>
      </c>
      <c r="H812" s="167" t="n">
        <v>0</v>
      </c>
      <c r="I812" s="167" t="n">
        <v>5</v>
      </c>
    </row>
    <row r="813" customFormat="false" ht="14.25" hidden="false" customHeight="true" outlineLevel="0" collapsed="false">
      <c r="A813" s="167" t="s">
        <v>250</v>
      </c>
      <c r="B813" s="167" t="s">
        <v>237</v>
      </c>
      <c r="C813" s="167" t="n">
        <v>20</v>
      </c>
      <c r="D813" s="167" t="str">
        <f aca="false">A813&amp;" "&amp;B813&amp;" "&amp;C813</f>
        <v>CIM Motor BB RS-550 20</v>
      </c>
      <c r="E813" s="167" t="n">
        <v>1</v>
      </c>
      <c r="F813" s="167" t="n">
        <v>1</v>
      </c>
      <c r="G813" s="167" t="n">
        <v>0</v>
      </c>
      <c r="H813" s="167" t="n">
        <v>0</v>
      </c>
      <c r="I813" s="167" t="n">
        <v>4</v>
      </c>
    </row>
    <row r="814" customFormat="false" ht="14.25" hidden="false" customHeight="true" outlineLevel="0" collapsed="false">
      <c r="A814" s="167" t="s">
        <v>250</v>
      </c>
      <c r="B814" s="167" t="s">
        <v>237</v>
      </c>
      <c r="C814" s="167" t="n">
        <v>21</v>
      </c>
      <c r="D814" s="167" t="str">
        <f aca="false">A814&amp;" "&amp;B814&amp;" "&amp;C814</f>
        <v>CIM Motor BB RS-550 21</v>
      </c>
      <c r="E814" s="167" t="n">
        <v>1</v>
      </c>
      <c r="F814" s="167" t="n">
        <v>1</v>
      </c>
      <c r="G814" s="167" t="n">
        <v>0</v>
      </c>
      <c r="H814" s="167" t="n">
        <v>0</v>
      </c>
      <c r="I814" s="167" t="n">
        <v>3</v>
      </c>
    </row>
    <row r="815" customFormat="false" ht="14.25" hidden="false" customHeight="true" outlineLevel="0" collapsed="false">
      <c r="A815" s="167" t="s">
        <v>250</v>
      </c>
      <c r="B815" s="167" t="s">
        <v>237</v>
      </c>
      <c r="C815" s="167" t="n">
        <v>25</v>
      </c>
      <c r="D815" s="167" t="str">
        <f aca="false">A815&amp;" "&amp;B815&amp;" "&amp;C815</f>
        <v>CIM Motor BB RS-550 25</v>
      </c>
      <c r="E815" s="167" t="n">
        <v>1</v>
      </c>
      <c r="F815" s="167" t="n">
        <v>1</v>
      </c>
      <c r="G815" s="167" t="n">
        <v>0</v>
      </c>
      <c r="H815" s="167" t="n">
        <v>0</v>
      </c>
      <c r="I815" s="167" t="n">
        <v>3</v>
      </c>
    </row>
    <row r="816" customFormat="false" ht="14.25" hidden="false" customHeight="true" outlineLevel="0" collapsed="false">
      <c r="A816" s="167" t="s">
        <v>250</v>
      </c>
      <c r="B816" s="167" t="s">
        <v>237</v>
      </c>
      <c r="C816" s="167" t="n">
        <v>27</v>
      </c>
      <c r="D816" s="167" t="str">
        <f aca="false">A816&amp;" "&amp;B816&amp;" "&amp;C816</f>
        <v>CIM Motor BB RS-550 27</v>
      </c>
      <c r="E816" s="167" t="n">
        <v>1</v>
      </c>
      <c r="F816" s="167" t="n">
        <v>1</v>
      </c>
      <c r="G816" s="167" t="n">
        <v>0</v>
      </c>
      <c r="H816" s="167" t="n">
        <v>0</v>
      </c>
      <c r="I816" s="167" t="n">
        <v>1</v>
      </c>
    </row>
    <row r="817" customFormat="false" ht="14.25" hidden="false" customHeight="true" outlineLevel="0" collapsed="false">
      <c r="A817" s="167" t="s">
        <v>250</v>
      </c>
      <c r="B817" s="167" t="s">
        <v>237</v>
      </c>
      <c r="C817" s="167" t="n">
        <v>28</v>
      </c>
      <c r="D817" s="167" t="str">
        <f aca="false">A817&amp;" "&amp;B817&amp;" "&amp;C817</f>
        <v>CIM Motor BB RS-550 28</v>
      </c>
      <c r="E817" s="167" t="n">
        <v>1</v>
      </c>
      <c r="F817" s="167" t="n">
        <v>1</v>
      </c>
      <c r="G817" s="167" t="n">
        <v>0</v>
      </c>
      <c r="H817" s="167" t="n">
        <v>0</v>
      </c>
      <c r="I817" s="167" t="n">
        <v>1</v>
      </c>
    </row>
    <row r="818" customFormat="false" ht="14.25" hidden="false" customHeight="true" outlineLevel="0" collapsed="false">
      <c r="A818" s="167" t="s">
        <v>250</v>
      </c>
      <c r="B818" s="167" t="s">
        <v>237</v>
      </c>
      <c r="C818" s="167" t="n">
        <v>30</v>
      </c>
      <c r="D818" s="167" t="str">
        <f aca="false">A818&amp;" "&amp;B818&amp;" "&amp;C818</f>
        <v>CIM Motor BB RS-550 30</v>
      </c>
      <c r="E818" s="167" t="n">
        <v>1</v>
      </c>
      <c r="F818" s="167" t="n">
        <v>0</v>
      </c>
      <c r="G818" s="167" t="n">
        <v>0</v>
      </c>
      <c r="H818" s="167" t="n">
        <v>0</v>
      </c>
      <c r="I818" s="167" t="n">
        <v>1</v>
      </c>
    </row>
    <row r="819" customFormat="false" ht="14.25" hidden="false" customHeight="true" outlineLevel="0" collapsed="false">
      <c r="A819" s="167" t="s">
        <v>250</v>
      </c>
      <c r="B819" s="167" t="s">
        <v>237</v>
      </c>
      <c r="C819" s="167" t="n">
        <v>35</v>
      </c>
      <c r="D819" s="167" t="str">
        <f aca="false">A819&amp;" "&amp;B819&amp;" "&amp;C819</f>
        <v>CIM Motor BB RS-550 35</v>
      </c>
      <c r="E819" s="167" t="n">
        <v>1</v>
      </c>
      <c r="F819" s="167" t="n">
        <v>0</v>
      </c>
      <c r="G819" s="167" t="n">
        <v>0</v>
      </c>
      <c r="H819" s="167" t="n">
        <v>0</v>
      </c>
      <c r="I819" s="167" t="n">
        <v>1</v>
      </c>
    </row>
    <row r="820" customFormat="false" ht="14.25" hidden="false" customHeight="true" outlineLevel="0" collapsed="false">
      <c r="A820" s="167" t="s">
        <v>250</v>
      </c>
      <c r="B820" s="167" t="s">
        <v>237</v>
      </c>
      <c r="C820" s="167" t="n">
        <v>36</v>
      </c>
      <c r="D820" s="167" t="str">
        <f aca="false">A820&amp;" "&amp;B820&amp;" "&amp;C820</f>
        <v>CIM Motor BB RS-550 36</v>
      </c>
      <c r="E820" s="167" t="n">
        <v>1</v>
      </c>
      <c r="F820" s="167" t="n">
        <v>0</v>
      </c>
      <c r="G820" s="167" t="n">
        <v>0</v>
      </c>
      <c r="H820" s="167" t="n">
        <v>0</v>
      </c>
      <c r="I820" s="167" t="n">
        <v>1</v>
      </c>
    </row>
    <row r="821" customFormat="false" ht="14.25" hidden="false" customHeight="true" outlineLevel="0" collapsed="false">
      <c r="A821" s="167" t="s">
        <v>250</v>
      </c>
      <c r="B821" s="167" t="s">
        <v>237</v>
      </c>
      <c r="C821" s="167" t="n">
        <v>40</v>
      </c>
      <c r="D821" s="167" t="str">
        <f aca="false">A821&amp;" "&amp;B821&amp;" "&amp;C821</f>
        <v>CIM Motor BB RS-550 40</v>
      </c>
      <c r="E821" s="167" t="n">
        <v>1</v>
      </c>
      <c r="F821" s="167" t="n">
        <v>0</v>
      </c>
      <c r="G821" s="167" t="n">
        <v>0</v>
      </c>
      <c r="H821" s="167" t="n">
        <v>0</v>
      </c>
      <c r="I821" s="167" t="n">
        <v>1</v>
      </c>
    </row>
    <row r="822" customFormat="false" ht="14.25" hidden="false" customHeight="true" outlineLevel="0" collapsed="false">
      <c r="A822" s="167" t="s">
        <v>250</v>
      </c>
      <c r="B822" s="167" t="s">
        <v>237</v>
      </c>
      <c r="C822" s="167" t="n">
        <v>45</v>
      </c>
      <c r="D822" s="167" t="str">
        <f aca="false">A822&amp;" "&amp;B822&amp;" "&amp;C822</f>
        <v>CIM Motor BB RS-550 45</v>
      </c>
      <c r="E822" s="167" t="n">
        <v>1</v>
      </c>
      <c r="F822" s="167" t="n">
        <v>0</v>
      </c>
      <c r="G822" s="167" t="n">
        <v>0</v>
      </c>
      <c r="H822" s="167" t="n">
        <v>0</v>
      </c>
      <c r="I822" s="167" t="n">
        <v>1</v>
      </c>
    </row>
    <row r="823" customFormat="false" ht="14.25" hidden="false" customHeight="true" outlineLevel="0" collapsed="false">
      <c r="A823" s="167" t="s">
        <v>250</v>
      </c>
      <c r="B823" s="167" t="s">
        <v>237</v>
      </c>
      <c r="C823" s="167" t="n">
        <v>49</v>
      </c>
      <c r="D823" s="167" t="str">
        <f aca="false">A823&amp;" "&amp;B823&amp;" "&amp;C823</f>
        <v>CIM Motor BB RS-550 49</v>
      </c>
      <c r="E823" s="167" t="n">
        <v>1</v>
      </c>
      <c r="F823" s="167" t="n">
        <v>0</v>
      </c>
      <c r="G823" s="167" t="n">
        <v>0</v>
      </c>
      <c r="H823" s="167" t="n">
        <v>0</v>
      </c>
      <c r="I823" s="167" t="n">
        <v>1</v>
      </c>
    </row>
    <row r="824" customFormat="false" ht="14.25" hidden="false" customHeight="true" outlineLevel="0" collapsed="false">
      <c r="A824" s="167" t="s">
        <v>250</v>
      </c>
      <c r="B824" s="167" t="s">
        <v>237</v>
      </c>
      <c r="C824" s="167" t="n">
        <v>50</v>
      </c>
      <c r="D824" s="167" t="str">
        <f aca="false">A824&amp;" "&amp;B824&amp;" "&amp;C824</f>
        <v>CIM Motor BB RS-550 50</v>
      </c>
      <c r="E824" s="167" t="n">
        <v>1</v>
      </c>
      <c r="F824" s="167" t="n">
        <v>0</v>
      </c>
      <c r="G824" s="167" t="n">
        <v>0</v>
      </c>
      <c r="H824" s="167" t="n">
        <v>0</v>
      </c>
      <c r="I824" s="167" t="n">
        <v>1</v>
      </c>
    </row>
    <row r="825" customFormat="false" ht="14.25" hidden="false" customHeight="true" outlineLevel="0" collapsed="false">
      <c r="A825" s="167" t="s">
        <v>250</v>
      </c>
      <c r="B825" s="167" t="s">
        <v>237</v>
      </c>
      <c r="C825" s="167" t="n">
        <v>63</v>
      </c>
      <c r="D825" s="167" t="str">
        <f aca="false">A825&amp;" "&amp;B825&amp;" "&amp;C825</f>
        <v>CIM Motor BB RS-550 63</v>
      </c>
      <c r="E825" s="167" t="n">
        <v>0</v>
      </c>
      <c r="F825" s="167" t="n">
        <v>0</v>
      </c>
      <c r="G825" s="167" t="n">
        <v>0</v>
      </c>
      <c r="H825" s="167" t="n">
        <v>0</v>
      </c>
      <c r="I825" s="167" t="n">
        <v>1</v>
      </c>
    </row>
    <row r="826" customFormat="false" ht="14.25" hidden="false" customHeight="true" outlineLevel="0" collapsed="false">
      <c r="A826" s="167" t="s">
        <v>250</v>
      </c>
      <c r="B826" s="167" t="s">
        <v>237</v>
      </c>
      <c r="C826" s="167" t="n">
        <v>70</v>
      </c>
      <c r="D826" s="167" t="str">
        <f aca="false">A826&amp;" "&amp;B826&amp;" "&amp;C826</f>
        <v>CIM Motor BB RS-550 70</v>
      </c>
      <c r="E826" s="167" t="n">
        <v>0</v>
      </c>
      <c r="F826" s="167" t="n">
        <v>0</v>
      </c>
      <c r="G826" s="167" t="n">
        <v>0</v>
      </c>
      <c r="H826" s="167" t="n">
        <v>0</v>
      </c>
      <c r="I826" s="167" t="n">
        <v>1</v>
      </c>
    </row>
    <row r="827" customFormat="false" ht="14.25" hidden="false" customHeight="true" outlineLevel="0" collapsed="false">
      <c r="A827" s="167" t="s">
        <v>250</v>
      </c>
      <c r="B827" s="167" t="s">
        <v>237</v>
      </c>
      <c r="C827" s="167" t="n">
        <v>81</v>
      </c>
      <c r="D827" s="167" t="str">
        <f aca="false">A827&amp;" "&amp;B827&amp;" "&amp;C827</f>
        <v>CIM Motor BB RS-550 81</v>
      </c>
      <c r="E827" s="167" t="n">
        <v>0</v>
      </c>
      <c r="F827" s="167" t="n">
        <v>0</v>
      </c>
      <c r="G827" s="167" t="n">
        <v>0</v>
      </c>
      <c r="H827" s="167" t="n">
        <v>0</v>
      </c>
      <c r="I827" s="167" t="n">
        <v>0</v>
      </c>
    </row>
    <row r="828" customFormat="false" ht="14.25" hidden="false" customHeight="true" outlineLevel="0" collapsed="false">
      <c r="A828" s="167" t="s">
        <v>250</v>
      </c>
      <c r="B828" s="167" t="s">
        <v>237</v>
      </c>
      <c r="C828" s="167" t="n">
        <v>90</v>
      </c>
      <c r="D828" s="167" t="str">
        <f aca="false">A828&amp;" "&amp;B828&amp;" "&amp;C828</f>
        <v>CIM Motor BB RS-550 90</v>
      </c>
      <c r="E828" s="167" t="n">
        <v>0</v>
      </c>
      <c r="F828" s="167" t="n">
        <v>0</v>
      </c>
      <c r="G828" s="167" t="n">
        <v>0</v>
      </c>
      <c r="H828" s="167" t="n">
        <v>0</v>
      </c>
      <c r="I828" s="167" t="n">
        <v>0</v>
      </c>
    </row>
    <row r="829" customFormat="false" ht="14.25" hidden="false" customHeight="true" outlineLevel="0" collapsed="false">
      <c r="A829" s="167" t="s">
        <v>250</v>
      </c>
      <c r="B829" s="167" t="s">
        <v>237</v>
      </c>
      <c r="C829" s="167" t="n">
        <v>100</v>
      </c>
      <c r="D829" s="167" t="str">
        <f aca="false">A829&amp;" "&amp;B829&amp;" "&amp;C829</f>
        <v>CIM Motor BB RS-550 100</v>
      </c>
      <c r="E829" s="167" t="n">
        <v>0</v>
      </c>
      <c r="F829" s="167" t="n">
        <v>0</v>
      </c>
      <c r="G829" s="167" t="n">
        <v>0</v>
      </c>
      <c r="H829" s="167" t="n">
        <v>0</v>
      </c>
      <c r="I829" s="167" t="n">
        <v>0</v>
      </c>
    </row>
    <row r="830" customFormat="false" ht="14.25" hidden="false" customHeight="true" outlineLevel="0" collapsed="false">
      <c r="A830" s="167" t="s">
        <v>250</v>
      </c>
      <c r="B830" s="167" t="s">
        <v>239</v>
      </c>
      <c r="C830" s="167" t="n">
        <v>-3</v>
      </c>
      <c r="D830" s="167" t="str">
        <f aca="false">A830&amp;" "&amp;B830&amp;" "&amp;C830</f>
        <v>CIM Motor BB RS-775 -3</v>
      </c>
      <c r="E830" s="167" t="n">
        <v>1</v>
      </c>
      <c r="F830" s="167" t="n">
        <v>1</v>
      </c>
      <c r="G830" s="167" t="n">
        <v>0</v>
      </c>
      <c r="H830" s="167" t="n">
        <v>0</v>
      </c>
      <c r="I830" s="167" t="n">
        <v>1</v>
      </c>
    </row>
    <row r="831" customFormat="false" ht="14.25" hidden="false" customHeight="true" outlineLevel="0" collapsed="false">
      <c r="A831" s="167" t="s">
        <v>250</v>
      </c>
      <c r="B831" s="167" t="s">
        <v>239</v>
      </c>
      <c r="C831" s="167" t="n">
        <v>-4</v>
      </c>
      <c r="D831" s="167" t="str">
        <f aca="false">A831&amp;" "&amp;B831&amp;" "&amp;C831</f>
        <v>CIM Motor BB RS-775 -4</v>
      </c>
      <c r="E831" s="167" t="n">
        <v>1</v>
      </c>
      <c r="F831" s="167" t="n">
        <v>1</v>
      </c>
      <c r="G831" s="167" t="n">
        <v>0</v>
      </c>
      <c r="H831" s="167" t="n">
        <v>0</v>
      </c>
      <c r="I831" s="167" t="n">
        <v>1</v>
      </c>
    </row>
    <row r="832" customFormat="false" ht="14.25" hidden="false" customHeight="true" outlineLevel="0" collapsed="false">
      <c r="A832" s="167" t="s">
        <v>250</v>
      </c>
      <c r="B832" s="167" t="s">
        <v>239</v>
      </c>
      <c r="C832" s="167" t="n">
        <v>-5</v>
      </c>
      <c r="D832" s="167" t="str">
        <f aca="false">A832&amp;" "&amp;B832&amp;" "&amp;C832</f>
        <v>CIM Motor BB RS-775 -5</v>
      </c>
      <c r="E832" s="167" t="n">
        <v>1</v>
      </c>
      <c r="F832" s="167" t="n">
        <v>1</v>
      </c>
      <c r="G832" s="167" t="n">
        <v>0</v>
      </c>
      <c r="H832" s="167" t="n">
        <v>0</v>
      </c>
      <c r="I832" s="167" t="n">
        <v>1</v>
      </c>
    </row>
    <row r="833" customFormat="false" ht="14.25" hidden="false" customHeight="true" outlineLevel="0" collapsed="false">
      <c r="A833" s="167" t="s">
        <v>250</v>
      </c>
      <c r="B833" s="167" t="s">
        <v>239</v>
      </c>
      <c r="C833" s="167" t="n">
        <v>-7</v>
      </c>
      <c r="D833" s="167" t="str">
        <f aca="false">A833&amp;" "&amp;B833&amp;" "&amp;C833</f>
        <v>CIM Motor BB RS-775 -7</v>
      </c>
      <c r="E833" s="167" t="n">
        <v>1</v>
      </c>
      <c r="F833" s="167" t="n">
        <v>1</v>
      </c>
      <c r="G833" s="167" t="n">
        <v>0</v>
      </c>
      <c r="H833" s="167" t="n">
        <v>0</v>
      </c>
      <c r="I833" s="167" t="n">
        <v>1</v>
      </c>
    </row>
    <row r="834" customFormat="false" ht="14.25" hidden="false" customHeight="true" outlineLevel="0" collapsed="false">
      <c r="A834" s="167" t="s">
        <v>250</v>
      </c>
      <c r="B834" s="167" t="s">
        <v>239</v>
      </c>
      <c r="C834" s="167" t="n">
        <v>-9</v>
      </c>
      <c r="D834" s="167" t="str">
        <f aca="false">A834&amp;" "&amp;B834&amp;" "&amp;C834</f>
        <v>CIM Motor BB RS-775 -9</v>
      </c>
      <c r="E834" s="167" t="n">
        <v>1</v>
      </c>
      <c r="F834" s="167" t="n">
        <v>1</v>
      </c>
      <c r="G834" s="167" t="n">
        <v>0</v>
      </c>
      <c r="H834" s="167" t="n">
        <v>0</v>
      </c>
      <c r="I834" s="167" t="n">
        <v>1</v>
      </c>
    </row>
    <row r="835" customFormat="false" ht="14.25" hidden="false" customHeight="true" outlineLevel="0" collapsed="false">
      <c r="A835" s="167" t="s">
        <v>250</v>
      </c>
      <c r="B835" s="167" t="s">
        <v>239</v>
      </c>
      <c r="C835" s="167" t="n">
        <v>-10</v>
      </c>
      <c r="D835" s="167" t="str">
        <f aca="false">A835&amp;" "&amp;B835&amp;" "&amp;C835</f>
        <v>CIM Motor BB RS-775 -10</v>
      </c>
      <c r="E835" s="167" t="n">
        <v>1</v>
      </c>
      <c r="F835" s="167" t="n">
        <v>1</v>
      </c>
      <c r="G835" s="167" t="n">
        <v>0</v>
      </c>
      <c r="H835" s="167" t="n">
        <v>0</v>
      </c>
      <c r="I835" s="167" t="n">
        <v>1</v>
      </c>
    </row>
    <row r="836" customFormat="false" ht="14.25" hidden="false" customHeight="true" outlineLevel="0" collapsed="false">
      <c r="A836" s="167" t="s">
        <v>250</v>
      </c>
      <c r="B836" s="167" t="s">
        <v>239</v>
      </c>
      <c r="C836" s="167" t="n">
        <v>9</v>
      </c>
      <c r="D836" s="167" t="str">
        <f aca="false">A836&amp;" "&amp;B836&amp;" "&amp;C836</f>
        <v>CIM Motor BB RS-775 9</v>
      </c>
      <c r="E836" s="167" t="n">
        <v>4</v>
      </c>
      <c r="F836" s="167" t="n">
        <v>1</v>
      </c>
      <c r="G836" s="167" t="n">
        <v>0</v>
      </c>
      <c r="H836" s="167" t="n">
        <v>0</v>
      </c>
      <c r="I836" s="167" t="n">
        <v>7</v>
      </c>
    </row>
    <row r="837" customFormat="false" ht="14.25" hidden="false" customHeight="true" outlineLevel="0" collapsed="false">
      <c r="A837" s="167" t="s">
        <v>250</v>
      </c>
      <c r="B837" s="167" t="s">
        <v>239</v>
      </c>
      <c r="C837" s="167" t="n">
        <v>12</v>
      </c>
      <c r="D837" s="167" t="str">
        <f aca="false">A837&amp;" "&amp;B837&amp;" "&amp;C837</f>
        <v>CIM Motor BB RS-775 12</v>
      </c>
      <c r="E837" s="167" t="n">
        <v>3</v>
      </c>
      <c r="F837" s="167" t="n">
        <v>1</v>
      </c>
      <c r="G837" s="167" t="n">
        <v>0</v>
      </c>
      <c r="H837" s="167" t="n">
        <v>0</v>
      </c>
      <c r="I837" s="167" t="n">
        <v>5</v>
      </c>
    </row>
    <row r="838" customFormat="false" ht="14.25" hidden="false" customHeight="true" outlineLevel="0" collapsed="false">
      <c r="A838" s="167" t="s">
        <v>250</v>
      </c>
      <c r="B838" s="167" t="s">
        <v>239</v>
      </c>
      <c r="C838" s="167" t="n">
        <v>15</v>
      </c>
      <c r="D838" s="167" t="str">
        <f aca="false">A838&amp;" "&amp;B838&amp;" "&amp;C838</f>
        <v>CIM Motor BB RS-775 15</v>
      </c>
      <c r="E838" s="167" t="n">
        <v>1</v>
      </c>
      <c r="F838" s="167" t="n">
        <v>1</v>
      </c>
      <c r="G838" s="167" t="n">
        <v>0</v>
      </c>
      <c r="H838" s="167" t="n">
        <v>0</v>
      </c>
      <c r="I838" s="167" t="n">
        <v>5</v>
      </c>
    </row>
    <row r="839" customFormat="false" ht="14.25" hidden="false" customHeight="true" outlineLevel="0" collapsed="false">
      <c r="A839" s="167" t="s">
        <v>250</v>
      </c>
      <c r="B839" s="167" t="s">
        <v>239</v>
      </c>
      <c r="C839" s="167" t="n">
        <v>16</v>
      </c>
      <c r="D839" s="167" t="str">
        <f aca="false">A839&amp;" "&amp;B839&amp;" "&amp;C839</f>
        <v>CIM Motor BB RS-775 16</v>
      </c>
      <c r="E839" s="167" t="n">
        <v>1</v>
      </c>
      <c r="F839" s="167" t="n">
        <v>1</v>
      </c>
      <c r="G839" s="167" t="n">
        <v>0</v>
      </c>
      <c r="H839" s="167" t="n">
        <v>0</v>
      </c>
      <c r="I839" s="167" t="n">
        <v>5</v>
      </c>
    </row>
    <row r="840" customFormat="false" ht="14.25" hidden="false" customHeight="true" outlineLevel="0" collapsed="false">
      <c r="A840" s="167" t="s">
        <v>250</v>
      </c>
      <c r="B840" s="167" t="s">
        <v>239</v>
      </c>
      <c r="C840" s="167" t="n">
        <v>20</v>
      </c>
      <c r="D840" s="167" t="str">
        <f aca="false">A840&amp;" "&amp;B840&amp;" "&amp;C840</f>
        <v>CIM Motor BB RS-775 20</v>
      </c>
      <c r="E840" s="167" t="n">
        <v>1</v>
      </c>
      <c r="F840" s="167" t="n">
        <v>0</v>
      </c>
      <c r="G840" s="167" t="n">
        <v>0</v>
      </c>
      <c r="H840" s="167" t="n">
        <v>0</v>
      </c>
      <c r="I840" s="167" t="n">
        <v>4</v>
      </c>
    </row>
    <row r="841" customFormat="false" ht="14.25" hidden="false" customHeight="true" outlineLevel="0" collapsed="false">
      <c r="A841" s="167" t="s">
        <v>250</v>
      </c>
      <c r="B841" s="167" t="s">
        <v>239</v>
      </c>
      <c r="C841" s="167" t="n">
        <v>21</v>
      </c>
      <c r="D841" s="167" t="str">
        <f aca="false">A841&amp;" "&amp;B841&amp;" "&amp;C841</f>
        <v>CIM Motor BB RS-775 21</v>
      </c>
      <c r="E841" s="167" t="n">
        <v>1</v>
      </c>
      <c r="F841" s="167" t="n">
        <v>0</v>
      </c>
      <c r="G841" s="167" t="n">
        <v>0</v>
      </c>
      <c r="H841" s="167" t="n">
        <v>0</v>
      </c>
      <c r="I841" s="167" t="n">
        <v>3</v>
      </c>
    </row>
    <row r="842" customFormat="false" ht="14.25" hidden="false" customHeight="true" outlineLevel="0" collapsed="false">
      <c r="A842" s="167" t="s">
        <v>250</v>
      </c>
      <c r="B842" s="167" t="s">
        <v>239</v>
      </c>
      <c r="C842" s="167" t="n">
        <v>25</v>
      </c>
      <c r="D842" s="167" t="str">
        <f aca="false">A842&amp;" "&amp;B842&amp;" "&amp;C842</f>
        <v>CIM Motor BB RS-775 25</v>
      </c>
      <c r="E842" s="167" t="n">
        <v>1</v>
      </c>
      <c r="F842" s="167" t="n">
        <v>0</v>
      </c>
      <c r="G842" s="167" t="n">
        <v>0</v>
      </c>
      <c r="H842" s="167" t="n">
        <v>0</v>
      </c>
      <c r="I842" s="167" t="n">
        <v>3</v>
      </c>
    </row>
    <row r="843" customFormat="false" ht="14.25" hidden="false" customHeight="true" outlineLevel="0" collapsed="false">
      <c r="A843" s="167" t="s">
        <v>250</v>
      </c>
      <c r="B843" s="167" t="s">
        <v>239</v>
      </c>
      <c r="C843" s="167" t="n">
        <v>27</v>
      </c>
      <c r="D843" s="167" t="str">
        <f aca="false">A843&amp;" "&amp;B843&amp;" "&amp;C843</f>
        <v>CIM Motor BB RS-775 27</v>
      </c>
      <c r="E843" s="167" t="n">
        <v>1</v>
      </c>
      <c r="F843" s="167" t="n">
        <v>0</v>
      </c>
      <c r="G843" s="167" t="n">
        <v>0</v>
      </c>
      <c r="H843" s="167" t="n">
        <v>0</v>
      </c>
      <c r="I843" s="167" t="n">
        <v>1</v>
      </c>
    </row>
    <row r="844" customFormat="false" ht="14.25" hidden="false" customHeight="true" outlineLevel="0" collapsed="false">
      <c r="A844" s="167" t="s">
        <v>250</v>
      </c>
      <c r="B844" s="167" t="s">
        <v>239</v>
      </c>
      <c r="C844" s="167" t="n">
        <v>28</v>
      </c>
      <c r="D844" s="167" t="str">
        <f aca="false">A844&amp;" "&amp;B844&amp;" "&amp;C844</f>
        <v>CIM Motor BB RS-775 28</v>
      </c>
      <c r="E844" s="167" t="n">
        <v>1</v>
      </c>
      <c r="F844" s="167" t="n">
        <v>0</v>
      </c>
      <c r="G844" s="167" t="n">
        <v>0</v>
      </c>
      <c r="H844" s="167" t="n">
        <v>0</v>
      </c>
      <c r="I844" s="167" t="n">
        <v>1</v>
      </c>
    </row>
    <row r="845" customFormat="false" ht="14.25" hidden="false" customHeight="true" outlineLevel="0" collapsed="false">
      <c r="A845" s="167" t="s">
        <v>250</v>
      </c>
      <c r="B845" s="167" t="s">
        <v>239</v>
      </c>
      <c r="C845" s="167" t="n">
        <v>30</v>
      </c>
      <c r="D845" s="167" t="str">
        <f aca="false">A845&amp;" "&amp;B845&amp;" "&amp;C845</f>
        <v>CIM Motor BB RS-775 30</v>
      </c>
      <c r="E845" s="167" t="n">
        <v>1</v>
      </c>
      <c r="F845" s="167" t="n">
        <v>0</v>
      </c>
      <c r="G845" s="167" t="n">
        <v>0</v>
      </c>
      <c r="H845" s="167" t="n">
        <v>0</v>
      </c>
      <c r="I845" s="167" t="n">
        <v>1</v>
      </c>
    </row>
    <row r="846" customFormat="false" ht="14.25" hidden="false" customHeight="true" outlineLevel="0" collapsed="false">
      <c r="A846" s="167" t="s">
        <v>250</v>
      </c>
      <c r="B846" s="167" t="s">
        <v>239</v>
      </c>
      <c r="C846" s="167" t="n">
        <v>35</v>
      </c>
      <c r="D846" s="167" t="str">
        <f aca="false">A846&amp;" "&amp;B846&amp;" "&amp;C846</f>
        <v>CIM Motor BB RS-775 35</v>
      </c>
      <c r="E846" s="167" t="n">
        <v>1</v>
      </c>
      <c r="F846" s="167" t="n">
        <v>0</v>
      </c>
      <c r="G846" s="167" t="n">
        <v>0</v>
      </c>
      <c r="H846" s="167" t="n">
        <v>0</v>
      </c>
      <c r="I846" s="167" t="n">
        <v>1</v>
      </c>
    </row>
    <row r="847" customFormat="false" ht="14.25" hidden="false" customHeight="true" outlineLevel="0" collapsed="false">
      <c r="A847" s="167" t="s">
        <v>250</v>
      </c>
      <c r="B847" s="167" t="s">
        <v>239</v>
      </c>
      <c r="C847" s="167" t="n">
        <v>36</v>
      </c>
      <c r="D847" s="167" t="str">
        <f aca="false">A847&amp;" "&amp;B847&amp;" "&amp;C847</f>
        <v>CIM Motor BB RS-775 36</v>
      </c>
      <c r="E847" s="167" t="n">
        <v>1</v>
      </c>
      <c r="F847" s="167" t="n">
        <v>0</v>
      </c>
      <c r="G847" s="167" t="n">
        <v>0</v>
      </c>
      <c r="H847" s="167" t="n">
        <v>0</v>
      </c>
      <c r="I847" s="167" t="n">
        <v>1</v>
      </c>
    </row>
    <row r="848" customFormat="false" ht="14.25" hidden="false" customHeight="true" outlineLevel="0" collapsed="false">
      <c r="A848" s="167" t="s">
        <v>250</v>
      </c>
      <c r="B848" s="167" t="s">
        <v>239</v>
      </c>
      <c r="C848" s="167" t="n">
        <v>40</v>
      </c>
      <c r="D848" s="167" t="str">
        <f aca="false">A848&amp;" "&amp;B848&amp;" "&amp;C848</f>
        <v>CIM Motor BB RS-775 40</v>
      </c>
      <c r="E848" s="167" t="n">
        <v>0</v>
      </c>
      <c r="F848" s="167" t="n">
        <v>0</v>
      </c>
      <c r="G848" s="167" t="n">
        <v>0</v>
      </c>
      <c r="H848" s="167" t="n">
        <v>0</v>
      </c>
      <c r="I848" s="167" t="n">
        <v>1</v>
      </c>
    </row>
    <row r="849" customFormat="false" ht="14.25" hidden="false" customHeight="true" outlineLevel="0" collapsed="false">
      <c r="A849" s="167" t="s">
        <v>250</v>
      </c>
      <c r="B849" s="167" t="s">
        <v>239</v>
      </c>
      <c r="C849" s="167" t="n">
        <v>45</v>
      </c>
      <c r="D849" s="167" t="str">
        <f aca="false">A849&amp;" "&amp;B849&amp;" "&amp;C849</f>
        <v>CIM Motor BB RS-775 45</v>
      </c>
      <c r="E849" s="167" t="n">
        <v>0</v>
      </c>
      <c r="F849" s="167" t="n">
        <v>0</v>
      </c>
      <c r="G849" s="167" t="n">
        <v>0</v>
      </c>
      <c r="H849" s="167" t="n">
        <v>0</v>
      </c>
      <c r="I849" s="167" t="n">
        <v>1</v>
      </c>
    </row>
    <row r="850" customFormat="false" ht="14.25" hidden="false" customHeight="true" outlineLevel="0" collapsed="false">
      <c r="A850" s="167" t="s">
        <v>250</v>
      </c>
      <c r="B850" s="167" t="s">
        <v>239</v>
      </c>
      <c r="C850" s="167" t="n">
        <v>49</v>
      </c>
      <c r="D850" s="167" t="str">
        <f aca="false">A850&amp;" "&amp;B850&amp;" "&amp;C850</f>
        <v>CIM Motor BB RS-775 49</v>
      </c>
      <c r="E850" s="167" t="n">
        <v>0</v>
      </c>
      <c r="F850" s="167" t="n">
        <v>0</v>
      </c>
      <c r="G850" s="167" t="n">
        <v>0</v>
      </c>
      <c r="H850" s="167" t="n">
        <v>0</v>
      </c>
      <c r="I850" s="167" t="n">
        <v>1</v>
      </c>
    </row>
    <row r="851" customFormat="false" ht="14.25" hidden="false" customHeight="true" outlineLevel="0" collapsed="false">
      <c r="A851" s="167" t="s">
        <v>250</v>
      </c>
      <c r="B851" s="167" t="s">
        <v>239</v>
      </c>
      <c r="C851" s="167" t="n">
        <v>50</v>
      </c>
      <c r="D851" s="167" t="str">
        <f aca="false">A851&amp;" "&amp;B851&amp;" "&amp;C851</f>
        <v>CIM Motor BB RS-775 50</v>
      </c>
      <c r="E851" s="167" t="n">
        <v>0</v>
      </c>
      <c r="F851" s="167" t="n">
        <v>0</v>
      </c>
      <c r="G851" s="167" t="n">
        <v>0</v>
      </c>
      <c r="H851" s="167" t="n">
        <v>0</v>
      </c>
      <c r="I851" s="167" t="n">
        <v>1</v>
      </c>
    </row>
    <row r="852" customFormat="false" ht="14.25" hidden="false" customHeight="true" outlineLevel="0" collapsed="false">
      <c r="A852" s="167" t="s">
        <v>250</v>
      </c>
      <c r="B852" s="167" t="s">
        <v>239</v>
      </c>
      <c r="C852" s="167" t="n">
        <v>63</v>
      </c>
      <c r="D852" s="167" t="str">
        <f aca="false">A852&amp;" "&amp;B852&amp;" "&amp;C852</f>
        <v>CIM Motor BB RS-775 63</v>
      </c>
      <c r="E852" s="167" t="n">
        <v>0</v>
      </c>
      <c r="F852" s="167" t="n">
        <v>0</v>
      </c>
      <c r="G852" s="167" t="n">
        <v>0</v>
      </c>
      <c r="H852" s="167" t="n">
        <v>0</v>
      </c>
      <c r="I852" s="167" t="n">
        <v>1</v>
      </c>
    </row>
    <row r="853" customFormat="false" ht="14.25" hidden="false" customHeight="true" outlineLevel="0" collapsed="false">
      <c r="A853" s="167" t="s">
        <v>250</v>
      </c>
      <c r="B853" s="167" t="s">
        <v>239</v>
      </c>
      <c r="C853" s="167" t="n">
        <v>70</v>
      </c>
      <c r="D853" s="167" t="str">
        <f aca="false">A853&amp;" "&amp;B853&amp;" "&amp;C853</f>
        <v>CIM Motor BB RS-775 70</v>
      </c>
      <c r="E853" s="167" t="n">
        <v>0</v>
      </c>
      <c r="F853" s="167" t="n">
        <v>0</v>
      </c>
      <c r="G853" s="167" t="n">
        <v>0</v>
      </c>
      <c r="H853" s="167" t="n">
        <v>0</v>
      </c>
      <c r="I853" s="167" t="n">
        <v>1</v>
      </c>
    </row>
    <row r="854" customFormat="false" ht="14.25" hidden="false" customHeight="true" outlineLevel="0" collapsed="false">
      <c r="A854" s="167" t="s">
        <v>250</v>
      </c>
      <c r="B854" s="167" t="s">
        <v>239</v>
      </c>
      <c r="C854" s="167" t="n">
        <v>81</v>
      </c>
      <c r="D854" s="167" t="str">
        <f aca="false">A854&amp;" "&amp;B854&amp;" "&amp;C854</f>
        <v>CIM Motor BB RS-775 81</v>
      </c>
      <c r="E854" s="167" t="n">
        <v>0</v>
      </c>
      <c r="F854" s="167" t="n">
        <v>0</v>
      </c>
      <c r="G854" s="167" t="n">
        <v>0</v>
      </c>
      <c r="H854" s="167" t="n">
        <v>0</v>
      </c>
      <c r="I854" s="167" t="n">
        <v>1</v>
      </c>
    </row>
    <row r="855" customFormat="false" ht="14.25" hidden="false" customHeight="true" outlineLevel="0" collapsed="false">
      <c r="A855" s="167" t="s">
        <v>250</v>
      </c>
      <c r="B855" s="167" t="s">
        <v>239</v>
      </c>
      <c r="C855" s="167" t="n">
        <v>90</v>
      </c>
      <c r="D855" s="167" t="str">
        <f aca="false">A855&amp;" "&amp;B855&amp;" "&amp;C855</f>
        <v>CIM Motor BB RS-775 90</v>
      </c>
      <c r="E855" s="167" t="n">
        <v>0</v>
      </c>
      <c r="F855" s="167" t="n">
        <v>0</v>
      </c>
      <c r="G855" s="167" t="n">
        <v>0</v>
      </c>
      <c r="H855" s="167" t="n">
        <v>0</v>
      </c>
      <c r="I855" s="167" t="n">
        <v>1</v>
      </c>
    </row>
    <row r="856" customFormat="false" ht="14.25" hidden="false" customHeight="true" outlineLevel="0" collapsed="false">
      <c r="A856" s="167" t="s">
        <v>250</v>
      </c>
      <c r="B856" s="167" t="s">
        <v>239</v>
      </c>
      <c r="C856" s="167" t="n">
        <v>100</v>
      </c>
      <c r="D856" s="167" t="str">
        <f aca="false">A856&amp;" "&amp;B856&amp;" "&amp;C856</f>
        <v>CIM Motor BB RS-775 100</v>
      </c>
      <c r="E856" s="167" t="n">
        <v>0</v>
      </c>
      <c r="F856" s="167" t="n">
        <v>0</v>
      </c>
      <c r="G856" s="167" t="n">
        <v>0</v>
      </c>
      <c r="H856" s="167" t="n">
        <v>0</v>
      </c>
      <c r="I856" s="167" t="n">
        <v>1</v>
      </c>
    </row>
    <row r="857" customFormat="false" ht="14.25" hidden="false" customHeight="true" outlineLevel="0" collapsed="false">
      <c r="A857" s="167" t="s">
        <v>250</v>
      </c>
      <c r="B857" s="167" t="s">
        <v>242</v>
      </c>
      <c r="C857" s="167" t="n">
        <v>-3</v>
      </c>
      <c r="D857" s="167" t="str">
        <f aca="false">A857&amp;" "&amp;B857&amp;" "&amp;C857</f>
        <v>CIM Motor BAG Motor -3</v>
      </c>
      <c r="E857" s="167" t="n">
        <v>1</v>
      </c>
      <c r="F857" s="167" t="n">
        <v>1</v>
      </c>
      <c r="G857" s="167" t="n">
        <v>0</v>
      </c>
      <c r="H857" s="167" t="n">
        <v>0</v>
      </c>
      <c r="I857" s="167" t="n">
        <v>1</v>
      </c>
    </row>
    <row r="858" customFormat="false" ht="14.25" hidden="false" customHeight="true" outlineLevel="0" collapsed="false">
      <c r="A858" s="167" t="s">
        <v>250</v>
      </c>
      <c r="B858" s="167" t="s">
        <v>242</v>
      </c>
      <c r="C858" s="167" t="n">
        <v>-4</v>
      </c>
      <c r="D858" s="167" t="str">
        <f aca="false">A858&amp;" "&amp;B858&amp;" "&amp;C858</f>
        <v>CIM Motor BAG Motor -4</v>
      </c>
      <c r="E858" s="167" t="n">
        <v>1</v>
      </c>
      <c r="F858" s="167" t="n">
        <v>1</v>
      </c>
      <c r="G858" s="167" t="n">
        <v>0</v>
      </c>
      <c r="H858" s="167" t="n">
        <v>0</v>
      </c>
      <c r="I858" s="167" t="n">
        <v>1</v>
      </c>
    </row>
    <row r="859" customFormat="false" ht="14.25" hidden="false" customHeight="true" outlineLevel="0" collapsed="false">
      <c r="A859" s="167" t="s">
        <v>250</v>
      </c>
      <c r="B859" s="167" t="s">
        <v>242</v>
      </c>
      <c r="C859" s="167" t="n">
        <v>-5</v>
      </c>
      <c r="D859" s="167" t="str">
        <f aca="false">A859&amp;" "&amp;B859&amp;" "&amp;C859</f>
        <v>CIM Motor BAG Motor -5</v>
      </c>
      <c r="E859" s="167" t="n">
        <v>1</v>
      </c>
      <c r="F859" s="167" t="n">
        <v>1</v>
      </c>
      <c r="G859" s="167" t="n">
        <v>0</v>
      </c>
      <c r="H859" s="167" t="n">
        <v>0</v>
      </c>
      <c r="I859" s="167" t="n">
        <v>1</v>
      </c>
    </row>
    <row r="860" customFormat="false" ht="14.25" hidden="false" customHeight="true" outlineLevel="0" collapsed="false">
      <c r="A860" s="167" t="s">
        <v>250</v>
      </c>
      <c r="B860" s="167" t="s">
        <v>242</v>
      </c>
      <c r="C860" s="167" t="n">
        <v>-7</v>
      </c>
      <c r="D860" s="167" t="str">
        <f aca="false">A860&amp;" "&amp;B860&amp;" "&amp;C860</f>
        <v>CIM Motor BAG Motor -7</v>
      </c>
      <c r="E860" s="167" t="n">
        <v>1</v>
      </c>
      <c r="F860" s="167" t="n">
        <v>1</v>
      </c>
      <c r="G860" s="167" t="n">
        <v>0</v>
      </c>
      <c r="H860" s="167" t="n">
        <v>0</v>
      </c>
      <c r="I860" s="167" t="n">
        <v>1</v>
      </c>
    </row>
    <row r="861" customFormat="false" ht="14.25" hidden="false" customHeight="true" outlineLevel="0" collapsed="false">
      <c r="A861" s="167" t="s">
        <v>250</v>
      </c>
      <c r="B861" s="167" t="s">
        <v>242</v>
      </c>
      <c r="C861" s="167" t="n">
        <v>-9</v>
      </c>
      <c r="D861" s="167" t="str">
        <f aca="false">A861&amp;" "&amp;B861&amp;" "&amp;C861</f>
        <v>CIM Motor BAG Motor -9</v>
      </c>
      <c r="E861" s="167" t="n">
        <v>1</v>
      </c>
      <c r="F861" s="167" t="n">
        <v>1</v>
      </c>
      <c r="G861" s="167" t="n">
        <v>0</v>
      </c>
      <c r="H861" s="167" t="n">
        <v>0</v>
      </c>
      <c r="I861" s="167" t="n">
        <v>1</v>
      </c>
    </row>
    <row r="862" customFormat="false" ht="14.25" hidden="false" customHeight="true" outlineLevel="0" collapsed="false">
      <c r="A862" s="167" t="s">
        <v>250</v>
      </c>
      <c r="B862" s="167" t="s">
        <v>242</v>
      </c>
      <c r="C862" s="167" t="n">
        <v>-10</v>
      </c>
      <c r="D862" s="167" t="str">
        <f aca="false">A862&amp;" "&amp;B862&amp;" "&amp;C862</f>
        <v>CIM Motor BAG Motor -10</v>
      </c>
      <c r="E862" s="167" t="n">
        <v>1</v>
      </c>
      <c r="F862" s="167" t="n">
        <v>1</v>
      </c>
      <c r="G862" s="167" t="n">
        <v>0</v>
      </c>
      <c r="H862" s="167" t="n">
        <v>0</v>
      </c>
      <c r="I862" s="167" t="n">
        <v>1</v>
      </c>
    </row>
    <row r="863" customFormat="false" ht="14.25" hidden="false" customHeight="true" outlineLevel="0" collapsed="false">
      <c r="A863" s="167" t="s">
        <v>250</v>
      </c>
      <c r="B863" s="167" t="s">
        <v>242</v>
      </c>
      <c r="C863" s="167" t="n">
        <v>9</v>
      </c>
      <c r="D863" s="167" t="str">
        <f aca="false">A863&amp;" "&amp;B863&amp;" "&amp;C863</f>
        <v>CIM Motor BAG Motor 9</v>
      </c>
      <c r="E863" s="167" t="n">
        <v>7</v>
      </c>
      <c r="F863" s="167" t="n">
        <v>3</v>
      </c>
      <c r="G863" s="167" t="n">
        <v>0</v>
      </c>
      <c r="H863" s="167" t="n">
        <v>0</v>
      </c>
      <c r="I863" s="167" t="n">
        <v>7</v>
      </c>
    </row>
    <row r="864" customFormat="false" ht="14.25" hidden="false" customHeight="true" outlineLevel="0" collapsed="false">
      <c r="A864" s="167" t="s">
        <v>250</v>
      </c>
      <c r="B864" s="167" t="s">
        <v>242</v>
      </c>
      <c r="C864" s="167" t="n">
        <v>12</v>
      </c>
      <c r="D864" s="167" t="str">
        <f aca="false">A864&amp;" "&amp;B864&amp;" "&amp;C864</f>
        <v>CIM Motor BAG Motor 12</v>
      </c>
      <c r="E864" s="167" t="n">
        <v>5</v>
      </c>
      <c r="F864" s="167" t="n">
        <v>1</v>
      </c>
      <c r="G864" s="167" t="n">
        <v>0</v>
      </c>
      <c r="H864" s="167" t="n">
        <v>0</v>
      </c>
      <c r="I864" s="167" t="n">
        <v>5</v>
      </c>
    </row>
    <row r="865" customFormat="false" ht="14.25" hidden="false" customHeight="true" outlineLevel="0" collapsed="false">
      <c r="A865" s="167" t="s">
        <v>250</v>
      </c>
      <c r="B865" s="167" t="s">
        <v>242</v>
      </c>
      <c r="C865" s="167" t="n">
        <v>15</v>
      </c>
      <c r="D865" s="167" t="str">
        <f aca="false">A865&amp;" "&amp;B865&amp;" "&amp;C865</f>
        <v>CIM Motor BAG Motor 15</v>
      </c>
      <c r="E865" s="167" t="n">
        <v>4</v>
      </c>
      <c r="F865" s="167" t="n">
        <v>1</v>
      </c>
      <c r="G865" s="167" t="n">
        <v>0</v>
      </c>
      <c r="H865" s="167" t="n">
        <v>0</v>
      </c>
      <c r="I865" s="167" t="n">
        <v>4</v>
      </c>
    </row>
    <row r="866" customFormat="false" ht="14.25" hidden="false" customHeight="true" outlineLevel="0" collapsed="false">
      <c r="A866" s="167" t="s">
        <v>250</v>
      </c>
      <c r="B866" s="167" t="s">
        <v>242</v>
      </c>
      <c r="C866" s="167" t="n">
        <v>16</v>
      </c>
      <c r="D866" s="167" t="str">
        <f aca="false">A866&amp;" "&amp;B866&amp;" "&amp;C866</f>
        <v>CIM Motor BAG Motor 16</v>
      </c>
      <c r="E866" s="167" t="n">
        <v>4</v>
      </c>
      <c r="F866" s="167" t="n">
        <v>1</v>
      </c>
      <c r="G866" s="167" t="n">
        <v>0</v>
      </c>
      <c r="H866" s="167" t="n">
        <v>0</v>
      </c>
      <c r="I866" s="167" t="n">
        <v>4</v>
      </c>
    </row>
    <row r="867" customFormat="false" ht="14.25" hidden="false" customHeight="true" outlineLevel="0" collapsed="false">
      <c r="A867" s="167" t="s">
        <v>250</v>
      </c>
      <c r="B867" s="167" t="s">
        <v>242</v>
      </c>
      <c r="C867" s="167" t="n">
        <v>20</v>
      </c>
      <c r="D867" s="167" t="str">
        <f aca="false">A867&amp;" "&amp;B867&amp;" "&amp;C867</f>
        <v>CIM Motor BAG Motor 20</v>
      </c>
      <c r="E867" s="167" t="n">
        <v>3</v>
      </c>
      <c r="F867" s="167" t="n">
        <v>1</v>
      </c>
      <c r="G867" s="167" t="n">
        <v>0</v>
      </c>
      <c r="H867" s="167" t="n">
        <v>0</v>
      </c>
      <c r="I867" s="167" t="n">
        <v>3</v>
      </c>
    </row>
    <row r="868" customFormat="false" ht="14.25" hidden="false" customHeight="true" outlineLevel="0" collapsed="false">
      <c r="A868" s="167" t="s">
        <v>250</v>
      </c>
      <c r="B868" s="167" t="s">
        <v>242</v>
      </c>
      <c r="C868" s="167" t="n">
        <v>21</v>
      </c>
      <c r="D868" s="167" t="str">
        <f aca="false">A868&amp;" "&amp;B868&amp;" "&amp;C868</f>
        <v>CIM Motor BAG Motor 21</v>
      </c>
      <c r="E868" s="167" t="n">
        <v>3</v>
      </c>
      <c r="F868" s="167" t="n">
        <v>1</v>
      </c>
      <c r="G868" s="167" t="n">
        <v>0</v>
      </c>
      <c r="H868" s="167" t="n">
        <v>0</v>
      </c>
      <c r="I868" s="167" t="n">
        <v>3</v>
      </c>
    </row>
    <row r="869" customFormat="false" ht="14.25" hidden="false" customHeight="true" outlineLevel="0" collapsed="false">
      <c r="A869" s="167" t="s">
        <v>250</v>
      </c>
      <c r="B869" s="167" t="s">
        <v>242</v>
      </c>
      <c r="C869" s="167" t="n">
        <v>25</v>
      </c>
      <c r="D869" s="167" t="str">
        <f aca="false">A869&amp;" "&amp;B869&amp;" "&amp;C869</f>
        <v>CIM Motor BAG Motor 25</v>
      </c>
      <c r="E869" s="167" t="n">
        <v>1</v>
      </c>
      <c r="F869" s="167" t="n">
        <v>1</v>
      </c>
      <c r="G869" s="167" t="n">
        <v>0</v>
      </c>
      <c r="H869" s="167" t="n">
        <v>0</v>
      </c>
      <c r="I869" s="167" t="n">
        <v>1</v>
      </c>
    </row>
    <row r="870" customFormat="false" ht="14.25" hidden="false" customHeight="true" outlineLevel="0" collapsed="false">
      <c r="A870" s="167" t="s">
        <v>250</v>
      </c>
      <c r="B870" s="167" t="s">
        <v>242</v>
      </c>
      <c r="C870" s="167" t="n">
        <v>27</v>
      </c>
      <c r="D870" s="167" t="str">
        <f aca="false">A870&amp;" "&amp;B870&amp;" "&amp;C870</f>
        <v>CIM Motor BAG Motor 27</v>
      </c>
      <c r="E870" s="167" t="n">
        <v>1</v>
      </c>
      <c r="F870" s="167" t="n">
        <v>1</v>
      </c>
      <c r="G870" s="167" t="n">
        <v>0</v>
      </c>
      <c r="H870" s="167" t="n">
        <v>0</v>
      </c>
      <c r="I870" s="167" t="n">
        <v>1</v>
      </c>
    </row>
    <row r="871" customFormat="false" ht="14.25" hidden="false" customHeight="true" outlineLevel="0" collapsed="false">
      <c r="A871" s="167" t="s">
        <v>250</v>
      </c>
      <c r="B871" s="167" t="s">
        <v>242</v>
      </c>
      <c r="C871" s="167" t="n">
        <v>28</v>
      </c>
      <c r="D871" s="167" t="str">
        <f aca="false">A871&amp;" "&amp;B871&amp;" "&amp;C871</f>
        <v>CIM Motor BAG Motor 28</v>
      </c>
      <c r="E871" s="167" t="n">
        <v>1</v>
      </c>
      <c r="F871" s="167" t="n">
        <v>1</v>
      </c>
      <c r="G871" s="167" t="n">
        <v>0</v>
      </c>
      <c r="H871" s="167" t="n">
        <v>0</v>
      </c>
      <c r="I871" s="167" t="n">
        <v>1</v>
      </c>
    </row>
    <row r="872" customFormat="false" ht="14.25" hidden="false" customHeight="true" outlineLevel="0" collapsed="false">
      <c r="A872" s="167" t="s">
        <v>250</v>
      </c>
      <c r="B872" s="167" t="s">
        <v>242</v>
      </c>
      <c r="C872" s="167" t="n">
        <v>30</v>
      </c>
      <c r="D872" s="167" t="str">
        <f aca="false">A872&amp;" "&amp;B872&amp;" "&amp;C872</f>
        <v>CIM Motor BAG Motor 30</v>
      </c>
      <c r="E872" s="167" t="n">
        <v>1</v>
      </c>
      <c r="F872" s="167" t="n">
        <v>1</v>
      </c>
      <c r="G872" s="167" t="n">
        <v>0</v>
      </c>
      <c r="H872" s="167" t="n">
        <v>0</v>
      </c>
      <c r="I872" s="167" t="n">
        <v>1</v>
      </c>
    </row>
    <row r="873" customFormat="false" ht="14.25" hidden="false" customHeight="true" outlineLevel="0" collapsed="false">
      <c r="A873" s="167" t="s">
        <v>250</v>
      </c>
      <c r="B873" s="167" t="s">
        <v>242</v>
      </c>
      <c r="C873" s="167" t="n">
        <v>35</v>
      </c>
      <c r="D873" s="167" t="str">
        <f aca="false">A873&amp;" "&amp;B873&amp;" "&amp;C873</f>
        <v>CIM Motor BAG Motor 35</v>
      </c>
      <c r="E873" s="167" t="n">
        <v>1</v>
      </c>
      <c r="F873" s="167" t="n">
        <v>0</v>
      </c>
      <c r="G873" s="167" t="n">
        <v>0</v>
      </c>
      <c r="H873" s="167" t="n">
        <v>0</v>
      </c>
      <c r="I873" s="167" t="n">
        <v>1</v>
      </c>
    </row>
    <row r="874" customFormat="false" ht="14.25" hidden="false" customHeight="true" outlineLevel="0" collapsed="false">
      <c r="A874" s="167" t="s">
        <v>250</v>
      </c>
      <c r="B874" s="167" t="s">
        <v>242</v>
      </c>
      <c r="C874" s="167" t="n">
        <v>36</v>
      </c>
      <c r="D874" s="167" t="str">
        <f aca="false">A874&amp;" "&amp;B874&amp;" "&amp;C874</f>
        <v>CIM Motor BAG Motor 36</v>
      </c>
      <c r="E874" s="167" t="n">
        <v>1</v>
      </c>
      <c r="F874" s="167" t="n">
        <v>0</v>
      </c>
      <c r="G874" s="167" t="n">
        <v>0</v>
      </c>
      <c r="H874" s="167" t="n">
        <v>0</v>
      </c>
      <c r="I874" s="167" t="n">
        <v>1</v>
      </c>
    </row>
    <row r="875" customFormat="false" ht="14.25" hidden="false" customHeight="true" outlineLevel="0" collapsed="false">
      <c r="A875" s="167" t="s">
        <v>250</v>
      </c>
      <c r="B875" s="167" t="s">
        <v>242</v>
      </c>
      <c r="C875" s="167" t="n">
        <v>40</v>
      </c>
      <c r="D875" s="167" t="str">
        <f aca="false">A875&amp;" "&amp;B875&amp;" "&amp;C875</f>
        <v>CIM Motor BAG Motor 40</v>
      </c>
      <c r="E875" s="167" t="n">
        <v>1</v>
      </c>
      <c r="F875" s="167" t="n">
        <v>0</v>
      </c>
      <c r="G875" s="167" t="n">
        <v>0</v>
      </c>
      <c r="H875" s="167" t="n">
        <v>0</v>
      </c>
      <c r="I875" s="167" t="n">
        <v>1</v>
      </c>
    </row>
    <row r="876" customFormat="false" ht="14.25" hidden="false" customHeight="true" outlineLevel="0" collapsed="false">
      <c r="A876" s="167" t="s">
        <v>250</v>
      </c>
      <c r="B876" s="167" t="s">
        <v>242</v>
      </c>
      <c r="C876" s="167" t="n">
        <v>45</v>
      </c>
      <c r="D876" s="167" t="str">
        <f aca="false">A876&amp;" "&amp;B876&amp;" "&amp;C876</f>
        <v>CIM Motor BAG Motor 45</v>
      </c>
      <c r="E876" s="167" t="n">
        <v>1</v>
      </c>
      <c r="F876" s="167" t="n">
        <v>0</v>
      </c>
      <c r="G876" s="167" t="n">
        <v>0</v>
      </c>
      <c r="H876" s="167" t="n">
        <v>0</v>
      </c>
      <c r="I876" s="167" t="n">
        <v>1</v>
      </c>
    </row>
    <row r="877" customFormat="false" ht="14.25" hidden="false" customHeight="true" outlineLevel="0" collapsed="false">
      <c r="A877" s="167" t="s">
        <v>250</v>
      </c>
      <c r="B877" s="167" t="s">
        <v>242</v>
      </c>
      <c r="C877" s="167" t="n">
        <v>49</v>
      </c>
      <c r="D877" s="167" t="str">
        <f aca="false">A877&amp;" "&amp;B877&amp;" "&amp;C877</f>
        <v>CIM Motor BAG Motor 49</v>
      </c>
      <c r="E877" s="167" t="n">
        <v>1</v>
      </c>
      <c r="F877" s="167" t="n">
        <v>0</v>
      </c>
      <c r="G877" s="167" t="n">
        <v>0</v>
      </c>
      <c r="H877" s="167" t="n">
        <v>0</v>
      </c>
      <c r="I877" s="167" t="n">
        <v>1</v>
      </c>
    </row>
    <row r="878" customFormat="false" ht="14.25" hidden="false" customHeight="true" outlineLevel="0" collapsed="false">
      <c r="A878" s="167" t="s">
        <v>250</v>
      </c>
      <c r="B878" s="167" t="s">
        <v>242</v>
      </c>
      <c r="C878" s="167" t="n">
        <v>50</v>
      </c>
      <c r="D878" s="167" t="str">
        <f aca="false">A878&amp;" "&amp;B878&amp;" "&amp;C878</f>
        <v>CIM Motor BAG Motor 50</v>
      </c>
      <c r="E878" s="167" t="n">
        <v>1</v>
      </c>
      <c r="F878" s="167" t="n">
        <v>0</v>
      </c>
      <c r="G878" s="167" t="n">
        <v>0</v>
      </c>
      <c r="H878" s="167" t="n">
        <v>0</v>
      </c>
      <c r="I878" s="167" t="n">
        <v>1</v>
      </c>
    </row>
    <row r="879" customFormat="false" ht="14.25" hidden="false" customHeight="true" outlineLevel="0" collapsed="false">
      <c r="A879" s="167" t="s">
        <v>250</v>
      </c>
      <c r="B879" s="167" t="s">
        <v>242</v>
      </c>
      <c r="C879" s="167" t="n">
        <v>63</v>
      </c>
      <c r="D879" s="167" t="str">
        <f aca="false">A879&amp;" "&amp;B879&amp;" "&amp;C879</f>
        <v>CIM Motor BAG Motor 63</v>
      </c>
      <c r="E879" s="167" t="n">
        <v>1</v>
      </c>
      <c r="F879" s="167" t="n">
        <v>0</v>
      </c>
      <c r="G879" s="167" t="n">
        <v>0</v>
      </c>
      <c r="H879" s="167" t="n">
        <v>0</v>
      </c>
      <c r="I879" s="167" t="n">
        <v>1</v>
      </c>
    </row>
    <row r="880" customFormat="false" ht="14.25" hidden="false" customHeight="true" outlineLevel="0" collapsed="false">
      <c r="A880" s="167" t="s">
        <v>250</v>
      </c>
      <c r="B880" s="167" t="s">
        <v>242</v>
      </c>
      <c r="C880" s="167" t="n">
        <v>70</v>
      </c>
      <c r="D880" s="167" t="str">
        <f aca="false">A880&amp;" "&amp;B880&amp;" "&amp;C880</f>
        <v>CIM Motor BAG Motor 70</v>
      </c>
      <c r="E880" s="167" t="n">
        <v>0</v>
      </c>
      <c r="F880" s="167" t="n">
        <v>0</v>
      </c>
      <c r="G880" s="167" t="n">
        <v>0</v>
      </c>
      <c r="H880" s="167" t="n">
        <v>0</v>
      </c>
      <c r="I880" s="167" t="n">
        <v>0</v>
      </c>
    </row>
    <row r="881" customFormat="false" ht="14.25" hidden="false" customHeight="true" outlineLevel="0" collapsed="false">
      <c r="A881" s="167" t="s">
        <v>250</v>
      </c>
      <c r="B881" s="167" t="s">
        <v>242</v>
      </c>
      <c r="C881" s="167" t="n">
        <v>81</v>
      </c>
      <c r="D881" s="167" t="str">
        <f aca="false">A881&amp;" "&amp;B881&amp;" "&amp;C881</f>
        <v>CIM Motor BAG Motor 81</v>
      </c>
      <c r="E881" s="167" t="n">
        <v>0</v>
      </c>
      <c r="F881" s="167" t="n">
        <v>0</v>
      </c>
      <c r="G881" s="167" t="n">
        <v>0</v>
      </c>
      <c r="H881" s="167" t="n">
        <v>0</v>
      </c>
      <c r="I881" s="167" t="n">
        <v>0</v>
      </c>
    </row>
    <row r="882" customFormat="false" ht="14.25" hidden="false" customHeight="true" outlineLevel="0" collapsed="false">
      <c r="A882" s="167" t="s">
        <v>250</v>
      </c>
      <c r="B882" s="167" t="s">
        <v>242</v>
      </c>
      <c r="C882" s="167" t="n">
        <v>90</v>
      </c>
      <c r="D882" s="167" t="str">
        <f aca="false">A882&amp;" "&amp;B882&amp;" "&amp;C882</f>
        <v>CIM Motor BAG Motor 90</v>
      </c>
      <c r="E882" s="167" t="n">
        <v>0</v>
      </c>
      <c r="F882" s="167" t="n">
        <v>0</v>
      </c>
      <c r="G882" s="167" t="n">
        <v>0</v>
      </c>
      <c r="H882" s="167" t="n">
        <v>0</v>
      </c>
      <c r="I882" s="167" t="n">
        <v>0</v>
      </c>
    </row>
    <row r="883" customFormat="false" ht="14.25" hidden="false" customHeight="true" outlineLevel="0" collapsed="false">
      <c r="A883" s="167" t="s">
        <v>250</v>
      </c>
      <c r="B883" s="167" t="s">
        <v>242</v>
      </c>
      <c r="C883" s="167" t="n">
        <v>100</v>
      </c>
      <c r="D883" s="167" t="str">
        <f aca="false">A883&amp;" "&amp;B883&amp;" "&amp;C883</f>
        <v>CIM Motor BAG Motor 100</v>
      </c>
      <c r="E883" s="167" t="n">
        <v>0</v>
      </c>
      <c r="F883" s="167" t="n">
        <v>0</v>
      </c>
      <c r="G883" s="167" t="n">
        <v>0</v>
      </c>
      <c r="H883" s="167" t="n">
        <v>0</v>
      </c>
      <c r="I883" s="167" t="n">
        <v>0</v>
      </c>
    </row>
    <row r="884" customFormat="false" ht="14.25" hidden="false" customHeight="true" outlineLevel="0" collapsed="false">
      <c r="A884" s="167" t="s">
        <v>250</v>
      </c>
      <c r="B884" s="167" t="s">
        <v>41</v>
      </c>
      <c r="C884" s="167" t="n">
        <v>-3</v>
      </c>
      <c r="D884" s="167" t="str">
        <f aca="false">A884&amp;" "&amp;B884&amp;" "&amp;C884</f>
        <v>CIM Motor 775pro -3</v>
      </c>
      <c r="E884" s="167" t="n">
        <v>1</v>
      </c>
      <c r="F884" s="167" t="n">
        <v>1</v>
      </c>
      <c r="G884" s="167" t="n">
        <v>0</v>
      </c>
      <c r="H884" s="167" t="n">
        <v>0</v>
      </c>
      <c r="I884" s="167" t="n">
        <v>1</v>
      </c>
    </row>
    <row r="885" customFormat="false" ht="14.25" hidden="false" customHeight="true" outlineLevel="0" collapsed="false">
      <c r="A885" s="167" t="s">
        <v>250</v>
      </c>
      <c r="B885" s="167" t="s">
        <v>41</v>
      </c>
      <c r="C885" s="167" t="n">
        <v>-4</v>
      </c>
      <c r="D885" s="167" t="str">
        <f aca="false">A885&amp;" "&amp;B885&amp;" "&amp;C885</f>
        <v>CIM Motor 775pro -4</v>
      </c>
      <c r="E885" s="167" t="n">
        <v>1</v>
      </c>
      <c r="F885" s="167" t="n">
        <v>1</v>
      </c>
      <c r="G885" s="167" t="n">
        <v>0</v>
      </c>
      <c r="H885" s="167" t="n">
        <v>0</v>
      </c>
      <c r="I885" s="167" t="n">
        <v>1</v>
      </c>
    </row>
    <row r="886" customFormat="false" ht="14.25" hidden="false" customHeight="true" outlineLevel="0" collapsed="false">
      <c r="A886" s="167" t="s">
        <v>250</v>
      </c>
      <c r="B886" s="167" t="s">
        <v>41</v>
      </c>
      <c r="C886" s="167" t="n">
        <v>-5</v>
      </c>
      <c r="D886" s="167" t="str">
        <f aca="false">A886&amp;" "&amp;B886&amp;" "&amp;C886</f>
        <v>CIM Motor 775pro -5</v>
      </c>
      <c r="E886" s="167" t="n">
        <v>1</v>
      </c>
      <c r="F886" s="167" t="n">
        <v>1</v>
      </c>
      <c r="G886" s="167" t="n">
        <v>0</v>
      </c>
      <c r="H886" s="167" t="n">
        <v>0</v>
      </c>
      <c r="I886" s="167" t="n">
        <v>1</v>
      </c>
    </row>
    <row r="887" customFormat="false" ht="14.25" hidden="false" customHeight="true" outlineLevel="0" collapsed="false">
      <c r="A887" s="167" t="s">
        <v>250</v>
      </c>
      <c r="B887" s="167" t="s">
        <v>41</v>
      </c>
      <c r="C887" s="167" t="n">
        <v>-7</v>
      </c>
      <c r="D887" s="167" t="str">
        <f aca="false">A887&amp;" "&amp;B887&amp;" "&amp;C887</f>
        <v>CIM Motor 775pro -7</v>
      </c>
      <c r="E887" s="167" t="n">
        <v>1</v>
      </c>
      <c r="F887" s="167" t="n">
        <v>1</v>
      </c>
      <c r="G887" s="167" t="n">
        <v>0</v>
      </c>
      <c r="H887" s="167" t="n">
        <v>0</v>
      </c>
      <c r="I887" s="167" t="n">
        <v>1</v>
      </c>
    </row>
    <row r="888" customFormat="false" ht="14.25" hidden="false" customHeight="true" outlineLevel="0" collapsed="false">
      <c r="A888" s="167" t="s">
        <v>250</v>
      </c>
      <c r="B888" s="167" t="s">
        <v>41</v>
      </c>
      <c r="C888" s="167" t="n">
        <v>-9</v>
      </c>
      <c r="D888" s="167" t="str">
        <f aca="false">A888&amp;" "&amp;B888&amp;" "&amp;C888</f>
        <v>CIM Motor 775pro -9</v>
      </c>
      <c r="E888" s="167" t="n">
        <v>1</v>
      </c>
      <c r="F888" s="167" t="n">
        <v>1</v>
      </c>
      <c r="G888" s="167" t="n">
        <v>0</v>
      </c>
      <c r="H888" s="167" t="n">
        <v>0</v>
      </c>
      <c r="I888" s="167" t="n">
        <v>1</v>
      </c>
    </row>
    <row r="889" customFormat="false" ht="14.25" hidden="false" customHeight="true" outlineLevel="0" collapsed="false">
      <c r="A889" s="167" t="s">
        <v>250</v>
      </c>
      <c r="B889" s="167" t="s">
        <v>41</v>
      </c>
      <c r="C889" s="167" t="n">
        <v>-10</v>
      </c>
      <c r="D889" s="167" t="str">
        <f aca="false">A889&amp;" "&amp;B889&amp;" "&amp;C889</f>
        <v>CIM Motor 775pro -10</v>
      </c>
      <c r="E889" s="167" t="n">
        <v>1</v>
      </c>
      <c r="F889" s="167" t="n">
        <v>1</v>
      </c>
      <c r="G889" s="167" t="n">
        <v>0</v>
      </c>
      <c r="H889" s="167" t="n">
        <v>0</v>
      </c>
      <c r="I889" s="167" t="n">
        <v>1</v>
      </c>
    </row>
    <row r="890" customFormat="false" ht="14.25" hidden="false" customHeight="true" outlineLevel="0" collapsed="false">
      <c r="A890" s="167" t="s">
        <v>250</v>
      </c>
      <c r="B890" s="167" t="s">
        <v>41</v>
      </c>
      <c r="C890" s="167" t="n">
        <v>9</v>
      </c>
      <c r="D890" s="167" t="str">
        <f aca="false">A890&amp;" "&amp;B890&amp;" "&amp;C890</f>
        <v>CIM Motor 775pro 9</v>
      </c>
      <c r="E890" s="167" t="n">
        <v>4</v>
      </c>
      <c r="F890" s="167" t="n">
        <v>1</v>
      </c>
      <c r="G890" s="167" t="n">
        <v>0</v>
      </c>
      <c r="H890" s="167" t="n">
        <v>0</v>
      </c>
      <c r="I890" s="167" t="n">
        <v>4</v>
      </c>
    </row>
    <row r="891" customFormat="false" ht="14.25" hidden="false" customHeight="true" outlineLevel="0" collapsed="false">
      <c r="A891" s="167" t="s">
        <v>250</v>
      </c>
      <c r="B891" s="167" t="s">
        <v>41</v>
      </c>
      <c r="C891" s="167" t="n">
        <v>12</v>
      </c>
      <c r="D891" s="167" t="str">
        <f aca="false">A891&amp;" "&amp;B891&amp;" "&amp;C891</f>
        <v>CIM Motor 775pro 12</v>
      </c>
      <c r="E891" s="167" t="n">
        <v>3</v>
      </c>
      <c r="F891" s="167" t="n">
        <v>1</v>
      </c>
      <c r="G891" s="167" t="n">
        <v>0</v>
      </c>
      <c r="H891" s="167" t="n">
        <v>0</v>
      </c>
      <c r="I891" s="167" t="n">
        <v>3</v>
      </c>
    </row>
    <row r="892" customFormat="false" ht="14.25" hidden="false" customHeight="true" outlineLevel="0" collapsed="false">
      <c r="A892" s="167" t="s">
        <v>250</v>
      </c>
      <c r="B892" s="167" t="s">
        <v>41</v>
      </c>
      <c r="C892" s="167" t="n">
        <v>15</v>
      </c>
      <c r="D892" s="167" t="str">
        <f aca="false">A892&amp;" "&amp;B892&amp;" "&amp;C892</f>
        <v>CIM Motor 775pro 15</v>
      </c>
      <c r="E892" s="167" t="n">
        <v>1</v>
      </c>
      <c r="F892" s="167" t="n">
        <v>1</v>
      </c>
      <c r="G892" s="167" t="n">
        <v>0</v>
      </c>
      <c r="H892" s="167" t="n">
        <v>0</v>
      </c>
      <c r="I892" s="167" t="n">
        <v>1</v>
      </c>
    </row>
    <row r="893" customFormat="false" ht="14.25" hidden="false" customHeight="true" outlineLevel="0" collapsed="false">
      <c r="A893" s="167" t="s">
        <v>250</v>
      </c>
      <c r="B893" s="167" t="s">
        <v>41</v>
      </c>
      <c r="C893" s="167" t="n">
        <v>16</v>
      </c>
      <c r="D893" s="167" t="str">
        <f aca="false">A893&amp;" "&amp;B893&amp;" "&amp;C893</f>
        <v>CIM Motor 775pro 16</v>
      </c>
      <c r="E893" s="167" t="n">
        <v>1</v>
      </c>
      <c r="F893" s="167" t="n">
        <v>1</v>
      </c>
      <c r="G893" s="167" t="n">
        <v>0</v>
      </c>
      <c r="H893" s="167" t="n">
        <v>0</v>
      </c>
      <c r="I893" s="167" t="n">
        <v>1</v>
      </c>
    </row>
    <row r="894" customFormat="false" ht="14.25" hidden="false" customHeight="true" outlineLevel="0" collapsed="false">
      <c r="A894" s="167" t="s">
        <v>250</v>
      </c>
      <c r="B894" s="167" t="s">
        <v>41</v>
      </c>
      <c r="C894" s="167" t="n">
        <v>20</v>
      </c>
      <c r="D894" s="167" t="str">
        <f aca="false">A894&amp;" "&amp;B894&amp;" "&amp;C894</f>
        <v>CIM Motor 775pro 20</v>
      </c>
      <c r="E894" s="167" t="n">
        <v>1</v>
      </c>
      <c r="F894" s="167" t="n">
        <v>1</v>
      </c>
      <c r="G894" s="167" t="n">
        <v>0</v>
      </c>
      <c r="H894" s="167" t="n">
        <v>0</v>
      </c>
      <c r="I894" s="167" t="n">
        <v>1</v>
      </c>
    </row>
    <row r="895" customFormat="false" ht="14.25" hidden="false" customHeight="true" outlineLevel="0" collapsed="false">
      <c r="A895" s="167" t="s">
        <v>250</v>
      </c>
      <c r="B895" s="167" t="s">
        <v>41</v>
      </c>
      <c r="C895" s="167" t="n">
        <v>21</v>
      </c>
      <c r="D895" s="167" t="str">
        <f aca="false">A895&amp;" "&amp;B895&amp;" "&amp;C895</f>
        <v>CIM Motor 775pro 21</v>
      </c>
      <c r="E895" s="167" t="n">
        <v>1</v>
      </c>
      <c r="F895" s="167" t="n">
        <v>0</v>
      </c>
      <c r="G895" s="167" t="n">
        <v>0</v>
      </c>
      <c r="H895" s="167" t="n">
        <v>0</v>
      </c>
      <c r="I895" s="167" t="n">
        <v>1</v>
      </c>
    </row>
    <row r="896" customFormat="false" ht="14.25" hidden="false" customHeight="true" outlineLevel="0" collapsed="false">
      <c r="A896" s="167" t="s">
        <v>250</v>
      </c>
      <c r="B896" s="167" t="s">
        <v>41</v>
      </c>
      <c r="C896" s="167" t="n">
        <v>25</v>
      </c>
      <c r="D896" s="167" t="str">
        <f aca="false">A896&amp;" "&amp;B896&amp;" "&amp;C896</f>
        <v>CIM Motor 775pro 25</v>
      </c>
      <c r="E896" s="167" t="n">
        <v>1</v>
      </c>
      <c r="F896" s="167" t="n">
        <v>0</v>
      </c>
      <c r="G896" s="167" t="n">
        <v>0</v>
      </c>
      <c r="H896" s="167" t="n">
        <v>0</v>
      </c>
      <c r="I896" s="167" t="n">
        <v>1</v>
      </c>
    </row>
    <row r="897" customFormat="false" ht="14.25" hidden="false" customHeight="true" outlineLevel="0" collapsed="false">
      <c r="A897" s="167" t="s">
        <v>250</v>
      </c>
      <c r="B897" s="167" t="s">
        <v>41</v>
      </c>
      <c r="C897" s="167" t="n">
        <v>27</v>
      </c>
      <c r="D897" s="167" t="str">
        <f aca="false">A897&amp;" "&amp;B897&amp;" "&amp;C897</f>
        <v>CIM Motor 775pro 27</v>
      </c>
      <c r="E897" s="167" t="n">
        <v>1</v>
      </c>
      <c r="F897" s="167" t="n">
        <v>0</v>
      </c>
      <c r="G897" s="167" t="n">
        <v>0</v>
      </c>
      <c r="H897" s="167" t="n">
        <v>0</v>
      </c>
      <c r="I897" s="167" t="n">
        <v>1</v>
      </c>
    </row>
    <row r="898" customFormat="false" ht="14.25" hidden="false" customHeight="true" outlineLevel="0" collapsed="false">
      <c r="A898" s="167" t="s">
        <v>250</v>
      </c>
      <c r="B898" s="167" t="s">
        <v>41</v>
      </c>
      <c r="C898" s="167" t="n">
        <v>28</v>
      </c>
      <c r="D898" s="167" t="str">
        <f aca="false">A898&amp;" "&amp;B898&amp;" "&amp;C898</f>
        <v>CIM Motor 775pro 28</v>
      </c>
      <c r="E898" s="167" t="n">
        <v>1</v>
      </c>
      <c r="F898" s="167" t="n">
        <v>0</v>
      </c>
      <c r="G898" s="167" t="n">
        <v>0</v>
      </c>
      <c r="H898" s="167" t="n">
        <v>0</v>
      </c>
      <c r="I898" s="167" t="n">
        <v>1</v>
      </c>
    </row>
    <row r="899" customFormat="false" ht="14.25" hidden="false" customHeight="true" outlineLevel="0" collapsed="false">
      <c r="A899" s="167" t="s">
        <v>250</v>
      </c>
      <c r="B899" s="167" t="s">
        <v>41</v>
      </c>
      <c r="C899" s="167" t="n">
        <v>30</v>
      </c>
      <c r="D899" s="167" t="str">
        <f aca="false">A899&amp;" "&amp;B899&amp;" "&amp;C899</f>
        <v>CIM Motor 775pro 30</v>
      </c>
      <c r="E899" s="167" t="n">
        <v>1</v>
      </c>
      <c r="F899" s="167" t="n">
        <v>0</v>
      </c>
      <c r="G899" s="167" t="n">
        <v>0</v>
      </c>
      <c r="H899" s="167" t="n">
        <v>0</v>
      </c>
      <c r="I899" s="167" t="n">
        <v>1</v>
      </c>
    </row>
    <row r="900" customFormat="false" ht="14.25" hidden="false" customHeight="true" outlineLevel="0" collapsed="false">
      <c r="A900" s="167" t="s">
        <v>250</v>
      </c>
      <c r="B900" s="167" t="s">
        <v>41</v>
      </c>
      <c r="C900" s="167" t="n">
        <v>35</v>
      </c>
      <c r="D900" s="167" t="str">
        <f aca="false">A900&amp;" "&amp;B900&amp;" "&amp;C900</f>
        <v>CIM Motor 775pro 35</v>
      </c>
      <c r="E900" s="167" t="n">
        <v>1</v>
      </c>
      <c r="F900" s="167" t="n">
        <v>0</v>
      </c>
      <c r="G900" s="167" t="n">
        <v>0</v>
      </c>
      <c r="H900" s="167" t="n">
        <v>0</v>
      </c>
      <c r="I900" s="167" t="n">
        <v>1</v>
      </c>
    </row>
    <row r="901" customFormat="false" ht="14.25" hidden="false" customHeight="true" outlineLevel="0" collapsed="false">
      <c r="A901" s="167" t="s">
        <v>250</v>
      </c>
      <c r="B901" s="167" t="s">
        <v>41</v>
      </c>
      <c r="C901" s="167" t="n">
        <v>36</v>
      </c>
      <c r="D901" s="167" t="str">
        <f aca="false">A901&amp;" "&amp;B901&amp;" "&amp;C901</f>
        <v>CIM Motor 775pro 36</v>
      </c>
      <c r="E901" s="167" t="n">
        <v>1</v>
      </c>
      <c r="F901" s="167" t="n">
        <v>0</v>
      </c>
      <c r="G901" s="167" t="n">
        <v>0</v>
      </c>
      <c r="H901" s="167" t="n">
        <v>0</v>
      </c>
      <c r="I901" s="167" t="n">
        <v>1</v>
      </c>
    </row>
    <row r="902" customFormat="false" ht="14.25" hidden="false" customHeight="true" outlineLevel="0" collapsed="false">
      <c r="A902" s="167" t="s">
        <v>250</v>
      </c>
      <c r="B902" s="167" t="s">
        <v>41</v>
      </c>
      <c r="C902" s="167" t="n">
        <v>40</v>
      </c>
      <c r="D902" s="167" t="str">
        <f aca="false">A902&amp;" "&amp;B902&amp;" "&amp;C902</f>
        <v>CIM Motor 775pro 40</v>
      </c>
      <c r="E902" s="167" t="n">
        <v>1</v>
      </c>
      <c r="F902" s="167" t="n">
        <v>0</v>
      </c>
      <c r="G902" s="167" t="n">
        <v>0</v>
      </c>
      <c r="H902" s="167" t="n">
        <v>0</v>
      </c>
      <c r="I902" s="167" t="n">
        <v>1</v>
      </c>
    </row>
    <row r="903" customFormat="false" ht="14.25" hidden="false" customHeight="true" outlineLevel="0" collapsed="false">
      <c r="A903" s="167" t="s">
        <v>250</v>
      </c>
      <c r="B903" s="167" t="s">
        <v>41</v>
      </c>
      <c r="C903" s="167" t="n">
        <v>45</v>
      </c>
      <c r="D903" s="167" t="str">
        <f aca="false">A903&amp;" "&amp;B903&amp;" "&amp;C903</f>
        <v>CIM Motor 775pro 45</v>
      </c>
      <c r="E903" s="167" t="n">
        <v>0</v>
      </c>
      <c r="F903" s="167" t="n">
        <v>0</v>
      </c>
      <c r="G903" s="167" t="n">
        <v>0</v>
      </c>
      <c r="H903" s="167" t="n">
        <v>0</v>
      </c>
      <c r="I903" s="167" t="n">
        <v>0</v>
      </c>
    </row>
    <row r="904" customFormat="false" ht="14.25" hidden="false" customHeight="true" outlineLevel="0" collapsed="false">
      <c r="A904" s="167" t="s">
        <v>250</v>
      </c>
      <c r="B904" s="167" t="s">
        <v>41</v>
      </c>
      <c r="C904" s="167" t="n">
        <v>49</v>
      </c>
      <c r="D904" s="167" t="str">
        <f aca="false">A904&amp;" "&amp;B904&amp;" "&amp;C904</f>
        <v>CIM Motor 775pro 49</v>
      </c>
      <c r="E904" s="167" t="n">
        <v>0</v>
      </c>
      <c r="F904" s="167" t="n">
        <v>0</v>
      </c>
      <c r="G904" s="167" t="n">
        <v>0</v>
      </c>
      <c r="H904" s="167" t="n">
        <v>0</v>
      </c>
      <c r="I904" s="167" t="n">
        <v>0</v>
      </c>
    </row>
    <row r="905" customFormat="false" ht="14.25" hidden="false" customHeight="true" outlineLevel="0" collapsed="false">
      <c r="A905" s="167" t="s">
        <v>250</v>
      </c>
      <c r="B905" s="167" t="s">
        <v>41</v>
      </c>
      <c r="C905" s="167" t="n">
        <v>50</v>
      </c>
      <c r="D905" s="167" t="str">
        <f aca="false">A905&amp;" "&amp;B905&amp;" "&amp;C905</f>
        <v>CIM Motor 775pro 50</v>
      </c>
      <c r="E905" s="167" t="n">
        <v>0</v>
      </c>
      <c r="F905" s="167" t="n">
        <v>0</v>
      </c>
      <c r="G905" s="167" t="n">
        <v>0</v>
      </c>
      <c r="H905" s="167" t="n">
        <v>0</v>
      </c>
      <c r="I905" s="167" t="n">
        <v>0</v>
      </c>
    </row>
    <row r="906" customFormat="false" ht="14.25" hidden="false" customHeight="true" outlineLevel="0" collapsed="false">
      <c r="A906" s="167" t="s">
        <v>250</v>
      </c>
      <c r="B906" s="167" t="s">
        <v>41</v>
      </c>
      <c r="C906" s="167" t="n">
        <v>63</v>
      </c>
      <c r="D906" s="167" t="str">
        <f aca="false">A906&amp;" "&amp;B906&amp;" "&amp;C906</f>
        <v>CIM Motor 775pro 63</v>
      </c>
      <c r="E906" s="167" t="n">
        <v>0</v>
      </c>
      <c r="F906" s="167" t="n">
        <v>0</v>
      </c>
      <c r="G906" s="167" t="n">
        <v>0</v>
      </c>
      <c r="H906" s="167" t="n">
        <v>0</v>
      </c>
      <c r="I906" s="167" t="n">
        <v>0</v>
      </c>
    </row>
    <row r="907" customFormat="false" ht="14.25" hidden="false" customHeight="true" outlineLevel="0" collapsed="false">
      <c r="A907" s="167" t="s">
        <v>250</v>
      </c>
      <c r="B907" s="167" t="s">
        <v>41</v>
      </c>
      <c r="C907" s="167" t="n">
        <v>70</v>
      </c>
      <c r="D907" s="167" t="str">
        <f aca="false">A907&amp;" "&amp;B907&amp;" "&amp;C907</f>
        <v>CIM Motor 775pro 70</v>
      </c>
      <c r="E907" s="167" t="n">
        <v>0</v>
      </c>
      <c r="F907" s="167" t="n">
        <v>0</v>
      </c>
      <c r="G907" s="167" t="n">
        <v>0</v>
      </c>
      <c r="H907" s="167" t="n">
        <v>0</v>
      </c>
      <c r="I907" s="167" t="n">
        <v>0</v>
      </c>
    </row>
    <row r="908" customFormat="false" ht="14.25" hidden="false" customHeight="true" outlineLevel="0" collapsed="false">
      <c r="A908" s="167" t="s">
        <v>250</v>
      </c>
      <c r="B908" s="167" t="s">
        <v>41</v>
      </c>
      <c r="C908" s="167" t="n">
        <v>81</v>
      </c>
      <c r="D908" s="167" t="str">
        <f aca="false">A908&amp;" "&amp;B908&amp;" "&amp;C908</f>
        <v>CIM Motor 775pro 81</v>
      </c>
      <c r="E908" s="167" t="n">
        <v>0</v>
      </c>
      <c r="F908" s="167" t="n">
        <v>0</v>
      </c>
      <c r="G908" s="167" t="n">
        <v>0</v>
      </c>
      <c r="H908" s="167" t="n">
        <v>0</v>
      </c>
      <c r="I908" s="167" t="n">
        <v>0</v>
      </c>
    </row>
    <row r="909" customFormat="false" ht="14.25" hidden="false" customHeight="true" outlineLevel="0" collapsed="false">
      <c r="A909" s="167" t="s">
        <v>250</v>
      </c>
      <c r="B909" s="167" t="s">
        <v>41</v>
      </c>
      <c r="C909" s="167" t="n">
        <v>90</v>
      </c>
      <c r="D909" s="167" t="str">
        <f aca="false">A909&amp;" "&amp;B909&amp;" "&amp;C909</f>
        <v>CIM Motor 775pro 90</v>
      </c>
      <c r="E909" s="167" t="n">
        <v>0</v>
      </c>
      <c r="F909" s="167" t="n">
        <v>0</v>
      </c>
      <c r="G909" s="167" t="n">
        <v>0</v>
      </c>
      <c r="H909" s="167" t="n">
        <v>0</v>
      </c>
      <c r="I909" s="167" t="n">
        <v>0</v>
      </c>
    </row>
    <row r="910" customFormat="false" ht="14.25" hidden="false" customHeight="true" outlineLevel="0" collapsed="false">
      <c r="A910" s="167" t="s">
        <v>250</v>
      </c>
      <c r="B910" s="167" t="s">
        <v>41</v>
      </c>
      <c r="C910" s="167" t="n">
        <v>100</v>
      </c>
      <c r="D910" s="167" t="str">
        <f aca="false">A910&amp;" "&amp;B910&amp;" "&amp;C910</f>
        <v>CIM Motor 775pro 100</v>
      </c>
      <c r="E910" s="167" t="n">
        <v>0</v>
      </c>
      <c r="F910" s="167" t="n">
        <v>0</v>
      </c>
      <c r="G910" s="167" t="n">
        <v>0</v>
      </c>
      <c r="H910" s="167" t="n">
        <v>0</v>
      </c>
      <c r="I910" s="167" t="n">
        <v>0</v>
      </c>
    </row>
    <row r="911" customFormat="false" ht="14.25" hidden="false" customHeight="true" outlineLevel="0" collapsed="false">
      <c r="A911" s="167" t="s">
        <v>250</v>
      </c>
      <c r="B911" s="167" t="s">
        <v>249</v>
      </c>
      <c r="C911" s="167" t="n">
        <v>-3</v>
      </c>
      <c r="D911" s="167" t="str">
        <f aca="false">A911&amp;" "&amp;B911&amp;" "&amp;C911</f>
        <v>CIM Motor Mini CIM -3</v>
      </c>
      <c r="E911" s="167" t="n">
        <v>1</v>
      </c>
      <c r="I911" s="167" t="n">
        <v>0</v>
      </c>
    </row>
    <row r="912" customFormat="false" ht="14.25" hidden="false" customHeight="true" outlineLevel="0" collapsed="false">
      <c r="A912" s="167" t="s">
        <v>250</v>
      </c>
      <c r="B912" s="167" t="s">
        <v>249</v>
      </c>
      <c r="C912" s="167" t="n">
        <v>-4</v>
      </c>
      <c r="D912" s="167" t="str">
        <f aca="false">A912&amp;" "&amp;B912&amp;" "&amp;C912</f>
        <v>CIM Motor Mini CIM -4</v>
      </c>
      <c r="E912" s="167" t="n">
        <v>1</v>
      </c>
      <c r="I912" s="167" t="n">
        <v>0</v>
      </c>
    </row>
    <row r="913" customFormat="false" ht="14.25" hidden="false" customHeight="true" outlineLevel="0" collapsed="false">
      <c r="A913" s="167" t="s">
        <v>250</v>
      </c>
      <c r="B913" s="167" t="s">
        <v>249</v>
      </c>
      <c r="C913" s="167" t="n">
        <v>-5</v>
      </c>
      <c r="D913" s="167" t="str">
        <f aca="false">A913&amp;" "&amp;B913&amp;" "&amp;C913</f>
        <v>CIM Motor Mini CIM -5</v>
      </c>
      <c r="E913" s="167" t="n">
        <v>1</v>
      </c>
      <c r="I913" s="167" t="n">
        <v>0</v>
      </c>
    </row>
    <row r="914" customFormat="false" ht="14.25" hidden="false" customHeight="true" outlineLevel="0" collapsed="false">
      <c r="A914" s="167" t="s">
        <v>250</v>
      </c>
      <c r="B914" s="167" t="s">
        <v>249</v>
      </c>
      <c r="C914" s="167" t="n">
        <v>-7</v>
      </c>
      <c r="D914" s="167" t="str">
        <f aca="false">A914&amp;" "&amp;B914&amp;" "&amp;C914</f>
        <v>CIM Motor Mini CIM -7</v>
      </c>
      <c r="E914" s="167" t="n">
        <v>1</v>
      </c>
      <c r="I914" s="167" t="n">
        <v>0</v>
      </c>
    </row>
    <row r="915" customFormat="false" ht="14.25" hidden="false" customHeight="true" outlineLevel="0" collapsed="false">
      <c r="A915" s="167" t="s">
        <v>250</v>
      </c>
      <c r="B915" s="167" t="s">
        <v>249</v>
      </c>
      <c r="C915" s="167" t="n">
        <v>-9</v>
      </c>
      <c r="D915" s="167" t="str">
        <f aca="false">A915&amp;" "&amp;B915&amp;" "&amp;C915</f>
        <v>CIM Motor Mini CIM -9</v>
      </c>
      <c r="E915" s="167" t="n">
        <v>1</v>
      </c>
      <c r="I915" s="167" t="n">
        <v>0</v>
      </c>
    </row>
    <row r="916" customFormat="false" ht="14.25" hidden="false" customHeight="true" outlineLevel="0" collapsed="false">
      <c r="A916" s="167" t="s">
        <v>250</v>
      </c>
      <c r="B916" s="167" t="s">
        <v>249</v>
      </c>
      <c r="C916" s="167" t="n">
        <v>-10</v>
      </c>
      <c r="D916" s="167" t="str">
        <f aca="false">A916&amp;" "&amp;B916&amp;" "&amp;C916</f>
        <v>CIM Motor Mini CIM -10</v>
      </c>
      <c r="E916" s="167" t="n">
        <v>1</v>
      </c>
      <c r="I916" s="167" t="n">
        <v>0</v>
      </c>
    </row>
    <row r="917" customFormat="false" ht="14.25" hidden="false" customHeight="true" outlineLevel="0" collapsed="false">
      <c r="A917" s="167" t="s">
        <v>250</v>
      </c>
      <c r="B917" s="167" t="s">
        <v>249</v>
      </c>
      <c r="C917" s="167" t="n">
        <v>9</v>
      </c>
      <c r="D917" s="167" t="str">
        <f aca="false">A917&amp;" "&amp;B917&amp;" "&amp;C917</f>
        <v>CIM Motor Mini CIM 9</v>
      </c>
      <c r="E917" s="167" t="n">
        <v>1</v>
      </c>
      <c r="I917" s="167" t="n">
        <v>0</v>
      </c>
    </row>
    <row r="918" customFormat="false" ht="14.25" hidden="false" customHeight="true" outlineLevel="0" collapsed="false">
      <c r="A918" s="167" t="s">
        <v>250</v>
      </c>
      <c r="B918" s="167" t="s">
        <v>249</v>
      </c>
      <c r="C918" s="167" t="n">
        <v>12</v>
      </c>
      <c r="D918" s="167" t="str">
        <f aca="false">A918&amp;" "&amp;B918&amp;" "&amp;C918</f>
        <v>CIM Motor Mini CIM 12</v>
      </c>
      <c r="E918" s="167" t="n">
        <v>1</v>
      </c>
      <c r="I918" s="167" t="n">
        <v>0</v>
      </c>
    </row>
    <row r="919" customFormat="false" ht="14.25" hidden="false" customHeight="true" outlineLevel="0" collapsed="false">
      <c r="A919" s="167" t="s">
        <v>250</v>
      </c>
      <c r="B919" s="167" t="s">
        <v>249</v>
      </c>
      <c r="C919" s="167" t="n">
        <v>15</v>
      </c>
      <c r="D919" s="167" t="str">
        <f aca="false">A919&amp;" "&amp;B919&amp;" "&amp;C919</f>
        <v>CIM Motor Mini CIM 15</v>
      </c>
      <c r="E919" s="167" t="n">
        <v>1</v>
      </c>
      <c r="I919" s="167" t="n">
        <v>0</v>
      </c>
    </row>
    <row r="920" customFormat="false" ht="14.25" hidden="false" customHeight="true" outlineLevel="0" collapsed="false">
      <c r="A920" s="167" t="s">
        <v>250</v>
      </c>
      <c r="B920" s="167" t="s">
        <v>249</v>
      </c>
      <c r="C920" s="167" t="n">
        <v>16</v>
      </c>
      <c r="D920" s="167" t="str">
        <f aca="false">A920&amp;" "&amp;B920&amp;" "&amp;C920</f>
        <v>CIM Motor Mini CIM 16</v>
      </c>
      <c r="E920" s="167" t="n">
        <v>1</v>
      </c>
      <c r="I920" s="167" t="n">
        <v>0</v>
      </c>
    </row>
    <row r="921" customFormat="false" ht="14.25" hidden="false" customHeight="true" outlineLevel="0" collapsed="false">
      <c r="A921" s="167" t="s">
        <v>250</v>
      </c>
      <c r="B921" s="167" t="s">
        <v>249</v>
      </c>
      <c r="C921" s="167" t="n">
        <v>20</v>
      </c>
      <c r="D921" s="167" t="str">
        <f aca="false">A921&amp;" "&amp;B921&amp;" "&amp;C921</f>
        <v>CIM Motor Mini CIM 20</v>
      </c>
      <c r="E921" s="167" t="n">
        <v>1</v>
      </c>
      <c r="I921" s="167" t="n">
        <v>0</v>
      </c>
    </row>
    <row r="922" customFormat="false" ht="14.25" hidden="false" customHeight="true" outlineLevel="0" collapsed="false">
      <c r="A922" s="167" t="s">
        <v>250</v>
      </c>
      <c r="B922" s="167" t="s">
        <v>249</v>
      </c>
      <c r="C922" s="167" t="n">
        <v>21</v>
      </c>
      <c r="D922" s="167" t="str">
        <f aca="false">A922&amp;" "&amp;B922&amp;" "&amp;C922</f>
        <v>CIM Motor Mini CIM 21</v>
      </c>
      <c r="E922" s="167" t="n">
        <v>0</v>
      </c>
      <c r="I922" s="167" t="n">
        <v>0</v>
      </c>
    </row>
    <row r="923" customFormat="false" ht="14.25" hidden="false" customHeight="true" outlineLevel="0" collapsed="false">
      <c r="A923" s="167" t="s">
        <v>250</v>
      </c>
      <c r="B923" s="167" t="s">
        <v>249</v>
      </c>
      <c r="C923" s="167" t="n">
        <v>25</v>
      </c>
      <c r="D923" s="167" t="str">
        <f aca="false">A923&amp;" "&amp;B923&amp;" "&amp;C923</f>
        <v>CIM Motor Mini CIM 25</v>
      </c>
      <c r="E923" s="167" t="n">
        <v>0</v>
      </c>
      <c r="I923" s="167" t="n">
        <v>0</v>
      </c>
    </row>
    <row r="924" customFormat="false" ht="14.25" hidden="false" customHeight="true" outlineLevel="0" collapsed="false">
      <c r="A924" s="167" t="s">
        <v>250</v>
      </c>
      <c r="B924" s="167" t="s">
        <v>249</v>
      </c>
      <c r="C924" s="167" t="n">
        <v>27</v>
      </c>
      <c r="D924" s="167" t="str">
        <f aca="false">A924&amp;" "&amp;B924&amp;" "&amp;C924</f>
        <v>CIM Motor Mini CIM 27</v>
      </c>
      <c r="E924" s="167" t="n">
        <v>0</v>
      </c>
      <c r="I924" s="167" t="n">
        <v>0</v>
      </c>
    </row>
    <row r="925" customFormat="false" ht="14.25" hidden="false" customHeight="true" outlineLevel="0" collapsed="false">
      <c r="A925" s="167" t="s">
        <v>250</v>
      </c>
      <c r="B925" s="167" t="s">
        <v>249</v>
      </c>
      <c r="C925" s="167" t="n">
        <v>28</v>
      </c>
      <c r="D925" s="167" t="str">
        <f aca="false">A925&amp;" "&amp;B925&amp;" "&amp;C925</f>
        <v>CIM Motor Mini CIM 28</v>
      </c>
      <c r="E925" s="167" t="n">
        <v>0</v>
      </c>
      <c r="I925" s="167" t="n">
        <v>0</v>
      </c>
    </row>
    <row r="926" customFormat="false" ht="14.25" hidden="false" customHeight="true" outlineLevel="0" collapsed="false">
      <c r="A926" s="167" t="s">
        <v>250</v>
      </c>
      <c r="B926" s="167" t="s">
        <v>249</v>
      </c>
      <c r="C926" s="167" t="n">
        <v>30</v>
      </c>
      <c r="D926" s="167" t="str">
        <f aca="false">A926&amp;" "&amp;B926&amp;" "&amp;C926</f>
        <v>CIM Motor Mini CIM 30</v>
      </c>
      <c r="E926" s="167" t="n">
        <v>0</v>
      </c>
      <c r="I926" s="167" t="n">
        <v>0</v>
      </c>
    </row>
    <row r="927" customFormat="false" ht="14.25" hidden="false" customHeight="true" outlineLevel="0" collapsed="false">
      <c r="A927" s="167" t="s">
        <v>250</v>
      </c>
      <c r="B927" s="167" t="s">
        <v>249</v>
      </c>
      <c r="C927" s="167" t="n">
        <v>35</v>
      </c>
      <c r="D927" s="167" t="str">
        <f aca="false">A927&amp;" "&amp;B927&amp;" "&amp;C927</f>
        <v>CIM Motor Mini CIM 35</v>
      </c>
      <c r="E927" s="167" t="n">
        <v>0</v>
      </c>
      <c r="I927" s="167" t="n">
        <v>0</v>
      </c>
    </row>
    <row r="928" customFormat="false" ht="14.25" hidden="false" customHeight="true" outlineLevel="0" collapsed="false">
      <c r="A928" s="167" t="s">
        <v>250</v>
      </c>
      <c r="B928" s="167" t="s">
        <v>249</v>
      </c>
      <c r="C928" s="167" t="n">
        <v>36</v>
      </c>
      <c r="D928" s="167" t="str">
        <f aca="false">A928&amp;" "&amp;B928&amp;" "&amp;C928</f>
        <v>CIM Motor Mini CIM 36</v>
      </c>
      <c r="E928" s="167" t="n">
        <v>0</v>
      </c>
      <c r="I928" s="167" t="n">
        <v>0</v>
      </c>
    </row>
    <row r="929" customFormat="false" ht="14.25" hidden="false" customHeight="true" outlineLevel="0" collapsed="false">
      <c r="A929" s="167" t="s">
        <v>250</v>
      </c>
      <c r="B929" s="167" t="s">
        <v>249</v>
      </c>
      <c r="C929" s="167" t="n">
        <v>40</v>
      </c>
      <c r="D929" s="167" t="str">
        <f aca="false">A929&amp;" "&amp;B929&amp;" "&amp;C929</f>
        <v>CIM Motor Mini CIM 40</v>
      </c>
      <c r="E929" s="167" t="n">
        <v>0</v>
      </c>
      <c r="I929" s="167" t="n">
        <v>0</v>
      </c>
    </row>
    <row r="930" customFormat="false" ht="14.25" hidden="false" customHeight="true" outlineLevel="0" collapsed="false">
      <c r="A930" s="167" t="s">
        <v>250</v>
      </c>
      <c r="B930" s="167" t="s">
        <v>249</v>
      </c>
      <c r="C930" s="167" t="n">
        <v>45</v>
      </c>
      <c r="D930" s="167" t="str">
        <f aca="false">A930&amp;" "&amp;B930&amp;" "&amp;C930</f>
        <v>CIM Motor Mini CIM 45</v>
      </c>
      <c r="E930" s="167" t="n">
        <v>0</v>
      </c>
      <c r="I930" s="167" t="n">
        <v>0</v>
      </c>
    </row>
    <row r="931" customFormat="false" ht="14.25" hidden="false" customHeight="true" outlineLevel="0" collapsed="false">
      <c r="A931" s="167" t="s">
        <v>250</v>
      </c>
      <c r="B931" s="167" t="s">
        <v>249</v>
      </c>
      <c r="C931" s="167" t="n">
        <v>49</v>
      </c>
      <c r="D931" s="167" t="str">
        <f aca="false">A931&amp;" "&amp;B931&amp;" "&amp;C931</f>
        <v>CIM Motor Mini CIM 49</v>
      </c>
      <c r="E931" s="167" t="n">
        <v>0</v>
      </c>
      <c r="I931" s="167" t="n">
        <v>0</v>
      </c>
    </row>
    <row r="932" customFormat="false" ht="14.25" hidden="false" customHeight="true" outlineLevel="0" collapsed="false">
      <c r="A932" s="167" t="s">
        <v>250</v>
      </c>
      <c r="B932" s="167" t="s">
        <v>249</v>
      </c>
      <c r="C932" s="167" t="n">
        <v>50</v>
      </c>
      <c r="D932" s="167" t="str">
        <f aca="false">A932&amp;" "&amp;B932&amp;" "&amp;C932</f>
        <v>CIM Motor Mini CIM 50</v>
      </c>
      <c r="E932" s="167" t="n">
        <v>0</v>
      </c>
      <c r="I932" s="167" t="n">
        <v>0</v>
      </c>
    </row>
    <row r="933" customFormat="false" ht="14.25" hidden="false" customHeight="true" outlineLevel="0" collapsed="false">
      <c r="A933" s="167" t="s">
        <v>250</v>
      </c>
      <c r="B933" s="167" t="s">
        <v>249</v>
      </c>
      <c r="C933" s="167" t="n">
        <v>63</v>
      </c>
      <c r="D933" s="167" t="str">
        <f aca="false">A933&amp;" "&amp;B933&amp;" "&amp;C933</f>
        <v>CIM Motor Mini CIM 63</v>
      </c>
      <c r="E933" s="167" t="n">
        <v>0</v>
      </c>
      <c r="I933" s="167" t="n">
        <v>0</v>
      </c>
    </row>
    <row r="934" customFormat="false" ht="14.25" hidden="false" customHeight="true" outlineLevel="0" collapsed="false">
      <c r="A934" s="167" t="s">
        <v>250</v>
      </c>
      <c r="B934" s="167" t="s">
        <v>249</v>
      </c>
      <c r="C934" s="167" t="n">
        <v>70</v>
      </c>
      <c r="D934" s="167" t="str">
        <f aca="false">A934&amp;" "&amp;B934&amp;" "&amp;C934</f>
        <v>CIM Motor Mini CIM 70</v>
      </c>
      <c r="E934" s="167" t="n">
        <v>0</v>
      </c>
      <c r="I934" s="167" t="n">
        <v>0</v>
      </c>
    </row>
    <row r="935" customFormat="false" ht="14.25" hidden="false" customHeight="true" outlineLevel="0" collapsed="false">
      <c r="A935" s="167" t="s">
        <v>250</v>
      </c>
      <c r="B935" s="167" t="s">
        <v>249</v>
      </c>
      <c r="C935" s="167" t="n">
        <v>81</v>
      </c>
      <c r="D935" s="167" t="str">
        <f aca="false">A935&amp;" "&amp;B935&amp;" "&amp;C935</f>
        <v>CIM Motor Mini CIM 81</v>
      </c>
      <c r="E935" s="167" t="n">
        <v>0</v>
      </c>
      <c r="I935" s="167" t="n">
        <v>0</v>
      </c>
    </row>
    <row r="936" customFormat="false" ht="14.25" hidden="false" customHeight="true" outlineLevel="0" collapsed="false">
      <c r="A936" s="167" t="s">
        <v>250</v>
      </c>
      <c r="B936" s="167" t="s">
        <v>249</v>
      </c>
      <c r="C936" s="167" t="n">
        <v>90</v>
      </c>
      <c r="D936" s="167" t="str">
        <f aca="false">A936&amp;" "&amp;B936&amp;" "&amp;C936</f>
        <v>CIM Motor Mini CIM 90</v>
      </c>
      <c r="E936" s="167" t="n">
        <v>0</v>
      </c>
      <c r="I936" s="167" t="n">
        <v>0</v>
      </c>
    </row>
    <row r="937" customFormat="false" ht="14.25" hidden="false" customHeight="true" outlineLevel="0" collapsed="false">
      <c r="A937" s="167" t="s">
        <v>250</v>
      </c>
      <c r="B937" s="167" t="s">
        <v>249</v>
      </c>
      <c r="C937" s="167" t="n">
        <v>100</v>
      </c>
      <c r="D937" s="167" t="str">
        <f aca="false">A937&amp;" "&amp;B937&amp;" "&amp;C937</f>
        <v>CIM Motor Mini CIM 100</v>
      </c>
      <c r="E937" s="167" t="n">
        <v>0</v>
      </c>
      <c r="I937" s="167" t="n">
        <v>0</v>
      </c>
    </row>
    <row r="938" customFormat="false" ht="14.25" hidden="false" customHeight="true" outlineLevel="0" collapsed="false">
      <c r="A938" s="167" t="s">
        <v>250</v>
      </c>
      <c r="B938" s="167" t="s">
        <v>89</v>
      </c>
      <c r="C938" s="167" t="n">
        <v>-3</v>
      </c>
      <c r="D938" s="167" t="str">
        <f aca="false">A938&amp;" "&amp;B938&amp;" "&amp;C938</f>
        <v>CIM Motor CIM -3</v>
      </c>
      <c r="E938" s="167" t="n">
        <v>1</v>
      </c>
      <c r="I938" s="167" t="n">
        <v>0</v>
      </c>
    </row>
    <row r="939" customFormat="false" ht="14.25" hidden="false" customHeight="true" outlineLevel="0" collapsed="false">
      <c r="A939" s="167" t="s">
        <v>250</v>
      </c>
      <c r="B939" s="167" t="s">
        <v>89</v>
      </c>
      <c r="C939" s="167" t="n">
        <v>-4</v>
      </c>
      <c r="D939" s="167" t="str">
        <f aca="false">A939&amp;" "&amp;B939&amp;" "&amp;C939</f>
        <v>CIM Motor CIM -4</v>
      </c>
      <c r="E939" s="167" t="n">
        <v>1</v>
      </c>
      <c r="I939" s="167" t="n">
        <v>0</v>
      </c>
    </row>
    <row r="940" customFormat="false" ht="14.25" hidden="false" customHeight="true" outlineLevel="0" collapsed="false">
      <c r="A940" s="167" t="s">
        <v>250</v>
      </c>
      <c r="B940" s="167" t="s">
        <v>89</v>
      </c>
      <c r="C940" s="167" t="n">
        <v>-5</v>
      </c>
      <c r="D940" s="167" t="str">
        <f aca="false">A940&amp;" "&amp;B940&amp;" "&amp;C940</f>
        <v>CIM Motor CIM -5</v>
      </c>
      <c r="E940" s="167" t="n">
        <v>1</v>
      </c>
      <c r="I940" s="167" t="n">
        <v>0</v>
      </c>
    </row>
    <row r="941" customFormat="false" ht="14.25" hidden="false" customHeight="true" outlineLevel="0" collapsed="false">
      <c r="A941" s="167" t="s">
        <v>250</v>
      </c>
      <c r="B941" s="167" t="s">
        <v>89</v>
      </c>
      <c r="C941" s="167" t="n">
        <v>-7</v>
      </c>
      <c r="D941" s="167" t="str">
        <f aca="false">A941&amp;" "&amp;B941&amp;" "&amp;C941</f>
        <v>CIM Motor CIM -7</v>
      </c>
      <c r="E941" s="167" t="n">
        <v>1</v>
      </c>
      <c r="I941" s="167" t="n">
        <v>0</v>
      </c>
    </row>
    <row r="942" customFormat="false" ht="14.25" hidden="false" customHeight="true" outlineLevel="0" collapsed="false">
      <c r="A942" s="167" t="s">
        <v>250</v>
      </c>
      <c r="B942" s="167" t="s">
        <v>89</v>
      </c>
      <c r="C942" s="167" t="n">
        <v>-9</v>
      </c>
      <c r="D942" s="167" t="str">
        <f aca="false">A942&amp;" "&amp;B942&amp;" "&amp;C942</f>
        <v>CIM Motor CIM -9</v>
      </c>
      <c r="E942" s="167" t="n">
        <v>1</v>
      </c>
      <c r="I942" s="167" t="n">
        <v>0</v>
      </c>
    </row>
    <row r="943" customFormat="false" ht="14.25" hidden="false" customHeight="true" outlineLevel="0" collapsed="false">
      <c r="A943" s="167" t="s">
        <v>250</v>
      </c>
      <c r="B943" s="167" t="s">
        <v>89</v>
      </c>
      <c r="C943" s="167" t="n">
        <v>-10</v>
      </c>
      <c r="D943" s="167" t="str">
        <f aca="false">A943&amp;" "&amp;B943&amp;" "&amp;C943</f>
        <v>CIM Motor CIM -10</v>
      </c>
      <c r="E943" s="167" t="n">
        <v>1</v>
      </c>
      <c r="I943" s="167" t="n">
        <v>0</v>
      </c>
    </row>
    <row r="944" customFormat="false" ht="14.25" hidden="false" customHeight="true" outlineLevel="0" collapsed="false">
      <c r="A944" s="167" t="s">
        <v>250</v>
      </c>
      <c r="B944" s="167" t="s">
        <v>89</v>
      </c>
      <c r="C944" s="167" t="n">
        <v>9</v>
      </c>
      <c r="D944" s="167" t="str">
        <f aca="false">A944&amp;" "&amp;B944&amp;" "&amp;C944</f>
        <v>CIM Motor CIM 9</v>
      </c>
      <c r="E944" s="167" t="n">
        <v>1</v>
      </c>
      <c r="I944" s="167" t="n">
        <v>0</v>
      </c>
    </row>
    <row r="945" customFormat="false" ht="14.25" hidden="false" customHeight="true" outlineLevel="0" collapsed="false">
      <c r="A945" s="167" t="s">
        <v>250</v>
      </c>
      <c r="B945" s="167" t="s">
        <v>89</v>
      </c>
      <c r="C945" s="167" t="n">
        <v>12</v>
      </c>
      <c r="D945" s="167" t="str">
        <f aca="false">A945&amp;" "&amp;B945&amp;" "&amp;C945</f>
        <v>CIM Motor CIM 12</v>
      </c>
      <c r="E945" s="167" t="n">
        <v>0</v>
      </c>
      <c r="I945" s="167" t="n">
        <v>0</v>
      </c>
    </row>
    <row r="946" customFormat="false" ht="14.25" hidden="false" customHeight="true" outlineLevel="0" collapsed="false">
      <c r="A946" s="167" t="s">
        <v>250</v>
      </c>
      <c r="B946" s="167" t="s">
        <v>89</v>
      </c>
      <c r="C946" s="167" t="n">
        <v>15</v>
      </c>
      <c r="D946" s="167" t="str">
        <f aca="false">A946&amp;" "&amp;B946&amp;" "&amp;C946</f>
        <v>CIM Motor CIM 15</v>
      </c>
      <c r="E946" s="167" t="n">
        <v>0</v>
      </c>
      <c r="I946" s="167" t="n">
        <v>0</v>
      </c>
    </row>
    <row r="947" customFormat="false" ht="14.25" hidden="false" customHeight="true" outlineLevel="0" collapsed="false">
      <c r="A947" s="167" t="s">
        <v>250</v>
      </c>
      <c r="B947" s="167" t="s">
        <v>89</v>
      </c>
      <c r="C947" s="167" t="n">
        <v>16</v>
      </c>
      <c r="D947" s="167" t="str">
        <f aca="false">A947&amp;" "&amp;B947&amp;" "&amp;C947</f>
        <v>CIM Motor CIM 16</v>
      </c>
      <c r="E947" s="167" t="n">
        <v>0</v>
      </c>
      <c r="I947" s="167" t="n">
        <v>0</v>
      </c>
    </row>
    <row r="948" customFormat="false" ht="14.25" hidden="false" customHeight="true" outlineLevel="0" collapsed="false">
      <c r="A948" s="167" t="s">
        <v>250</v>
      </c>
      <c r="B948" s="167" t="s">
        <v>89</v>
      </c>
      <c r="C948" s="167" t="n">
        <v>20</v>
      </c>
      <c r="D948" s="167" t="str">
        <f aca="false">A948&amp;" "&amp;B948&amp;" "&amp;C948</f>
        <v>CIM Motor CIM 20</v>
      </c>
      <c r="E948" s="167" t="n">
        <v>0</v>
      </c>
      <c r="I948" s="167" t="n">
        <v>0</v>
      </c>
    </row>
    <row r="949" customFormat="false" ht="14.25" hidden="false" customHeight="true" outlineLevel="0" collapsed="false">
      <c r="A949" s="167" t="s">
        <v>250</v>
      </c>
      <c r="B949" s="167" t="s">
        <v>89</v>
      </c>
      <c r="C949" s="167" t="n">
        <v>21</v>
      </c>
      <c r="D949" s="167" t="str">
        <f aca="false">A949&amp;" "&amp;B949&amp;" "&amp;C949</f>
        <v>CIM Motor CIM 21</v>
      </c>
      <c r="E949" s="167" t="n">
        <v>0</v>
      </c>
      <c r="I949" s="167" t="n">
        <v>0</v>
      </c>
    </row>
    <row r="950" customFormat="false" ht="14.25" hidden="false" customHeight="true" outlineLevel="0" collapsed="false">
      <c r="A950" s="167" t="s">
        <v>250</v>
      </c>
      <c r="B950" s="167" t="s">
        <v>89</v>
      </c>
      <c r="C950" s="167" t="n">
        <v>25</v>
      </c>
      <c r="D950" s="167" t="str">
        <f aca="false">A950&amp;" "&amp;B950&amp;" "&amp;C950</f>
        <v>CIM Motor CIM 25</v>
      </c>
      <c r="E950" s="167" t="n">
        <v>0</v>
      </c>
      <c r="I950" s="167" t="n">
        <v>0</v>
      </c>
    </row>
    <row r="951" customFormat="false" ht="14.25" hidden="false" customHeight="true" outlineLevel="0" collapsed="false">
      <c r="A951" s="167" t="s">
        <v>250</v>
      </c>
      <c r="B951" s="167" t="s">
        <v>89</v>
      </c>
      <c r="C951" s="167" t="n">
        <v>27</v>
      </c>
      <c r="D951" s="167" t="str">
        <f aca="false">A951&amp;" "&amp;B951&amp;" "&amp;C951</f>
        <v>CIM Motor CIM 27</v>
      </c>
      <c r="E951" s="167" t="n">
        <v>0</v>
      </c>
      <c r="I951" s="167" t="n">
        <v>0</v>
      </c>
    </row>
    <row r="952" customFormat="false" ht="14.25" hidden="false" customHeight="true" outlineLevel="0" collapsed="false">
      <c r="A952" s="167" t="s">
        <v>250</v>
      </c>
      <c r="B952" s="167" t="s">
        <v>89</v>
      </c>
      <c r="C952" s="167" t="n">
        <v>28</v>
      </c>
      <c r="D952" s="167" t="str">
        <f aca="false">A952&amp;" "&amp;B952&amp;" "&amp;C952</f>
        <v>CIM Motor CIM 28</v>
      </c>
      <c r="E952" s="167" t="n">
        <v>0</v>
      </c>
      <c r="I952" s="167" t="n">
        <v>0</v>
      </c>
    </row>
    <row r="953" customFormat="false" ht="14.25" hidden="false" customHeight="true" outlineLevel="0" collapsed="false">
      <c r="A953" s="167" t="s">
        <v>250</v>
      </c>
      <c r="B953" s="167" t="s">
        <v>89</v>
      </c>
      <c r="C953" s="167" t="n">
        <v>30</v>
      </c>
      <c r="D953" s="167" t="str">
        <f aca="false">A953&amp;" "&amp;B953&amp;" "&amp;C953</f>
        <v>CIM Motor CIM 30</v>
      </c>
      <c r="E953" s="167" t="n">
        <v>0</v>
      </c>
      <c r="I953" s="167" t="n">
        <v>0</v>
      </c>
    </row>
    <row r="954" customFormat="false" ht="14.25" hidden="false" customHeight="true" outlineLevel="0" collapsed="false">
      <c r="A954" s="167" t="s">
        <v>250</v>
      </c>
      <c r="B954" s="167" t="s">
        <v>89</v>
      </c>
      <c r="C954" s="167" t="n">
        <v>35</v>
      </c>
      <c r="D954" s="167" t="str">
        <f aca="false">A954&amp;" "&amp;B954&amp;" "&amp;C954</f>
        <v>CIM Motor CIM 35</v>
      </c>
      <c r="E954" s="167" t="n">
        <v>0</v>
      </c>
      <c r="I954" s="167" t="n">
        <v>0</v>
      </c>
    </row>
    <row r="955" customFormat="false" ht="14.25" hidden="false" customHeight="true" outlineLevel="0" collapsed="false">
      <c r="A955" s="167" t="s">
        <v>250</v>
      </c>
      <c r="B955" s="167" t="s">
        <v>89</v>
      </c>
      <c r="C955" s="167" t="n">
        <v>36</v>
      </c>
      <c r="D955" s="167" t="str">
        <f aca="false">A955&amp;" "&amp;B955&amp;" "&amp;C955</f>
        <v>CIM Motor CIM 36</v>
      </c>
      <c r="E955" s="167" t="n">
        <v>0</v>
      </c>
      <c r="I955" s="167" t="n">
        <v>0</v>
      </c>
    </row>
    <row r="956" customFormat="false" ht="14.25" hidden="false" customHeight="true" outlineLevel="0" collapsed="false">
      <c r="A956" s="167" t="s">
        <v>250</v>
      </c>
      <c r="B956" s="167" t="s">
        <v>89</v>
      </c>
      <c r="C956" s="167" t="n">
        <v>40</v>
      </c>
      <c r="D956" s="167" t="str">
        <f aca="false">A956&amp;" "&amp;B956&amp;" "&amp;C956</f>
        <v>CIM Motor CIM 40</v>
      </c>
      <c r="E956" s="167" t="n">
        <v>0</v>
      </c>
      <c r="I956" s="167" t="n">
        <v>0</v>
      </c>
    </row>
    <row r="957" customFormat="false" ht="14.25" hidden="false" customHeight="true" outlineLevel="0" collapsed="false">
      <c r="A957" s="167" t="s">
        <v>250</v>
      </c>
      <c r="B957" s="167" t="s">
        <v>89</v>
      </c>
      <c r="C957" s="167" t="n">
        <v>45</v>
      </c>
      <c r="D957" s="167" t="str">
        <f aca="false">A957&amp;" "&amp;B957&amp;" "&amp;C957</f>
        <v>CIM Motor CIM 45</v>
      </c>
      <c r="E957" s="167" t="n">
        <v>0</v>
      </c>
      <c r="I957" s="167" t="n">
        <v>0</v>
      </c>
    </row>
    <row r="958" customFormat="false" ht="14.25" hidden="false" customHeight="true" outlineLevel="0" collapsed="false">
      <c r="A958" s="167" t="s">
        <v>250</v>
      </c>
      <c r="B958" s="167" t="s">
        <v>89</v>
      </c>
      <c r="C958" s="167" t="n">
        <v>49</v>
      </c>
      <c r="D958" s="167" t="str">
        <f aca="false">A958&amp;" "&amp;B958&amp;" "&amp;C958</f>
        <v>CIM Motor CIM 49</v>
      </c>
      <c r="E958" s="167" t="n">
        <v>0</v>
      </c>
      <c r="I958" s="167" t="n">
        <v>0</v>
      </c>
    </row>
    <row r="959" customFormat="false" ht="14.25" hidden="false" customHeight="true" outlineLevel="0" collapsed="false">
      <c r="A959" s="167" t="s">
        <v>250</v>
      </c>
      <c r="B959" s="167" t="s">
        <v>89</v>
      </c>
      <c r="C959" s="167" t="n">
        <v>50</v>
      </c>
      <c r="D959" s="167" t="str">
        <f aca="false">A959&amp;" "&amp;B959&amp;" "&amp;C959</f>
        <v>CIM Motor CIM 50</v>
      </c>
      <c r="E959" s="167" t="n">
        <v>0</v>
      </c>
      <c r="I959" s="167" t="n">
        <v>0</v>
      </c>
    </row>
    <row r="960" customFormat="false" ht="14.25" hidden="false" customHeight="true" outlineLevel="0" collapsed="false">
      <c r="A960" s="167" t="s">
        <v>250</v>
      </c>
      <c r="B960" s="167" t="s">
        <v>89</v>
      </c>
      <c r="C960" s="167" t="n">
        <v>63</v>
      </c>
      <c r="D960" s="167" t="str">
        <f aca="false">A960&amp;" "&amp;B960&amp;" "&amp;C960</f>
        <v>CIM Motor CIM 63</v>
      </c>
      <c r="E960" s="167" t="n">
        <v>0</v>
      </c>
      <c r="I960" s="167" t="n">
        <v>0</v>
      </c>
    </row>
    <row r="961" customFormat="false" ht="14.25" hidden="false" customHeight="true" outlineLevel="0" collapsed="false">
      <c r="A961" s="167" t="s">
        <v>250</v>
      </c>
      <c r="B961" s="167" t="s">
        <v>89</v>
      </c>
      <c r="C961" s="167" t="n">
        <v>70</v>
      </c>
      <c r="D961" s="167" t="str">
        <f aca="false">A961&amp;" "&amp;B961&amp;" "&amp;C961</f>
        <v>CIM Motor CIM 70</v>
      </c>
      <c r="E961" s="167" t="n">
        <v>0</v>
      </c>
      <c r="I961" s="167" t="n">
        <v>0</v>
      </c>
    </row>
    <row r="962" customFormat="false" ht="14.25" hidden="false" customHeight="true" outlineLevel="0" collapsed="false">
      <c r="A962" s="167" t="s">
        <v>250</v>
      </c>
      <c r="B962" s="167" t="s">
        <v>89</v>
      </c>
      <c r="C962" s="167" t="n">
        <v>81</v>
      </c>
      <c r="D962" s="167" t="str">
        <f aca="false">A962&amp;" "&amp;B962&amp;" "&amp;C962</f>
        <v>CIM Motor CIM 81</v>
      </c>
      <c r="E962" s="167" t="n">
        <v>0</v>
      </c>
      <c r="I962" s="167" t="n">
        <v>0</v>
      </c>
    </row>
    <row r="963" customFormat="false" ht="14.25" hidden="false" customHeight="true" outlineLevel="0" collapsed="false">
      <c r="A963" s="167" t="s">
        <v>250</v>
      </c>
      <c r="B963" s="167" t="s">
        <v>89</v>
      </c>
      <c r="C963" s="167" t="n">
        <v>90</v>
      </c>
      <c r="D963" s="167" t="str">
        <f aca="false">A963&amp;" "&amp;B963&amp;" "&amp;C963</f>
        <v>CIM Motor CIM 90</v>
      </c>
      <c r="E963" s="167" t="n">
        <v>0</v>
      </c>
      <c r="I963" s="167" t="n">
        <v>0</v>
      </c>
    </row>
    <row r="964" customFormat="false" ht="14.25" hidden="false" customHeight="true" outlineLevel="0" collapsed="false">
      <c r="A964" s="167" t="s">
        <v>250</v>
      </c>
      <c r="B964" s="167" t="s">
        <v>89</v>
      </c>
      <c r="C964" s="167" t="n">
        <v>100</v>
      </c>
      <c r="D964" s="167" t="str">
        <f aca="false">A964&amp;" "&amp;B964&amp;" "&amp;C964</f>
        <v>CIM Motor CIM 100</v>
      </c>
      <c r="E964" s="167" t="n">
        <v>0</v>
      </c>
      <c r="I964" s="167" t="n">
        <v>0</v>
      </c>
    </row>
    <row r="965" customFormat="false" ht="14.25" hidden="false" customHeight="true" outlineLevel="0" collapsed="false">
      <c r="A965" s="167" t="s">
        <v>250</v>
      </c>
      <c r="B965" s="167" t="s">
        <v>256</v>
      </c>
      <c r="C965" s="167" t="n">
        <v>-3</v>
      </c>
      <c r="D965" s="167" t="str">
        <f aca="false">A965&amp;" "&amp;B965&amp;" "&amp;C965</f>
        <v>CIM Motor NEO -3</v>
      </c>
      <c r="E965" s="167" t="n">
        <v>1</v>
      </c>
      <c r="I965" s="167" t="n">
        <v>0</v>
      </c>
    </row>
    <row r="966" customFormat="false" ht="14.25" hidden="false" customHeight="true" outlineLevel="0" collapsed="false">
      <c r="A966" s="167" t="s">
        <v>250</v>
      </c>
      <c r="B966" s="167" t="s">
        <v>256</v>
      </c>
      <c r="C966" s="167" t="n">
        <v>-4</v>
      </c>
      <c r="D966" s="167" t="str">
        <f aca="false">A966&amp;" "&amp;B966&amp;" "&amp;C966</f>
        <v>CIM Motor NEO -4</v>
      </c>
      <c r="E966" s="167" t="n">
        <v>1</v>
      </c>
      <c r="I966" s="167" t="n">
        <v>0</v>
      </c>
    </row>
    <row r="967" customFormat="false" ht="14.25" hidden="false" customHeight="true" outlineLevel="0" collapsed="false">
      <c r="A967" s="167" t="s">
        <v>250</v>
      </c>
      <c r="B967" s="167" t="s">
        <v>256</v>
      </c>
      <c r="C967" s="167" t="n">
        <v>-5</v>
      </c>
      <c r="D967" s="167" t="str">
        <f aca="false">A967&amp;" "&amp;B967&amp;" "&amp;C967</f>
        <v>CIM Motor NEO -5</v>
      </c>
      <c r="E967" s="167" t="n">
        <v>1</v>
      </c>
      <c r="I967" s="167" t="n">
        <v>0</v>
      </c>
    </row>
    <row r="968" customFormat="false" ht="14.25" hidden="false" customHeight="true" outlineLevel="0" collapsed="false">
      <c r="A968" s="167" t="s">
        <v>250</v>
      </c>
      <c r="B968" s="167" t="s">
        <v>256</v>
      </c>
      <c r="C968" s="167" t="n">
        <v>-7</v>
      </c>
      <c r="D968" s="167" t="str">
        <f aca="false">A968&amp;" "&amp;B968&amp;" "&amp;C968</f>
        <v>CIM Motor NEO -7</v>
      </c>
      <c r="E968" s="167" t="n">
        <v>1</v>
      </c>
      <c r="I968" s="167" t="n">
        <v>0</v>
      </c>
    </row>
    <row r="969" customFormat="false" ht="14.25" hidden="false" customHeight="true" outlineLevel="0" collapsed="false">
      <c r="A969" s="167" t="s">
        <v>250</v>
      </c>
      <c r="B969" s="167" t="s">
        <v>256</v>
      </c>
      <c r="C969" s="167" t="n">
        <v>-9</v>
      </c>
      <c r="D969" s="167" t="str">
        <f aca="false">A969&amp;" "&amp;B969&amp;" "&amp;C969</f>
        <v>CIM Motor NEO -9</v>
      </c>
      <c r="E969" s="167" t="n">
        <v>1</v>
      </c>
      <c r="I969" s="167" t="n">
        <v>0</v>
      </c>
    </row>
    <row r="970" customFormat="false" ht="14.25" hidden="false" customHeight="true" outlineLevel="0" collapsed="false">
      <c r="A970" s="167" t="s">
        <v>250</v>
      </c>
      <c r="B970" s="167" t="s">
        <v>256</v>
      </c>
      <c r="C970" s="167" t="n">
        <v>-10</v>
      </c>
      <c r="D970" s="167" t="str">
        <f aca="false">A970&amp;" "&amp;B970&amp;" "&amp;C970</f>
        <v>CIM Motor NEO -10</v>
      </c>
      <c r="E970" s="167" t="n">
        <v>1</v>
      </c>
      <c r="I970" s="167" t="n">
        <v>0</v>
      </c>
    </row>
    <row r="971" customFormat="false" ht="14.25" hidden="false" customHeight="true" outlineLevel="0" collapsed="false">
      <c r="A971" s="167" t="s">
        <v>250</v>
      </c>
      <c r="B971" s="167" t="s">
        <v>256</v>
      </c>
      <c r="C971" s="167" t="n">
        <v>9</v>
      </c>
      <c r="D971" s="167" t="str">
        <f aca="false">A971&amp;" "&amp;B971&amp;" "&amp;C971</f>
        <v>CIM Motor NEO 9</v>
      </c>
      <c r="E971" s="167" t="n">
        <v>0</v>
      </c>
      <c r="I971" s="167" t="n">
        <v>0</v>
      </c>
    </row>
    <row r="972" customFormat="false" ht="14.25" hidden="false" customHeight="true" outlineLevel="0" collapsed="false">
      <c r="A972" s="167" t="s">
        <v>250</v>
      </c>
      <c r="B972" s="167" t="s">
        <v>256</v>
      </c>
      <c r="C972" s="167" t="n">
        <v>12</v>
      </c>
      <c r="D972" s="167" t="str">
        <f aca="false">A972&amp;" "&amp;B972&amp;" "&amp;C972</f>
        <v>CIM Motor NEO 12</v>
      </c>
      <c r="E972" s="167" t="n">
        <v>0</v>
      </c>
      <c r="I972" s="167" t="n">
        <v>0</v>
      </c>
    </row>
    <row r="973" customFormat="false" ht="14.25" hidden="false" customHeight="true" outlineLevel="0" collapsed="false">
      <c r="A973" s="167" t="s">
        <v>250</v>
      </c>
      <c r="B973" s="167" t="s">
        <v>256</v>
      </c>
      <c r="C973" s="167" t="n">
        <v>15</v>
      </c>
      <c r="D973" s="167" t="str">
        <f aca="false">A973&amp;" "&amp;B973&amp;" "&amp;C973</f>
        <v>CIM Motor NEO 15</v>
      </c>
      <c r="E973" s="167" t="n">
        <v>0</v>
      </c>
      <c r="I973" s="167" t="n">
        <v>0</v>
      </c>
    </row>
    <row r="974" customFormat="false" ht="14.25" hidden="false" customHeight="true" outlineLevel="0" collapsed="false">
      <c r="A974" s="167" t="s">
        <v>250</v>
      </c>
      <c r="B974" s="167" t="s">
        <v>256</v>
      </c>
      <c r="C974" s="167" t="n">
        <v>16</v>
      </c>
      <c r="D974" s="167" t="str">
        <f aca="false">A974&amp;" "&amp;B974&amp;" "&amp;C974</f>
        <v>CIM Motor NEO 16</v>
      </c>
      <c r="E974" s="167" t="n">
        <v>0</v>
      </c>
      <c r="I974" s="167" t="n">
        <v>0</v>
      </c>
    </row>
    <row r="975" customFormat="false" ht="14.25" hidden="false" customHeight="true" outlineLevel="0" collapsed="false">
      <c r="A975" s="167" t="s">
        <v>250</v>
      </c>
      <c r="B975" s="167" t="s">
        <v>256</v>
      </c>
      <c r="C975" s="167" t="n">
        <v>20</v>
      </c>
      <c r="D975" s="167" t="str">
        <f aca="false">A975&amp;" "&amp;B975&amp;" "&amp;C975</f>
        <v>CIM Motor NEO 20</v>
      </c>
      <c r="E975" s="167" t="n">
        <v>0</v>
      </c>
      <c r="I975" s="167" t="n">
        <v>0</v>
      </c>
    </row>
    <row r="976" customFormat="false" ht="14.25" hidden="false" customHeight="true" outlineLevel="0" collapsed="false">
      <c r="A976" s="167" t="s">
        <v>250</v>
      </c>
      <c r="B976" s="167" t="s">
        <v>256</v>
      </c>
      <c r="C976" s="167" t="n">
        <v>21</v>
      </c>
      <c r="D976" s="167" t="str">
        <f aca="false">A976&amp;" "&amp;B976&amp;" "&amp;C976</f>
        <v>CIM Motor NEO 21</v>
      </c>
      <c r="E976" s="167" t="n">
        <v>0</v>
      </c>
      <c r="I976" s="167" t="n">
        <v>0</v>
      </c>
    </row>
    <row r="977" customFormat="false" ht="14.25" hidden="false" customHeight="true" outlineLevel="0" collapsed="false">
      <c r="A977" s="167" t="s">
        <v>250</v>
      </c>
      <c r="B977" s="167" t="s">
        <v>256</v>
      </c>
      <c r="C977" s="167" t="n">
        <v>25</v>
      </c>
      <c r="D977" s="167" t="str">
        <f aca="false">A977&amp;" "&amp;B977&amp;" "&amp;C977</f>
        <v>CIM Motor NEO 25</v>
      </c>
      <c r="E977" s="167" t="n">
        <v>0</v>
      </c>
      <c r="I977" s="167" t="n">
        <v>0</v>
      </c>
    </row>
    <row r="978" customFormat="false" ht="14.25" hidden="false" customHeight="true" outlineLevel="0" collapsed="false">
      <c r="A978" s="167" t="s">
        <v>250</v>
      </c>
      <c r="B978" s="167" t="s">
        <v>256</v>
      </c>
      <c r="C978" s="167" t="n">
        <v>27</v>
      </c>
      <c r="D978" s="167" t="str">
        <f aca="false">A978&amp;" "&amp;B978&amp;" "&amp;C978</f>
        <v>CIM Motor NEO 27</v>
      </c>
      <c r="E978" s="167" t="n">
        <v>0</v>
      </c>
      <c r="I978" s="167" t="n">
        <v>0</v>
      </c>
    </row>
    <row r="979" customFormat="false" ht="14.25" hidden="false" customHeight="true" outlineLevel="0" collapsed="false">
      <c r="A979" s="167" t="s">
        <v>250</v>
      </c>
      <c r="B979" s="167" t="s">
        <v>256</v>
      </c>
      <c r="C979" s="167" t="n">
        <v>28</v>
      </c>
      <c r="D979" s="167" t="str">
        <f aca="false">A979&amp;" "&amp;B979&amp;" "&amp;C979</f>
        <v>CIM Motor NEO 28</v>
      </c>
      <c r="E979" s="167" t="n">
        <v>0</v>
      </c>
      <c r="I979" s="167" t="n">
        <v>0</v>
      </c>
    </row>
    <row r="980" customFormat="false" ht="14.25" hidden="false" customHeight="true" outlineLevel="0" collapsed="false">
      <c r="A980" s="167" t="s">
        <v>250</v>
      </c>
      <c r="B980" s="167" t="s">
        <v>256</v>
      </c>
      <c r="C980" s="167" t="n">
        <v>30</v>
      </c>
      <c r="D980" s="167" t="str">
        <f aca="false">A980&amp;" "&amp;B980&amp;" "&amp;C980</f>
        <v>CIM Motor NEO 30</v>
      </c>
      <c r="E980" s="167" t="n">
        <v>0</v>
      </c>
      <c r="I980" s="167" t="n">
        <v>0</v>
      </c>
    </row>
    <row r="981" customFormat="false" ht="14.25" hidden="false" customHeight="true" outlineLevel="0" collapsed="false">
      <c r="A981" s="167" t="s">
        <v>250</v>
      </c>
      <c r="B981" s="167" t="s">
        <v>256</v>
      </c>
      <c r="C981" s="167" t="n">
        <v>35</v>
      </c>
      <c r="D981" s="167" t="str">
        <f aca="false">A981&amp;" "&amp;B981&amp;" "&amp;C981</f>
        <v>CIM Motor NEO 35</v>
      </c>
      <c r="E981" s="167" t="n">
        <v>0</v>
      </c>
      <c r="I981" s="167" t="n">
        <v>0</v>
      </c>
    </row>
    <row r="982" customFormat="false" ht="14.25" hidden="false" customHeight="true" outlineLevel="0" collapsed="false">
      <c r="A982" s="167" t="s">
        <v>250</v>
      </c>
      <c r="B982" s="167" t="s">
        <v>256</v>
      </c>
      <c r="C982" s="167" t="n">
        <v>36</v>
      </c>
      <c r="D982" s="167" t="str">
        <f aca="false">A982&amp;" "&amp;B982&amp;" "&amp;C982</f>
        <v>CIM Motor NEO 36</v>
      </c>
      <c r="E982" s="167" t="n">
        <v>0</v>
      </c>
      <c r="I982" s="167" t="n">
        <v>0</v>
      </c>
    </row>
    <row r="983" customFormat="false" ht="14.25" hidden="false" customHeight="true" outlineLevel="0" collapsed="false">
      <c r="A983" s="167" t="s">
        <v>250</v>
      </c>
      <c r="B983" s="167" t="s">
        <v>256</v>
      </c>
      <c r="C983" s="167" t="n">
        <v>40</v>
      </c>
      <c r="D983" s="167" t="str">
        <f aca="false">A983&amp;" "&amp;B983&amp;" "&amp;C983</f>
        <v>CIM Motor NEO 40</v>
      </c>
      <c r="E983" s="167" t="n">
        <v>0</v>
      </c>
      <c r="I983" s="167" t="n">
        <v>0</v>
      </c>
    </row>
    <row r="984" customFormat="false" ht="14.25" hidden="false" customHeight="true" outlineLevel="0" collapsed="false">
      <c r="A984" s="167" t="s">
        <v>250</v>
      </c>
      <c r="B984" s="167" t="s">
        <v>256</v>
      </c>
      <c r="C984" s="167" t="n">
        <v>45</v>
      </c>
      <c r="D984" s="167" t="str">
        <f aca="false">A984&amp;" "&amp;B984&amp;" "&amp;C984</f>
        <v>CIM Motor NEO 45</v>
      </c>
      <c r="E984" s="167" t="n">
        <v>0</v>
      </c>
      <c r="I984" s="167" t="n">
        <v>0</v>
      </c>
    </row>
    <row r="985" customFormat="false" ht="14.25" hidden="false" customHeight="true" outlineLevel="0" collapsed="false">
      <c r="A985" s="167" t="s">
        <v>250</v>
      </c>
      <c r="B985" s="167" t="s">
        <v>256</v>
      </c>
      <c r="C985" s="167" t="n">
        <v>49</v>
      </c>
      <c r="D985" s="167" t="str">
        <f aca="false">A985&amp;" "&amp;B985&amp;" "&amp;C985</f>
        <v>CIM Motor NEO 49</v>
      </c>
      <c r="E985" s="167" t="n">
        <v>0</v>
      </c>
      <c r="I985" s="167" t="n">
        <v>0</v>
      </c>
    </row>
    <row r="986" customFormat="false" ht="14.25" hidden="false" customHeight="true" outlineLevel="0" collapsed="false">
      <c r="A986" s="167" t="s">
        <v>250</v>
      </c>
      <c r="B986" s="167" t="s">
        <v>256</v>
      </c>
      <c r="C986" s="167" t="n">
        <v>50</v>
      </c>
      <c r="D986" s="167" t="str">
        <f aca="false">A986&amp;" "&amp;B986&amp;" "&amp;C986</f>
        <v>CIM Motor NEO 50</v>
      </c>
      <c r="E986" s="167" t="n">
        <v>0</v>
      </c>
      <c r="I986" s="167" t="n">
        <v>0</v>
      </c>
    </row>
    <row r="987" customFormat="false" ht="14.25" hidden="false" customHeight="true" outlineLevel="0" collapsed="false">
      <c r="A987" s="167" t="s">
        <v>250</v>
      </c>
      <c r="B987" s="167" t="s">
        <v>256</v>
      </c>
      <c r="C987" s="167" t="n">
        <v>63</v>
      </c>
      <c r="D987" s="167" t="str">
        <f aca="false">A987&amp;" "&amp;B987&amp;" "&amp;C987</f>
        <v>CIM Motor NEO 63</v>
      </c>
      <c r="E987" s="167" t="n">
        <v>0</v>
      </c>
      <c r="I987" s="167" t="n">
        <v>0</v>
      </c>
    </row>
    <row r="988" customFormat="false" ht="14.25" hidden="false" customHeight="true" outlineLevel="0" collapsed="false">
      <c r="A988" s="167" t="s">
        <v>250</v>
      </c>
      <c r="B988" s="167" t="s">
        <v>256</v>
      </c>
      <c r="C988" s="167" t="n">
        <v>70</v>
      </c>
      <c r="D988" s="167" t="str">
        <f aca="false">A988&amp;" "&amp;B988&amp;" "&amp;C988</f>
        <v>CIM Motor NEO 70</v>
      </c>
      <c r="E988" s="167" t="n">
        <v>0</v>
      </c>
      <c r="I988" s="167" t="n">
        <v>0</v>
      </c>
    </row>
    <row r="989" customFormat="false" ht="14.25" hidden="false" customHeight="true" outlineLevel="0" collapsed="false">
      <c r="A989" s="167" t="s">
        <v>250</v>
      </c>
      <c r="B989" s="167" t="s">
        <v>256</v>
      </c>
      <c r="C989" s="167" t="n">
        <v>81</v>
      </c>
      <c r="D989" s="167" t="str">
        <f aca="false">A989&amp;" "&amp;B989&amp;" "&amp;C989</f>
        <v>CIM Motor NEO 81</v>
      </c>
      <c r="E989" s="167" t="n">
        <v>0</v>
      </c>
      <c r="I989" s="167" t="n">
        <v>0</v>
      </c>
    </row>
    <row r="990" customFormat="false" ht="14.25" hidden="false" customHeight="true" outlineLevel="0" collapsed="false">
      <c r="A990" s="167" t="s">
        <v>250</v>
      </c>
      <c r="B990" s="167" t="s">
        <v>256</v>
      </c>
      <c r="C990" s="167" t="n">
        <v>90</v>
      </c>
      <c r="D990" s="167" t="str">
        <f aca="false">A990&amp;" "&amp;B990&amp;" "&amp;C990</f>
        <v>CIM Motor NEO 90</v>
      </c>
      <c r="E990" s="167" t="n">
        <v>0</v>
      </c>
      <c r="I990" s="167" t="n">
        <v>0</v>
      </c>
    </row>
    <row r="991" customFormat="false" ht="14.25" hidden="false" customHeight="true" outlineLevel="0" collapsed="false">
      <c r="A991" s="167" t="s">
        <v>250</v>
      </c>
      <c r="B991" s="167" t="s">
        <v>256</v>
      </c>
      <c r="C991" s="167" t="n">
        <v>100</v>
      </c>
      <c r="D991" s="167" t="str">
        <f aca="false">A991&amp;" "&amp;B991&amp;" "&amp;C991</f>
        <v>CIM Motor NEO 100</v>
      </c>
      <c r="E991" s="167" t="n">
        <v>0</v>
      </c>
      <c r="I991" s="167" t="n">
        <v>0</v>
      </c>
    </row>
    <row r="992" customFormat="false" ht="14.25" hidden="false" customHeight="true" outlineLevel="0" collapsed="false">
      <c r="A992" s="167" t="s">
        <v>250</v>
      </c>
      <c r="B992" s="167" t="s">
        <v>257</v>
      </c>
      <c r="C992" s="167" t="n">
        <v>-3</v>
      </c>
      <c r="D992" s="167" t="str">
        <f aca="false">A992&amp;" "&amp;B992&amp;" "&amp;C992</f>
        <v>CIM Motor Falcon 500 -3</v>
      </c>
      <c r="E992" s="167" t="n">
        <v>1</v>
      </c>
      <c r="I992" s="167" t="n">
        <v>0</v>
      </c>
    </row>
    <row r="993" customFormat="false" ht="14.25" hidden="false" customHeight="true" outlineLevel="0" collapsed="false">
      <c r="A993" s="167" t="s">
        <v>250</v>
      </c>
      <c r="B993" s="167" t="s">
        <v>257</v>
      </c>
      <c r="C993" s="167" t="n">
        <v>-4</v>
      </c>
      <c r="D993" s="167" t="str">
        <f aca="false">A993&amp;" "&amp;B993&amp;" "&amp;C993</f>
        <v>CIM Motor Falcon 500 -4</v>
      </c>
      <c r="E993" s="167" t="n">
        <v>1</v>
      </c>
      <c r="I993" s="167" t="n">
        <v>0</v>
      </c>
    </row>
    <row r="994" customFormat="false" ht="14.25" hidden="false" customHeight="true" outlineLevel="0" collapsed="false">
      <c r="A994" s="167" t="s">
        <v>250</v>
      </c>
      <c r="B994" s="167" t="s">
        <v>257</v>
      </c>
      <c r="C994" s="167" t="n">
        <v>-5</v>
      </c>
      <c r="D994" s="167" t="str">
        <f aca="false">A994&amp;" "&amp;B994&amp;" "&amp;C994</f>
        <v>CIM Motor Falcon 500 -5</v>
      </c>
      <c r="E994" s="167" t="n">
        <v>1</v>
      </c>
      <c r="I994" s="167" t="n">
        <v>0</v>
      </c>
    </row>
    <row r="995" customFormat="false" ht="14.25" hidden="false" customHeight="true" outlineLevel="0" collapsed="false">
      <c r="A995" s="167" t="s">
        <v>250</v>
      </c>
      <c r="B995" s="167" t="s">
        <v>257</v>
      </c>
      <c r="C995" s="167" t="n">
        <v>-7</v>
      </c>
      <c r="D995" s="167" t="str">
        <f aca="false">A995&amp;" "&amp;B995&amp;" "&amp;C995</f>
        <v>CIM Motor Falcon 500 -7</v>
      </c>
      <c r="E995" s="167" t="n">
        <v>1</v>
      </c>
      <c r="I995" s="167" t="n">
        <v>0</v>
      </c>
    </row>
    <row r="996" customFormat="false" ht="14.25" hidden="false" customHeight="true" outlineLevel="0" collapsed="false">
      <c r="A996" s="167" t="s">
        <v>250</v>
      </c>
      <c r="B996" s="167" t="s">
        <v>257</v>
      </c>
      <c r="C996" s="167" t="n">
        <v>-9</v>
      </c>
      <c r="D996" s="167" t="str">
        <f aca="false">A996&amp;" "&amp;B996&amp;" "&amp;C996</f>
        <v>CIM Motor Falcon 500 -9</v>
      </c>
      <c r="E996" s="167" t="n">
        <v>1</v>
      </c>
      <c r="I996" s="167" t="n">
        <v>0</v>
      </c>
    </row>
    <row r="997" customFormat="false" ht="14.25" hidden="false" customHeight="true" outlineLevel="0" collapsed="false">
      <c r="A997" s="167" t="s">
        <v>250</v>
      </c>
      <c r="B997" s="167" t="s">
        <v>257</v>
      </c>
      <c r="C997" s="167" t="n">
        <v>-10</v>
      </c>
      <c r="D997" s="167" t="str">
        <f aca="false">A997&amp;" "&amp;B997&amp;" "&amp;C997</f>
        <v>CIM Motor Falcon 500 -10</v>
      </c>
      <c r="E997" s="167" t="n">
        <v>1</v>
      </c>
      <c r="I997" s="167" t="n">
        <v>0</v>
      </c>
    </row>
    <row r="998" customFormat="false" ht="14.25" hidden="false" customHeight="true" outlineLevel="0" collapsed="false">
      <c r="A998" s="167" t="s">
        <v>250</v>
      </c>
      <c r="B998" s="167" t="s">
        <v>257</v>
      </c>
      <c r="C998" s="167" t="n">
        <v>9</v>
      </c>
      <c r="D998" s="167" t="str">
        <f aca="false">A998&amp;" "&amp;B998&amp;" "&amp;C998</f>
        <v>CIM Motor Falcon 500 9</v>
      </c>
      <c r="E998" s="167" t="n">
        <v>0</v>
      </c>
      <c r="I998" s="167" t="n">
        <v>0</v>
      </c>
    </row>
    <row r="999" customFormat="false" ht="14.25" hidden="false" customHeight="true" outlineLevel="0" collapsed="false">
      <c r="A999" s="167" t="s">
        <v>250</v>
      </c>
      <c r="B999" s="167" t="s">
        <v>257</v>
      </c>
      <c r="C999" s="167" t="n">
        <v>12</v>
      </c>
      <c r="D999" s="167" t="str">
        <f aca="false">A999&amp;" "&amp;B999&amp;" "&amp;C999</f>
        <v>CIM Motor Falcon 500 12</v>
      </c>
      <c r="E999" s="167" t="n">
        <v>0</v>
      </c>
      <c r="I999" s="167" t="n">
        <v>0</v>
      </c>
    </row>
    <row r="1000" customFormat="false" ht="14.25" hidden="false" customHeight="true" outlineLevel="0" collapsed="false">
      <c r="A1000" s="167" t="s">
        <v>250</v>
      </c>
      <c r="B1000" s="167" t="s">
        <v>257</v>
      </c>
      <c r="C1000" s="167" t="n">
        <v>15</v>
      </c>
      <c r="D1000" s="167" t="str">
        <f aca="false">A1000&amp;" "&amp;B1000&amp;" "&amp;C1000</f>
        <v>CIM Motor Falcon 500 15</v>
      </c>
      <c r="E1000" s="167" t="n">
        <v>0</v>
      </c>
      <c r="I1000" s="167" t="n">
        <v>0</v>
      </c>
    </row>
    <row r="1001" customFormat="false" ht="14.25" hidden="false" customHeight="true" outlineLevel="0" collapsed="false">
      <c r="A1001" s="167" t="s">
        <v>250</v>
      </c>
      <c r="B1001" s="167" t="s">
        <v>257</v>
      </c>
      <c r="C1001" s="167" t="n">
        <v>16</v>
      </c>
      <c r="D1001" s="167" t="str">
        <f aca="false">A1001&amp;" "&amp;B1001&amp;" "&amp;C1001</f>
        <v>CIM Motor Falcon 500 16</v>
      </c>
      <c r="E1001" s="167" t="n">
        <v>0</v>
      </c>
      <c r="I1001" s="167" t="n">
        <v>0</v>
      </c>
    </row>
    <row r="1002" customFormat="false" ht="15" hidden="false" customHeight="true" outlineLevel="0" collapsed="false">
      <c r="A1002" s="167" t="s">
        <v>250</v>
      </c>
      <c r="B1002" s="167" t="s">
        <v>257</v>
      </c>
      <c r="C1002" s="167" t="n">
        <v>20</v>
      </c>
      <c r="D1002" s="167" t="str">
        <f aca="false">A1002&amp;" "&amp;B1002&amp;" "&amp;C1002</f>
        <v>CIM Motor Falcon 500 20</v>
      </c>
      <c r="E1002" s="167" t="n">
        <v>0</v>
      </c>
      <c r="I1002" s="167" t="n">
        <v>0</v>
      </c>
    </row>
    <row r="1003" customFormat="false" ht="15" hidden="false" customHeight="true" outlineLevel="0" collapsed="false">
      <c r="A1003" s="167" t="s">
        <v>250</v>
      </c>
      <c r="B1003" s="167" t="s">
        <v>257</v>
      </c>
      <c r="C1003" s="167" t="n">
        <v>21</v>
      </c>
      <c r="D1003" s="167" t="str">
        <f aca="false">A1003&amp;" "&amp;B1003&amp;" "&amp;C1003</f>
        <v>CIM Motor Falcon 500 21</v>
      </c>
      <c r="E1003" s="167" t="n">
        <v>0</v>
      </c>
      <c r="I1003" s="167" t="n">
        <v>0</v>
      </c>
    </row>
    <row r="1004" customFormat="false" ht="15" hidden="false" customHeight="true" outlineLevel="0" collapsed="false">
      <c r="A1004" s="167" t="s">
        <v>250</v>
      </c>
      <c r="B1004" s="167" t="s">
        <v>257</v>
      </c>
      <c r="C1004" s="167" t="n">
        <v>25</v>
      </c>
      <c r="D1004" s="167" t="str">
        <f aca="false">A1004&amp;" "&amp;B1004&amp;" "&amp;C1004</f>
        <v>CIM Motor Falcon 500 25</v>
      </c>
      <c r="E1004" s="167" t="n">
        <v>0</v>
      </c>
      <c r="I1004" s="167" t="n">
        <v>0</v>
      </c>
    </row>
    <row r="1005" customFormat="false" ht="15" hidden="false" customHeight="true" outlineLevel="0" collapsed="false">
      <c r="A1005" s="167" t="s">
        <v>250</v>
      </c>
      <c r="B1005" s="167" t="s">
        <v>257</v>
      </c>
      <c r="C1005" s="167" t="n">
        <v>27</v>
      </c>
      <c r="D1005" s="167" t="str">
        <f aca="false">A1005&amp;" "&amp;B1005&amp;" "&amp;C1005</f>
        <v>CIM Motor Falcon 500 27</v>
      </c>
      <c r="E1005" s="167" t="n">
        <v>0</v>
      </c>
      <c r="I1005" s="167" t="n">
        <v>0</v>
      </c>
    </row>
    <row r="1006" customFormat="false" ht="15" hidden="false" customHeight="true" outlineLevel="0" collapsed="false">
      <c r="A1006" s="167" t="s">
        <v>250</v>
      </c>
      <c r="B1006" s="167" t="s">
        <v>257</v>
      </c>
      <c r="C1006" s="167" t="n">
        <v>28</v>
      </c>
      <c r="D1006" s="167" t="str">
        <f aca="false">A1006&amp;" "&amp;B1006&amp;" "&amp;C1006</f>
        <v>CIM Motor Falcon 500 28</v>
      </c>
      <c r="E1006" s="167" t="n">
        <v>0</v>
      </c>
      <c r="I1006" s="167" t="n">
        <v>0</v>
      </c>
    </row>
    <row r="1007" customFormat="false" ht="15" hidden="false" customHeight="true" outlineLevel="0" collapsed="false">
      <c r="A1007" s="167" t="s">
        <v>250</v>
      </c>
      <c r="B1007" s="167" t="s">
        <v>257</v>
      </c>
      <c r="C1007" s="167" t="n">
        <v>30</v>
      </c>
      <c r="D1007" s="167" t="str">
        <f aca="false">A1007&amp;" "&amp;B1007&amp;" "&amp;C1007</f>
        <v>CIM Motor Falcon 500 30</v>
      </c>
      <c r="E1007" s="167" t="n">
        <v>0</v>
      </c>
      <c r="I1007" s="167" t="n">
        <v>0</v>
      </c>
    </row>
    <row r="1008" customFormat="false" ht="15" hidden="false" customHeight="true" outlineLevel="0" collapsed="false">
      <c r="A1008" s="167" t="s">
        <v>250</v>
      </c>
      <c r="B1008" s="167" t="s">
        <v>257</v>
      </c>
      <c r="C1008" s="167" t="n">
        <v>35</v>
      </c>
      <c r="D1008" s="167" t="str">
        <f aca="false">A1008&amp;" "&amp;B1008&amp;" "&amp;C1008</f>
        <v>CIM Motor Falcon 500 35</v>
      </c>
      <c r="E1008" s="167" t="n">
        <v>0</v>
      </c>
      <c r="I1008" s="167" t="n">
        <v>0</v>
      </c>
    </row>
    <row r="1009" customFormat="false" ht="15" hidden="false" customHeight="true" outlineLevel="0" collapsed="false">
      <c r="A1009" s="167" t="s">
        <v>250</v>
      </c>
      <c r="B1009" s="167" t="s">
        <v>257</v>
      </c>
      <c r="C1009" s="167" t="n">
        <v>36</v>
      </c>
      <c r="D1009" s="167" t="str">
        <f aca="false">A1009&amp;" "&amp;B1009&amp;" "&amp;C1009</f>
        <v>CIM Motor Falcon 500 36</v>
      </c>
      <c r="E1009" s="167" t="n">
        <v>0</v>
      </c>
      <c r="I1009" s="167" t="n">
        <v>0</v>
      </c>
    </row>
    <row r="1010" customFormat="false" ht="15" hidden="false" customHeight="true" outlineLevel="0" collapsed="false">
      <c r="A1010" s="167" t="s">
        <v>250</v>
      </c>
      <c r="B1010" s="167" t="s">
        <v>257</v>
      </c>
      <c r="C1010" s="167" t="n">
        <v>40</v>
      </c>
      <c r="D1010" s="167" t="str">
        <f aca="false">A1010&amp;" "&amp;B1010&amp;" "&amp;C1010</f>
        <v>CIM Motor Falcon 500 40</v>
      </c>
      <c r="E1010" s="167" t="n">
        <v>0</v>
      </c>
      <c r="I1010" s="167" t="n">
        <v>0</v>
      </c>
    </row>
    <row r="1011" customFormat="false" ht="15" hidden="false" customHeight="true" outlineLevel="0" collapsed="false">
      <c r="A1011" s="167" t="s">
        <v>250</v>
      </c>
      <c r="B1011" s="167" t="s">
        <v>257</v>
      </c>
      <c r="C1011" s="167" t="n">
        <v>45</v>
      </c>
      <c r="D1011" s="167" t="str">
        <f aca="false">A1011&amp;" "&amp;B1011&amp;" "&amp;C1011</f>
        <v>CIM Motor Falcon 500 45</v>
      </c>
      <c r="E1011" s="167" t="n">
        <v>0</v>
      </c>
      <c r="I1011" s="167" t="n">
        <v>0</v>
      </c>
    </row>
    <row r="1012" customFormat="false" ht="15" hidden="false" customHeight="true" outlineLevel="0" collapsed="false">
      <c r="A1012" s="167" t="s">
        <v>250</v>
      </c>
      <c r="B1012" s="167" t="s">
        <v>257</v>
      </c>
      <c r="C1012" s="167" t="n">
        <v>49</v>
      </c>
      <c r="D1012" s="167" t="str">
        <f aca="false">A1012&amp;" "&amp;B1012&amp;" "&amp;C1012</f>
        <v>CIM Motor Falcon 500 49</v>
      </c>
      <c r="E1012" s="167" t="n">
        <v>0</v>
      </c>
      <c r="I1012" s="167" t="n">
        <v>0</v>
      </c>
    </row>
    <row r="1013" customFormat="false" ht="15" hidden="false" customHeight="true" outlineLevel="0" collapsed="false">
      <c r="A1013" s="167" t="s">
        <v>250</v>
      </c>
      <c r="B1013" s="167" t="s">
        <v>257</v>
      </c>
      <c r="C1013" s="167" t="n">
        <v>50</v>
      </c>
      <c r="D1013" s="167" t="str">
        <f aca="false">A1013&amp;" "&amp;B1013&amp;" "&amp;C1013</f>
        <v>CIM Motor Falcon 500 50</v>
      </c>
      <c r="E1013" s="167" t="n">
        <v>0</v>
      </c>
      <c r="I1013" s="167" t="n">
        <v>0</v>
      </c>
    </row>
    <row r="1014" customFormat="false" ht="15" hidden="false" customHeight="true" outlineLevel="0" collapsed="false">
      <c r="A1014" s="167" t="s">
        <v>250</v>
      </c>
      <c r="B1014" s="167" t="s">
        <v>257</v>
      </c>
      <c r="C1014" s="167" t="n">
        <v>63</v>
      </c>
      <c r="D1014" s="167" t="str">
        <f aca="false">A1014&amp;" "&amp;B1014&amp;" "&amp;C1014</f>
        <v>CIM Motor Falcon 500 63</v>
      </c>
      <c r="E1014" s="167" t="n">
        <v>0</v>
      </c>
      <c r="I1014" s="167" t="n">
        <v>0</v>
      </c>
    </row>
    <row r="1015" customFormat="false" ht="15" hidden="false" customHeight="true" outlineLevel="0" collapsed="false">
      <c r="A1015" s="167" t="s">
        <v>250</v>
      </c>
      <c r="B1015" s="167" t="s">
        <v>257</v>
      </c>
      <c r="C1015" s="167" t="n">
        <v>70</v>
      </c>
      <c r="D1015" s="167" t="str">
        <f aca="false">A1015&amp;" "&amp;B1015&amp;" "&amp;C1015</f>
        <v>CIM Motor Falcon 500 70</v>
      </c>
      <c r="E1015" s="167" t="n">
        <v>0</v>
      </c>
      <c r="I1015" s="167" t="n">
        <v>0</v>
      </c>
    </row>
    <row r="1016" customFormat="false" ht="15" hidden="false" customHeight="true" outlineLevel="0" collapsed="false">
      <c r="A1016" s="167" t="s">
        <v>250</v>
      </c>
      <c r="B1016" s="167" t="s">
        <v>257</v>
      </c>
      <c r="C1016" s="167" t="n">
        <v>81</v>
      </c>
      <c r="D1016" s="167" t="str">
        <f aca="false">A1016&amp;" "&amp;B1016&amp;" "&amp;C1016</f>
        <v>CIM Motor Falcon 500 81</v>
      </c>
      <c r="E1016" s="167" t="n">
        <v>0</v>
      </c>
      <c r="I1016" s="167" t="n">
        <v>0</v>
      </c>
    </row>
    <row r="1017" customFormat="false" ht="15" hidden="false" customHeight="true" outlineLevel="0" collapsed="false">
      <c r="A1017" s="167" t="s">
        <v>250</v>
      </c>
      <c r="B1017" s="167" t="s">
        <v>257</v>
      </c>
      <c r="C1017" s="167" t="n">
        <v>90</v>
      </c>
      <c r="D1017" s="167" t="str">
        <f aca="false">A1017&amp;" "&amp;B1017&amp;" "&amp;C1017</f>
        <v>CIM Motor Falcon 500 90</v>
      </c>
      <c r="E1017" s="167" t="n">
        <v>0</v>
      </c>
      <c r="I1017" s="167" t="n">
        <v>0</v>
      </c>
    </row>
    <row r="1018" customFormat="false" ht="15" hidden="false" customHeight="true" outlineLevel="0" collapsed="false">
      <c r="A1018" s="167" t="s">
        <v>250</v>
      </c>
      <c r="B1018" s="167" t="s">
        <v>257</v>
      </c>
      <c r="C1018" s="167" t="n">
        <v>100</v>
      </c>
      <c r="D1018" s="167" t="str">
        <f aca="false">A1018&amp;" "&amp;B1018&amp;" "&amp;C1018</f>
        <v>CIM Motor Falcon 500 100</v>
      </c>
      <c r="E1018" s="167" t="n">
        <v>0</v>
      </c>
      <c r="I1018" s="167" t="n">
        <v>0</v>
      </c>
    </row>
    <row r="1019" customFormat="false" ht="15" hidden="false" customHeight="true" outlineLevel="0" collapsed="false">
      <c r="A1019" s="167" t="s">
        <v>253</v>
      </c>
      <c r="B1019" s="167" t="s">
        <v>236</v>
      </c>
      <c r="C1019" s="167" t="n">
        <v>-3</v>
      </c>
      <c r="D1019" s="167" t="str">
        <f aca="false">A1019&amp;" "&amp;B1019&amp;" "&amp;C1019</f>
        <v>Female AM 9015 -3</v>
      </c>
      <c r="E1019" s="167" t="n">
        <v>1</v>
      </c>
      <c r="I1019" s="167" t="n">
        <v>1</v>
      </c>
    </row>
    <row r="1020" customFormat="false" ht="15" hidden="false" customHeight="true" outlineLevel="0" collapsed="false">
      <c r="A1020" s="167" t="s">
        <v>253</v>
      </c>
      <c r="B1020" s="167" t="s">
        <v>236</v>
      </c>
      <c r="C1020" s="167" t="n">
        <v>-4</v>
      </c>
      <c r="D1020" s="167" t="str">
        <f aca="false">A1020&amp;" "&amp;B1020&amp;" "&amp;C1020</f>
        <v>Female AM 9015 -4</v>
      </c>
      <c r="E1020" s="167" t="n">
        <v>1</v>
      </c>
      <c r="I1020" s="167" t="n">
        <v>1</v>
      </c>
    </row>
    <row r="1021" customFormat="false" ht="15" hidden="false" customHeight="true" outlineLevel="0" collapsed="false">
      <c r="A1021" s="167" t="s">
        <v>253</v>
      </c>
      <c r="B1021" s="167" t="s">
        <v>236</v>
      </c>
      <c r="C1021" s="167" t="n">
        <v>-5</v>
      </c>
      <c r="D1021" s="167" t="str">
        <f aca="false">A1021&amp;" "&amp;B1021&amp;" "&amp;C1021</f>
        <v>Female AM 9015 -5</v>
      </c>
      <c r="E1021" s="167" t="n">
        <v>1</v>
      </c>
      <c r="I1021" s="167" t="n">
        <v>1</v>
      </c>
    </row>
    <row r="1022" customFormat="false" ht="15" hidden="false" customHeight="true" outlineLevel="0" collapsed="false">
      <c r="A1022" s="167" t="s">
        <v>253</v>
      </c>
      <c r="B1022" s="167" t="s">
        <v>236</v>
      </c>
      <c r="C1022" s="167" t="n">
        <v>-7</v>
      </c>
      <c r="D1022" s="167" t="str">
        <f aca="false">A1022&amp;" "&amp;B1022&amp;" "&amp;C1022</f>
        <v>Female AM 9015 -7</v>
      </c>
      <c r="E1022" s="167" t="n">
        <v>1</v>
      </c>
      <c r="I1022" s="167" t="n">
        <v>1</v>
      </c>
    </row>
    <row r="1023" customFormat="false" ht="15" hidden="false" customHeight="true" outlineLevel="0" collapsed="false">
      <c r="A1023" s="167" t="s">
        <v>253</v>
      </c>
      <c r="B1023" s="167" t="s">
        <v>236</v>
      </c>
      <c r="C1023" s="167" t="n">
        <v>-9</v>
      </c>
      <c r="D1023" s="167" t="str">
        <f aca="false">A1023&amp;" "&amp;B1023&amp;" "&amp;C1023</f>
        <v>Female AM 9015 -9</v>
      </c>
      <c r="E1023" s="167" t="n">
        <v>1</v>
      </c>
      <c r="I1023" s="167" t="n">
        <v>1</v>
      </c>
    </row>
    <row r="1024" customFormat="false" ht="15" hidden="false" customHeight="true" outlineLevel="0" collapsed="false">
      <c r="A1024" s="167" t="s">
        <v>253</v>
      </c>
      <c r="B1024" s="167" t="s">
        <v>236</v>
      </c>
      <c r="C1024" s="167" t="n">
        <v>-10</v>
      </c>
      <c r="D1024" s="167" t="str">
        <f aca="false">A1024&amp;" "&amp;B1024&amp;" "&amp;C1024</f>
        <v>Female AM 9015 -10</v>
      </c>
      <c r="E1024" s="167" t="n">
        <v>1</v>
      </c>
      <c r="I1024" s="167" t="n">
        <v>1</v>
      </c>
    </row>
    <row r="1025" customFormat="false" ht="15" hidden="false" customHeight="true" outlineLevel="0" collapsed="false">
      <c r="A1025" s="167" t="s">
        <v>253</v>
      </c>
      <c r="B1025" s="167" t="s">
        <v>236</v>
      </c>
      <c r="C1025" s="167" t="n">
        <v>9</v>
      </c>
      <c r="D1025" s="167" t="str">
        <f aca="false">A1025&amp;" "&amp;B1025&amp;" "&amp;C1025</f>
        <v>Female AM 9015 9</v>
      </c>
      <c r="E1025" s="167" t="n">
        <v>10</v>
      </c>
      <c r="I1025" s="167" t="n">
        <v>10</v>
      </c>
    </row>
    <row r="1026" customFormat="false" ht="15" hidden="false" customHeight="true" outlineLevel="0" collapsed="false">
      <c r="A1026" s="167" t="s">
        <v>253</v>
      </c>
      <c r="B1026" s="167" t="s">
        <v>236</v>
      </c>
      <c r="C1026" s="167" t="n">
        <v>12</v>
      </c>
      <c r="D1026" s="167" t="str">
        <f aca="false">A1026&amp;" "&amp;B1026&amp;" "&amp;C1026</f>
        <v>Female AM 9015 12</v>
      </c>
      <c r="E1026" s="167" t="n">
        <v>10</v>
      </c>
      <c r="I1026" s="167" t="n">
        <v>7</v>
      </c>
    </row>
    <row r="1027" customFormat="false" ht="15" hidden="false" customHeight="true" outlineLevel="0" collapsed="false">
      <c r="A1027" s="167" t="s">
        <v>253</v>
      </c>
      <c r="B1027" s="167" t="s">
        <v>236</v>
      </c>
      <c r="C1027" s="167" t="n">
        <v>15</v>
      </c>
      <c r="D1027" s="167" t="str">
        <f aca="false">A1027&amp;" "&amp;B1027&amp;" "&amp;C1027</f>
        <v>Female AM 9015 15</v>
      </c>
      <c r="E1027" s="167" t="n">
        <v>10</v>
      </c>
      <c r="I1027" s="167" t="n">
        <v>5</v>
      </c>
    </row>
    <row r="1028" customFormat="false" ht="15" hidden="false" customHeight="true" outlineLevel="0" collapsed="false">
      <c r="A1028" s="167" t="s">
        <v>253</v>
      </c>
      <c r="B1028" s="167" t="s">
        <v>236</v>
      </c>
      <c r="C1028" s="167" t="n">
        <v>16</v>
      </c>
      <c r="D1028" s="167" t="str">
        <f aca="false">A1028&amp;" "&amp;B1028&amp;" "&amp;C1028</f>
        <v>Female AM 9015 16</v>
      </c>
      <c r="E1028" s="167" t="n">
        <v>10</v>
      </c>
      <c r="I1028" s="167" t="n">
        <v>5</v>
      </c>
    </row>
    <row r="1029" customFormat="false" ht="15" hidden="false" customHeight="true" outlineLevel="0" collapsed="false">
      <c r="A1029" s="167" t="s">
        <v>253</v>
      </c>
      <c r="B1029" s="167" t="s">
        <v>236</v>
      </c>
      <c r="C1029" s="167" t="n">
        <v>20</v>
      </c>
      <c r="D1029" s="167" t="str">
        <f aca="false">A1029&amp;" "&amp;B1029&amp;" "&amp;C1029</f>
        <v>Female AM 9015 20</v>
      </c>
      <c r="E1029" s="167" t="n">
        <v>10</v>
      </c>
      <c r="I1029" s="167" t="n">
        <v>4</v>
      </c>
    </row>
    <row r="1030" customFormat="false" ht="15" hidden="false" customHeight="true" outlineLevel="0" collapsed="false">
      <c r="A1030" s="167" t="s">
        <v>253</v>
      </c>
      <c r="B1030" s="167" t="s">
        <v>236</v>
      </c>
      <c r="C1030" s="167" t="n">
        <v>21</v>
      </c>
      <c r="D1030" s="167" t="str">
        <f aca="false">A1030&amp;" "&amp;B1030&amp;" "&amp;C1030</f>
        <v>Female AM 9015 21</v>
      </c>
      <c r="E1030" s="167" t="n">
        <v>10</v>
      </c>
      <c r="I1030" s="167" t="n">
        <v>4</v>
      </c>
    </row>
    <row r="1031" customFormat="false" ht="15" hidden="false" customHeight="true" outlineLevel="0" collapsed="false">
      <c r="A1031" s="167" t="s">
        <v>253</v>
      </c>
      <c r="B1031" s="167" t="s">
        <v>236</v>
      </c>
      <c r="C1031" s="167" t="n">
        <v>25</v>
      </c>
      <c r="D1031" s="167" t="str">
        <f aca="false">A1031&amp;" "&amp;B1031&amp;" "&amp;C1031</f>
        <v>Female AM 9015 25</v>
      </c>
      <c r="E1031" s="167" t="n">
        <v>7</v>
      </c>
      <c r="I1031" s="167" t="n">
        <v>3</v>
      </c>
    </row>
    <row r="1032" customFormat="false" ht="15" hidden="false" customHeight="true" outlineLevel="0" collapsed="false">
      <c r="A1032" s="167" t="s">
        <v>253</v>
      </c>
      <c r="B1032" s="167" t="s">
        <v>236</v>
      </c>
      <c r="C1032" s="167" t="n">
        <v>27</v>
      </c>
      <c r="D1032" s="167" t="str">
        <f aca="false">A1032&amp;" "&amp;B1032&amp;" "&amp;C1032</f>
        <v>Female AM 9015 27</v>
      </c>
      <c r="E1032" s="167" t="n">
        <v>7</v>
      </c>
      <c r="I1032" s="167" t="n">
        <v>3</v>
      </c>
    </row>
    <row r="1033" customFormat="false" ht="15" hidden="false" customHeight="true" outlineLevel="0" collapsed="false">
      <c r="A1033" s="167" t="s">
        <v>253</v>
      </c>
      <c r="B1033" s="167" t="s">
        <v>236</v>
      </c>
      <c r="C1033" s="167" t="n">
        <v>28</v>
      </c>
      <c r="D1033" s="167" t="str">
        <f aca="false">A1033&amp;" "&amp;B1033&amp;" "&amp;C1033</f>
        <v>Female AM 9015 28</v>
      </c>
      <c r="E1033" s="167" t="n">
        <v>7</v>
      </c>
      <c r="I1033" s="167" t="n">
        <v>3</v>
      </c>
    </row>
    <row r="1034" customFormat="false" ht="15" hidden="false" customHeight="true" outlineLevel="0" collapsed="false">
      <c r="A1034" s="167" t="s">
        <v>253</v>
      </c>
      <c r="B1034" s="167" t="s">
        <v>236</v>
      </c>
      <c r="C1034" s="167" t="n">
        <v>30</v>
      </c>
      <c r="D1034" s="167" t="str">
        <f aca="false">A1034&amp;" "&amp;B1034&amp;" "&amp;C1034</f>
        <v>Female AM 9015 30</v>
      </c>
      <c r="E1034" s="167" t="n">
        <v>7</v>
      </c>
      <c r="I1034" s="167" t="n">
        <v>3</v>
      </c>
    </row>
    <row r="1035" customFormat="false" ht="15" hidden="false" customHeight="true" outlineLevel="0" collapsed="false">
      <c r="A1035" s="167" t="s">
        <v>253</v>
      </c>
      <c r="B1035" s="167" t="s">
        <v>236</v>
      </c>
      <c r="C1035" s="167" t="n">
        <v>35</v>
      </c>
      <c r="D1035" s="167" t="str">
        <f aca="false">A1035&amp;" "&amp;B1035&amp;" "&amp;C1035</f>
        <v>Female AM 9015 35</v>
      </c>
      <c r="E1035" s="167" t="n">
        <v>5</v>
      </c>
      <c r="I1035" s="167" t="n">
        <v>1</v>
      </c>
    </row>
    <row r="1036" customFormat="false" ht="15" hidden="false" customHeight="true" outlineLevel="0" collapsed="false">
      <c r="A1036" s="167" t="s">
        <v>253</v>
      </c>
      <c r="B1036" s="167" t="s">
        <v>236</v>
      </c>
      <c r="C1036" s="167" t="n">
        <v>36</v>
      </c>
      <c r="D1036" s="167" t="str">
        <f aca="false">A1036&amp;" "&amp;B1036&amp;" "&amp;C1036</f>
        <v>Female AM 9015 36</v>
      </c>
      <c r="E1036" s="167" t="n">
        <v>5</v>
      </c>
      <c r="I1036" s="167" t="n">
        <v>1</v>
      </c>
    </row>
    <row r="1037" customFormat="false" ht="15" hidden="false" customHeight="true" outlineLevel="0" collapsed="false">
      <c r="A1037" s="167" t="s">
        <v>253</v>
      </c>
      <c r="B1037" s="167" t="s">
        <v>236</v>
      </c>
      <c r="C1037" s="167" t="n">
        <v>40</v>
      </c>
      <c r="D1037" s="167" t="str">
        <f aca="false">A1037&amp;" "&amp;B1037&amp;" "&amp;C1037</f>
        <v>Female AM 9015 40</v>
      </c>
      <c r="E1037" s="167" t="n">
        <v>5</v>
      </c>
      <c r="I1037" s="167" t="n">
        <v>1</v>
      </c>
    </row>
    <row r="1038" customFormat="false" ht="15" hidden="false" customHeight="true" outlineLevel="0" collapsed="false">
      <c r="A1038" s="167" t="s">
        <v>253</v>
      </c>
      <c r="B1038" s="167" t="s">
        <v>236</v>
      </c>
      <c r="C1038" s="167" t="n">
        <v>45</v>
      </c>
      <c r="D1038" s="167" t="str">
        <f aca="false">A1038&amp;" "&amp;B1038&amp;" "&amp;C1038</f>
        <v>Female AM 9015 45</v>
      </c>
      <c r="E1038" s="167" t="n">
        <v>5</v>
      </c>
      <c r="I1038" s="167" t="n">
        <v>1</v>
      </c>
    </row>
    <row r="1039" customFormat="false" ht="15" hidden="false" customHeight="true" outlineLevel="0" collapsed="false">
      <c r="A1039" s="167" t="s">
        <v>253</v>
      </c>
      <c r="B1039" s="167" t="s">
        <v>236</v>
      </c>
      <c r="C1039" s="167" t="n">
        <v>49</v>
      </c>
      <c r="D1039" s="167" t="str">
        <f aca="false">A1039&amp;" "&amp;B1039&amp;" "&amp;C1039</f>
        <v>Female AM 9015 49</v>
      </c>
      <c r="E1039" s="167" t="n">
        <v>5</v>
      </c>
      <c r="I1039" s="167" t="n">
        <v>1</v>
      </c>
    </row>
    <row r="1040" customFormat="false" ht="15" hidden="false" customHeight="true" outlineLevel="0" collapsed="false">
      <c r="A1040" s="167" t="s">
        <v>253</v>
      </c>
      <c r="B1040" s="167" t="s">
        <v>236</v>
      </c>
      <c r="C1040" s="167" t="n">
        <v>50</v>
      </c>
      <c r="D1040" s="167" t="str">
        <f aca="false">A1040&amp;" "&amp;B1040&amp;" "&amp;C1040</f>
        <v>Female AM 9015 50</v>
      </c>
      <c r="E1040" s="167" t="n">
        <v>5</v>
      </c>
      <c r="I1040" s="167" t="n">
        <v>1</v>
      </c>
    </row>
    <row r="1041" customFormat="false" ht="15" hidden="false" customHeight="true" outlineLevel="0" collapsed="false">
      <c r="A1041" s="167" t="s">
        <v>253</v>
      </c>
      <c r="B1041" s="167" t="s">
        <v>236</v>
      </c>
      <c r="C1041" s="167" t="n">
        <v>63</v>
      </c>
      <c r="D1041" s="167" t="str">
        <f aca="false">A1041&amp;" "&amp;B1041&amp;" "&amp;C1041</f>
        <v>Female AM 9015 63</v>
      </c>
      <c r="E1041" s="167" t="n">
        <v>5</v>
      </c>
      <c r="I1041" s="167" t="n">
        <v>1</v>
      </c>
    </row>
    <row r="1042" customFormat="false" ht="15" hidden="false" customHeight="true" outlineLevel="0" collapsed="false">
      <c r="A1042" s="167" t="s">
        <v>253</v>
      </c>
      <c r="B1042" s="167" t="s">
        <v>236</v>
      </c>
      <c r="C1042" s="167" t="n">
        <v>70</v>
      </c>
      <c r="D1042" s="167" t="str">
        <f aca="false">A1042&amp;" "&amp;B1042&amp;" "&amp;C1042</f>
        <v>Female AM 9015 70</v>
      </c>
      <c r="E1042" s="167" t="n">
        <v>4</v>
      </c>
      <c r="I1042" s="167" t="n">
        <v>1</v>
      </c>
    </row>
    <row r="1043" customFormat="false" ht="15" hidden="false" customHeight="true" outlineLevel="0" collapsed="false">
      <c r="A1043" s="167" t="s">
        <v>253</v>
      </c>
      <c r="B1043" s="167" t="s">
        <v>236</v>
      </c>
      <c r="C1043" s="167" t="n">
        <v>81</v>
      </c>
      <c r="D1043" s="167" t="str">
        <f aca="false">A1043&amp;" "&amp;B1043&amp;" "&amp;C1043</f>
        <v>Female AM 9015 81</v>
      </c>
      <c r="E1043" s="167" t="n">
        <v>4</v>
      </c>
      <c r="I1043" s="167" t="n">
        <v>1</v>
      </c>
    </row>
    <row r="1044" customFormat="false" ht="15" hidden="false" customHeight="true" outlineLevel="0" collapsed="false">
      <c r="A1044" s="167" t="s">
        <v>253</v>
      </c>
      <c r="B1044" s="167" t="s">
        <v>236</v>
      </c>
      <c r="C1044" s="167" t="n">
        <v>90</v>
      </c>
      <c r="D1044" s="167" t="str">
        <f aca="false">A1044&amp;" "&amp;B1044&amp;" "&amp;C1044</f>
        <v>Female AM 9015 90</v>
      </c>
      <c r="E1044" s="167" t="n">
        <v>3</v>
      </c>
      <c r="I1044" s="167" t="n">
        <v>1</v>
      </c>
    </row>
    <row r="1045" customFormat="false" ht="15" hidden="false" customHeight="true" outlineLevel="0" collapsed="false">
      <c r="A1045" s="167" t="s">
        <v>253</v>
      </c>
      <c r="B1045" s="167" t="s">
        <v>236</v>
      </c>
      <c r="C1045" s="167" t="n">
        <v>100</v>
      </c>
      <c r="D1045" s="167" t="str">
        <f aca="false">A1045&amp;" "&amp;B1045&amp;" "&amp;C1045</f>
        <v>Female AM 9015 100</v>
      </c>
      <c r="E1045" s="167" t="n">
        <v>3</v>
      </c>
      <c r="I1045" s="167" t="n">
        <v>0</v>
      </c>
    </row>
    <row r="1046" customFormat="false" ht="15" hidden="false" customHeight="true" outlineLevel="0" collapsed="false">
      <c r="A1046" s="167" t="s">
        <v>253</v>
      </c>
      <c r="B1046" s="167" t="s">
        <v>237</v>
      </c>
      <c r="C1046" s="167" t="n">
        <v>-3</v>
      </c>
      <c r="D1046" s="167" t="str">
        <f aca="false">A1046&amp;" "&amp;B1046&amp;" "&amp;C1046</f>
        <v>Female BB RS-550 -3</v>
      </c>
      <c r="E1046" s="167" t="n">
        <v>1</v>
      </c>
      <c r="F1046" s="167" t="n">
        <v>1</v>
      </c>
      <c r="G1046" s="167" t="n">
        <v>1</v>
      </c>
      <c r="H1046" s="167" t="n">
        <v>1</v>
      </c>
      <c r="I1046" s="167" t="n">
        <v>1</v>
      </c>
    </row>
    <row r="1047" customFormat="false" ht="15" hidden="false" customHeight="true" outlineLevel="0" collapsed="false">
      <c r="A1047" s="167" t="s">
        <v>253</v>
      </c>
      <c r="B1047" s="167" t="s">
        <v>237</v>
      </c>
      <c r="C1047" s="167" t="n">
        <v>-4</v>
      </c>
      <c r="D1047" s="167" t="str">
        <f aca="false">A1047&amp;" "&amp;B1047&amp;" "&amp;C1047</f>
        <v>Female BB RS-550 -4</v>
      </c>
      <c r="E1047" s="167" t="n">
        <v>1</v>
      </c>
      <c r="F1047" s="167" t="n">
        <v>1</v>
      </c>
      <c r="G1047" s="167" t="n">
        <v>1</v>
      </c>
      <c r="H1047" s="167" t="n">
        <v>1</v>
      </c>
      <c r="I1047" s="167" t="n">
        <v>1</v>
      </c>
    </row>
    <row r="1048" customFormat="false" ht="15" hidden="false" customHeight="true" outlineLevel="0" collapsed="false">
      <c r="A1048" s="167" t="s">
        <v>253</v>
      </c>
      <c r="B1048" s="167" t="s">
        <v>237</v>
      </c>
      <c r="C1048" s="167" t="n">
        <v>-5</v>
      </c>
      <c r="D1048" s="167" t="str">
        <f aca="false">A1048&amp;" "&amp;B1048&amp;" "&amp;C1048</f>
        <v>Female BB RS-550 -5</v>
      </c>
      <c r="E1048" s="167" t="n">
        <v>1</v>
      </c>
      <c r="F1048" s="167" t="n">
        <v>1</v>
      </c>
      <c r="G1048" s="167" t="n">
        <v>1</v>
      </c>
      <c r="H1048" s="167" t="n">
        <v>1</v>
      </c>
      <c r="I1048" s="167" t="n">
        <v>1</v>
      </c>
    </row>
    <row r="1049" customFormat="false" ht="15" hidden="false" customHeight="true" outlineLevel="0" collapsed="false">
      <c r="A1049" s="167" t="s">
        <v>253</v>
      </c>
      <c r="B1049" s="167" t="s">
        <v>237</v>
      </c>
      <c r="C1049" s="167" t="n">
        <v>-7</v>
      </c>
      <c r="D1049" s="167" t="str">
        <f aca="false">A1049&amp;" "&amp;B1049&amp;" "&amp;C1049</f>
        <v>Female BB RS-550 -7</v>
      </c>
      <c r="E1049" s="167" t="n">
        <v>1</v>
      </c>
      <c r="F1049" s="167" t="n">
        <v>1</v>
      </c>
      <c r="G1049" s="167" t="n">
        <v>1</v>
      </c>
      <c r="H1049" s="167" t="n">
        <v>0</v>
      </c>
      <c r="I1049" s="167" t="n">
        <v>1</v>
      </c>
    </row>
    <row r="1050" customFormat="false" ht="15" hidden="false" customHeight="true" outlineLevel="0" collapsed="false">
      <c r="A1050" s="167" t="s">
        <v>253</v>
      </c>
      <c r="B1050" s="167" t="s">
        <v>237</v>
      </c>
      <c r="C1050" s="167" t="n">
        <v>-9</v>
      </c>
      <c r="D1050" s="167" t="str">
        <f aca="false">A1050&amp;" "&amp;B1050&amp;" "&amp;C1050</f>
        <v>Female BB RS-550 -9</v>
      </c>
      <c r="E1050" s="167" t="n">
        <v>1</v>
      </c>
      <c r="F1050" s="167" t="n">
        <v>1</v>
      </c>
      <c r="G1050" s="167" t="n">
        <v>0</v>
      </c>
      <c r="H1050" s="167" t="n">
        <v>0</v>
      </c>
      <c r="I1050" s="167" t="n">
        <v>1</v>
      </c>
    </row>
    <row r="1051" customFormat="false" ht="15" hidden="false" customHeight="true" outlineLevel="0" collapsed="false">
      <c r="A1051" s="167" t="s">
        <v>253</v>
      </c>
      <c r="B1051" s="167" t="s">
        <v>237</v>
      </c>
      <c r="C1051" s="167" t="n">
        <v>-10</v>
      </c>
      <c r="D1051" s="167" t="str">
        <f aca="false">A1051&amp;" "&amp;B1051&amp;" "&amp;C1051</f>
        <v>Female BB RS-550 -10</v>
      </c>
      <c r="E1051" s="167" t="n">
        <v>1</v>
      </c>
      <c r="F1051" s="167" t="n">
        <v>1</v>
      </c>
      <c r="G1051" s="167" t="n">
        <v>0</v>
      </c>
      <c r="H1051" s="167" t="n">
        <v>0</v>
      </c>
      <c r="I1051" s="167" t="n">
        <v>1</v>
      </c>
    </row>
    <row r="1052" customFormat="false" ht="15" hidden="false" customHeight="true" outlineLevel="0" collapsed="false">
      <c r="A1052" s="167" t="s">
        <v>253</v>
      </c>
      <c r="B1052" s="167" t="s">
        <v>237</v>
      </c>
      <c r="C1052" s="167" t="n">
        <v>9</v>
      </c>
      <c r="D1052" s="167" t="str">
        <f aca="false">A1052&amp;" "&amp;B1052&amp;" "&amp;C1052</f>
        <v>Female BB RS-550 9</v>
      </c>
      <c r="E1052" s="167" t="n">
        <v>10</v>
      </c>
      <c r="F1052" s="167" t="n">
        <v>10</v>
      </c>
      <c r="G1052" s="167" t="n">
        <v>1</v>
      </c>
      <c r="H1052" s="167" t="n">
        <v>0</v>
      </c>
      <c r="I1052" s="167" t="n">
        <v>10</v>
      </c>
    </row>
    <row r="1053" customFormat="false" ht="15" hidden="false" customHeight="true" outlineLevel="0" collapsed="false">
      <c r="A1053" s="167" t="s">
        <v>253</v>
      </c>
      <c r="B1053" s="167" t="s">
        <v>237</v>
      </c>
      <c r="C1053" s="167" t="n">
        <v>12</v>
      </c>
      <c r="D1053" s="167" t="str">
        <f aca="false">A1053&amp;" "&amp;B1053&amp;" "&amp;C1053</f>
        <v>Female BB RS-550 12</v>
      </c>
      <c r="E1053" s="167" t="n">
        <v>10</v>
      </c>
      <c r="F1053" s="167" t="n">
        <v>7</v>
      </c>
      <c r="G1053" s="167" t="n">
        <v>0</v>
      </c>
      <c r="H1053" s="167" t="n">
        <v>0</v>
      </c>
      <c r="I1053" s="167" t="n">
        <v>7</v>
      </c>
    </row>
    <row r="1054" customFormat="false" ht="15" hidden="false" customHeight="true" outlineLevel="0" collapsed="false">
      <c r="A1054" s="167" t="s">
        <v>253</v>
      </c>
      <c r="B1054" s="167" t="s">
        <v>237</v>
      </c>
      <c r="C1054" s="167" t="n">
        <v>15</v>
      </c>
      <c r="D1054" s="167" t="str">
        <f aca="false">A1054&amp;" "&amp;B1054&amp;" "&amp;C1054</f>
        <v>Female BB RS-550 15</v>
      </c>
      <c r="E1054" s="167" t="n">
        <v>10</v>
      </c>
      <c r="F1054" s="167" t="n">
        <v>5</v>
      </c>
      <c r="G1054" s="167" t="n">
        <v>0</v>
      </c>
      <c r="H1054" s="167" t="n">
        <v>0</v>
      </c>
      <c r="I1054" s="167" t="n">
        <v>5</v>
      </c>
    </row>
    <row r="1055" customFormat="false" ht="15" hidden="false" customHeight="true" outlineLevel="0" collapsed="false">
      <c r="A1055" s="167" t="s">
        <v>253</v>
      </c>
      <c r="B1055" s="167" t="s">
        <v>237</v>
      </c>
      <c r="C1055" s="167" t="n">
        <v>16</v>
      </c>
      <c r="D1055" s="167" t="str">
        <f aca="false">A1055&amp;" "&amp;B1055&amp;" "&amp;C1055</f>
        <v>Female BB RS-550 16</v>
      </c>
      <c r="E1055" s="167" t="n">
        <v>10</v>
      </c>
      <c r="F1055" s="167" t="n">
        <v>5</v>
      </c>
      <c r="G1055" s="167" t="n">
        <v>0</v>
      </c>
      <c r="H1055" s="167" t="n">
        <v>0</v>
      </c>
      <c r="I1055" s="167" t="n">
        <v>5</v>
      </c>
    </row>
    <row r="1056" customFormat="false" ht="15" hidden="false" customHeight="true" outlineLevel="0" collapsed="false">
      <c r="A1056" s="167" t="s">
        <v>253</v>
      </c>
      <c r="B1056" s="167" t="s">
        <v>237</v>
      </c>
      <c r="C1056" s="167" t="n">
        <v>20</v>
      </c>
      <c r="D1056" s="167" t="str">
        <f aca="false">A1056&amp;" "&amp;B1056&amp;" "&amp;C1056</f>
        <v>Female BB RS-550 20</v>
      </c>
      <c r="E1056" s="167" t="n">
        <v>9</v>
      </c>
      <c r="F1056" s="167" t="n">
        <v>5</v>
      </c>
      <c r="G1056" s="167" t="n">
        <v>0</v>
      </c>
      <c r="H1056" s="167" t="n">
        <v>0</v>
      </c>
      <c r="I1056" s="167" t="n">
        <v>4</v>
      </c>
    </row>
    <row r="1057" customFormat="false" ht="15" hidden="false" customHeight="true" outlineLevel="0" collapsed="false">
      <c r="A1057" s="167" t="s">
        <v>253</v>
      </c>
      <c r="B1057" s="167" t="s">
        <v>237</v>
      </c>
      <c r="C1057" s="167" t="n">
        <v>21</v>
      </c>
      <c r="D1057" s="167" t="str">
        <f aca="false">A1057&amp;" "&amp;B1057&amp;" "&amp;C1057</f>
        <v>Female BB RS-550 21</v>
      </c>
      <c r="E1057" s="167" t="n">
        <v>9</v>
      </c>
      <c r="F1057" s="167" t="n">
        <v>5</v>
      </c>
      <c r="G1057" s="167" t="n">
        <v>0</v>
      </c>
      <c r="H1057" s="167" t="n">
        <v>0</v>
      </c>
      <c r="I1057" s="167" t="n">
        <v>4</v>
      </c>
    </row>
    <row r="1058" customFormat="false" ht="15" hidden="false" customHeight="true" outlineLevel="0" collapsed="false">
      <c r="A1058" s="167" t="s">
        <v>253</v>
      </c>
      <c r="B1058" s="167" t="s">
        <v>237</v>
      </c>
      <c r="C1058" s="167" t="n">
        <v>25</v>
      </c>
      <c r="D1058" s="167" t="str">
        <f aca="false">A1058&amp;" "&amp;B1058&amp;" "&amp;C1058</f>
        <v>Female BB RS-550 25</v>
      </c>
      <c r="E1058" s="167" t="n">
        <v>7</v>
      </c>
      <c r="F1058" s="167" t="n">
        <v>5</v>
      </c>
      <c r="G1058" s="167" t="n">
        <v>0</v>
      </c>
      <c r="H1058" s="167" t="n">
        <v>0</v>
      </c>
      <c r="I1058" s="167" t="n">
        <v>3</v>
      </c>
    </row>
    <row r="1059" customFormat="false" ht="15" hidden="false" customHeight="true" outlineLevel="0" collapsed="false">
      <c r="A1059" s="167" t="s">
        <v>253</v>
      </c>
      <c r="B1059" s="167" t="s">
        <v>237</v>
      </c>
      <c r="C1059" s="167" t="n">
        <v>27</v>
      </c>
      <c r="D1059" s="167" t="str">
        <f aca="false">A1059&amp;" "&amp;B1059&amp;" "&amp;C1059</f>
        <v>Female BB RS-550 27</v>
      </c>
      <c r="E1059" s="167" t="n">
        <v>7</v>
      </c>
      <c r="F1059" s="167" t="n">
        <v>5</v>
      </c>
      <c r="G1059" s="167" t="n">
        <v>0</v>
      </c>
      <c r="H1059" s="167" t="n">
        <v>0</v>
      </c>
      <c r="I1059" s="167" t="n">
        <v>3</v>
      </c>
    </row>
    <row r="1060" customFormat="false" ht="15" hidden="false" customHeight="true" outlineLevel="0" collapsed="false">
      <c r="A1060" s="167" t="s">
        <v>253</v>
      </c>
      <c r="B1060" s="167" t="s">
        <v>237</v>
      </c>
      <c r="C1060" s="167" t="n">
        <v>28</v>
      </c>
      <c r="D1060" s="167" t="str">
        <f aca="false">A1060&amp;" "&amp;B1060&amp;" "&amp;C1060</f>
        <v>Female BB RS-550 28</v>
      </c>
      <c r="E1060" s="167" t="n">
        <v>7</v>
      </c>
      <c r="F1060" s="167" t="n">
        <v>5</v>
      </c>
      <c r="G1060" s="167" t="n">
        <v>0</v>
      </c>
      <c r="H1060" s="167" t="n">
        <v>0</v>
      </c>
      <c r="I1060" s="167" t="n">
        <v>3</v>
      </c>
    </row>
    <row r="1061" customFormat="false" ht="15" hidden="false" customHeight="true" outlineLevel="0" collapsed="false">
      <c r="A1061" s="167" t="s">
        <v>253</v>
      </c>
      <c r="B1061" s="167" t="s">
        <v>237</v>
      </c>
      <c r="C1061" s="167" t="n">
        <v>30</v>
      </c>
      <c r="D1061" s="167" t="str">
        <f aca="false">A1061&amp;" "&amp;B1061&amp;" "&amp;C1061</f>
        <v>Female BB RS-550 30</v>
      </c>
      <c r="E1061" s="167" t="n">
        <v>5</v>
      </c>
      <c r="F1061" s="167" t="n">
        <v>5</v>
      </c>
      <c r="G1061" s="167" t="n">
        <v>0</v>
      </c>
      <c r="H1061" s="167" t="n">
        <v>0</v>
      </c>
      <c r="I1061" s="167" t="n">
        <v>3</v>
      </c>
    </row>
    <row r="1062" customFormat="false" ht="15" hidden="false" customHeight="true" outlineLevel="0" collapsed="false">
      <c r="A1062" s="167" t="s">
        <v>253</v>
      </c>
      <c r="B1062" s="167" t="s">
        <v>237</v>
      </c>
      <c r="C1062" s="167" t="n">
        <v>35</v>
      </c>
      <c r="D1062" s="167" t="str">
        <f aca="false">A1062&amp;" "&amp;B1062&amp;" "&amp;C1062</f>
        <v>Female BB RS-550 35</v>
      </c>
      <c r="E1062" s="167" t="n">
        <v>5</v>
      </c>
      <c r="F1062" s="167" t="n">
        <v>4</v>
      </c>
      <c r="G1062" s="167" t="n">
        <v>0</v>
      </c>
      <c r="H1062" s="167" t="n">
        <v>0</v>
      </c>
      <c r="I1062" s="167" t="n">
        <v>1</v>
      </c>
    </row>
    <row r="1063" customFormat="false" ht="15" hidden="false" customHeight="true" outlineLevel="0" collapsed="false">
      <c r="A1063" s="167" t="s">
        <v>253</v>
      </c>
      <c r="B1063" s="167" t="s">
        <v>237</v>
      </c>
      <c r="C1063" s="167" t="n">
        <v>36</v>
      </c>
      <c r="D1063" s="167" t="str">
        <f aca="false">A1063&amp;" "&amp;B1063&amp;" "&amp;C1063</f>
        <v>Female BB RS-550 36</v>
      </c>
      <c r="E1063" s="167" t="n">
        <v>5</v>
      </c>
      <c r="F1063" s="167" t="n">
        <v>4</v>
      </c>
      <c r="G1063" s="167" t="n">
        <v>0</v>
      </c>
      <c r="H1063" s="167" t="n">
        <v>0</v>
      </c>
      <c r="I1063" s="167" t="n">
        <v>1</v>
      </c>
    </row>
    <row r="1064" customFormat="false" ht="15" hidden="false" customHeight="true" outlineLevel="0" collapsed="false">
      <c r="A1064" s="167" t="s">
        <v>253</v>
      </c>
      <c r="B1064" s="167" t="s">
        <v>237</v>
      </c>
      <c r="C1064" s="167" t="n">
        <v>40</v>
      </c>
      <c r="D1064" s="167" t="str">
        <f aca="false">A1064&amp;" "&amp;B1064&amp;" "&amp;C1064</f>
        <v>Female BB RS-550 40</v>
      </c>
      <c r="E1064" s="167" t="n">
        <v>5</v>
      </c>
      <c r="F1064" s="167" t="n">
        <v>3</v>
      </c>
      <c r="G1064" s="167" t="n">
        <v>0</v>
      </c>
      <c r="H1064" s="167" t="n">
        <v>0</v>
      </c>
      <c r="I1064" s="167" t="n">
        <v>1</v>
      </c>
    </row>
    <row r="1065" customFormat="false" ht="15" hidden="false" customHeight="true" outlineLevel="0" collapsed="false">
      <c r="A1065" s="167" t="s">
        <v>253</v>
      </c>
      <c r="B1065" s="167" t="s">
        <v>237</v>
      </c>
      <c r="C1065" s="167" t="n">
        <v>45</v>
      </c>
      <c r="D1065" s="167" t="str">
        <f aca="false">A1065&amp;" "&amp;B1065&amp;" "&amp;C1065</f>
        <v>Female BB RS-550 45</v>
      </c>
      <c r="E1065" s="167" t="n">
        <v>5</v>
      </c>
      <c r="F1065" s="167" t="n">
        <v>3</v>
      </c>
      <c r="G1065" s="167" t="n">
        <v>0</v>
      </c>
      <c r="H1065" s="167" t="n">
        <v>0</v>
      </c>
      <c r="I1065" s="167" t="n">
        <v>1</v>
      </c>
    </row>
    <row r="1066" customFormat="false" ht="15" hidden="false" customHeight="true" outlineLevel="0" collapsed="false">
      <c r="A1066" s="167" t="s">
        <v>253</v>
      </c>
      <c r="B1066" s="167" t="s">
        <v>237</v>
      </c>
      <c r="C1066" s="167" t="n">
        <v>49</v>
      </c>
      <c r="D1066" s="167" t="str">
        <f aca="false">A1066&amp;" "&amp;B1066&amp;" "&amp;C1066</f>
        <v>Female BB RS-550 49</v>
      </c>
      <c r="E1066" s="167" t="n">
        <v>5</v>
      </c>
      <c r="F1066" s="167" t="n">
        <v>3</v>
      </c>
      <c r="G1066" s="167" t="n">
        <v>0</v>
      </c>
      <c r="H1066" s="167" t="n">
        <v>0</v>
      </c>
      <c r="I1066" s="167" t="n">
        <v>1</v>
      </c>
    </row>
    <row r="1067" customFormat="false" ht="15" hidden="false" customHeight="true" outlineLevel="0" collapsed="false">
      <c r="A1067" s="167" t="s">
        <v>253</v>
      </c>
      <c r="B1067" s="167" t="s">
        <v>237</v>
      </c>
      <c r="C1067" s="167" t="n">
        <v>50</v>
      </c>
      <c r="D1067" s="167" t="str">
        <f aca="false">A1067&amp;" "&amp;B1067&amp;" "&amp;C1067</f>
        <v>Female BB RS-550 50</v>
      </c>
      <c r="E1067" s="167" t="n">
        <v>5</v>
      </c>
      <c r="F1067" s="167" t="n">
        <v>3</v>
      </c>
      <c r="G1067" s="167" t="n">
        <v>0</v>
      </c>
      <c r="H1067" s="167" t="n">
        <v>0</v>
      </c>
      <c r="I1067" s="167" t="n">
        <v>1</v>
      </c>
    </row>
    <row r="1068" customFormat="false" ht="15" hidden="false" customHeight="true" outlineLevel="0" collapsed="false">
      <c r="A1068" s="167" t="s">
        <v>253</v>
      </c>
      <c r="B1068" s="167" t="s">
        <v>237</v>
      </c>
      <c r="C1068" s="167" t="n">
        <v>63</v>
      </c>
      <c r="D1068" s="167" t="str">
        <f aca="false">A1068&amp;" "&amp;B1068&amp;" "&amp;C1068</f>
        <v>Female BB RS-550 63</v>
      </c>
      <c r="E1068" s="167" t="n">
        <v>4</v>
      </c>
      <c r="F1068" s="167" t="n">
        <v>1</v>
      </c>
      <c r="G1068" s="167" t="n">
        <v>0</v>
      </c>
      <c r="H1068" s="167" t="n">
        <v>0</v>
      </c>
      <c r="I1068" s="167" t="n">
        <v>1</v>
      </c>
    </row>
    <row r="1069" customFormat="false" ht="15" hidden="false" customHeight="true" outlineLevel="0" collapsed="false">
      <c r="A1069" s="167" t="s">
        <v>253</v>
      </c>
      <c r="B1069" s="167" t="s">
        <v>237</v>
      </c>
      <c r="C1069" s="167" t="n">
        <v>70</v>
      </c>
      <c r="D1069" s="167" t="str">
        <f aca="false">A1069&amp;" "&amp;B1069&amp;" "&amp;C1069</f>
        <v>Female BB RS-550 70</v>
      </c>
      <c r="E1069" s="167" t="n">
        <v>4</v>
      </c>
      <c r="F1069" s="167" t="n">
        <v>1</v>
      </c>
      <c r="G1069" s="167" t="n">
        <v>0</v>
      </c>
      <c r="H1069" s="167" t="n">
        <v>0</v>
      </c>
      <c r="I1069" s="167" t="n">
        <v>1</v>
      </c>
    </row>
    <row r="1070" customFormat="false" ht="15" hidden="false" customHeight="true" outlineLevel="0" collapsed="false">
      <c r="A1070" s="167" t="s">
        <v>253</v>
      </c>
      <c r="B1070" s="167" t="s">
        <v>237</v>
      </c>
      <c r="C1070" s="167" t="n">
        <v>81</v>
      </c>
      <c r="D1070" s="167" t="str">
        <f aca="false">A1070&amp;" "&amp;B1070&amp;" "&amp;C1070</f>
        <v>Female BB RS-550 81</v>
      </c>
      <c r="E1070" s="167" t="n">
        <v>3</v>
      </c>
      <c r="F1070" s="167" t="n">
        <v>1</v>
      </c>
      <c r="G1070" s="167" t="n">
        <v>0</v>
      </c>
      <c r="H1070" s="167" t="n">
        <v>0</v>
      </c>
      <c r="I1070" s="167" t="n">
        <v>1</v>
      </c>
    </row>
    <row r="1071" customFormat="false" ht="15" hidden="false" customHeight="true" outlineLevel="0" collapsed="false">
      <c r="A1071" s="167" t="s">
        <v>253</v>
      </c>
      <c r="B1071" s="167" t="s">
        <v>237</v>
      </c>
      <c r="C1071" s="167" t="n">
        <v>90</v>
      </c>
      <c r="D1071" s="167" t="str">
        <f aca="false">A1071&amp;" "&amp;B1071&amp;" "&amp;C1071</f>
        <v>Female BB RS-550 90</v>
      </c>
      <c r="E1071" s="167" t="n">
        <v>3</v>
      </c>
      <c r="F1071" s="167" t="n">
        <v>1</v>
      </c>
      <c r="G1071" s="167" t="n">
        <v>0</v>
      </c>
      <c r="H1071" s="167" t="n">
        <v>0</v>
      </c>
      <c r="I1071" s="167" t="n">
        <v>1</v>
      </c>
    </row>
    <row r="1072" customFormat="false" ht="15" hidden="false" customHeight="true" outlineLevel="0" collapsed="false">
      <c r="A1072" s="167" t="s">
        <v>253</v>
      </c>
      <c r="B1072" s="167" t="s">
        <v>237</v>
      </c>
      <c r="C1072" s="167" t="n">
        <v>100</v>
      </c>
      <c r="D1072" s="167" t="str">
        <f aca="false">A1072&amp;" "&amp;B1072&amp;" "&amp;C1072</f>
        <v>Female BB RS-550 100</v>
      </c>
      <c r="E1072" s="167" t="n">
        <v>3</v>
      </c>
      <c r="F1072" s="167" t="n">
        <v>0</v>
      </c>
      <c r="G1072" s="167" t="n">
        <v>0</v>
      </c>
      <c r="H1072" s="167" t="n">
        <v>0</v>
      </c>
      <c r="I1072" s="167" t="n">
        <v>0</v>
      </c>
    </row>
    <row r="1073" customFormat="false" ht="15" hidden="false" customHeight="true" outlineLevel="0" collapsed="false">
      <c r="A1073" s="167" t="s">
        <v>253</v>
      </c>
      <c r="B1073" s="167" t="s">
        <v>239</v>
      </c>
      <c r="C1073" s="167" t="n">
        <v>-3</v>
      </c>
      <c r="D1073" s="167" t="str">
        <f aca="false">A1073&amp;" "&amp;B1073&amp;" "&amp;C1073</f>
        <v>Female BB RS-775 -3</v>
      </c>
      <c r="E1073" s="167" t="n">
        <v>1</v>
      </c>
      <c r="F1073" s="167" t="n">
        <v>1</v>
      </c>
      <c r="G1073" s="167" t="n">
        <v>1</v>
      </c>
      <c r="H1073" s="167" t="n">
        <v>0</v>
      </c>
      <c r="I1073" s="167" t="n">
        <v>1</v>
      </c>
    </row>
    <row r="1074" customFormat="false" ht="15" hidden="false" customHeight="true" outlineLevel="0" collapsed="false">
      <c r="A1074" s="167" t="s">
        <v>253</v>
      </c>
      <c r="B1074" s="167" t="s">
        <v>239</v>
      </c>
      <c r="C1074" s="167" t="n">
        <v>-4</v>
      </c>
      <c r="D1074" s="167" t="str">
        <f aca="false">A1074&amp;" "&amp;B1074&amp;" "&amp;C1074</f>
        <v>Female BB RS-775 -4</v>
      </c>
      <c r="E1074" s="167" t="n">
        <v>1</v>
      </c>
      <c r="F1074" s="167" t="n">
        <v>1</v>
      </c>
      <c r="G1074" s="167" t="n">
        <v>1</v>
      </c>
      <c r="H1074" s="167" t="n">
        <v>0</v>
      </c>
      <c r="I1074" s="167" t="n">
        <v>1</v>
      </c>
    </row>
    <row r="1075" customFormat="false" ht="15" hidden="false" customHeight="true" outlineLevel="0" collapsed="false">
      <c r="A1075" s="167" t="s">
        <v>253</v>
      </c>
      <c r="B1075" s="167" t="s">
        <v>239</v>
      </c>
      <c r="C1075" s="167" t="n">
        <v>-5</v>
      </c>
      <c r="D1075" s="167" t="str">
        <f aca="false">A1075&amp;" "&amp;B1075&amp;" "&amp;C1075</f>
        <v>Female BB RS-775 -5</v>
      </c>
      <c r="E1075" s="167" t="n">
        <v>1</v>
      </c>
      <c r="F1075" s="167" t="n">
        <v>1</v>
      </c>
      <c r="G1075" s="167" t="n">
        <v>1</v>
      </c>
      <c r="H1075" s="167" t="n">
        <v>0</v>
      </c>
      <c r="I1075" s="167" t="n">
        <v>1</v>
      </c>
    </row>
    <row r="1076" customFormat="false" ht="15" hidden="false" customHeight="true" outlineLevel="0" collapsed="false">
      <c r="A1076" s="167" t="s">
        <v>253</v>
      </c>
      <c r="B1076" s="167" t="s">
        <v>239</v>
      </c>
      <c r="C1076" s="167" t="n">
        <v>-7</v>
      </c>
      <c r="D1076" s="167" t="str">
        <f aca="false">A1076&amp;" "&amp;B1076&amp;" "&amp;C1076</f>
        <v>Female BB RS-775 -7</v>
      </c>
      <c r="E1076" s="167" t="n">
        <v>1</v>
      </c>
      <c r="F1076" s="167" t="n">
        <v>1</v>
      </c>
      <c r="G1076" s="167" t="n">
        <v>0</v>
      </c>
      <c r="H1076" s="167" t="n">
        <v>0</v>
      </c>
      <c r="I1076" s="167" t="n">
        <v>1</v>
      </c>
    </row>
    <row r="1077" customFormat="false" ht="15" hidden="false" customHeight="true" outlineLevel="0" collapsed="false">
      <c r="A1077" s="167" t="s">
        <v>253</v>
      </c>
      <c r="B1077" s="167" t="s">
        <v>239</v>
      </c>
      <c r="C1077" s="167" t="n">
        <v>-9</v>
      </c>
      <c r="D1077" s="167" t="str">
        <f aca="false">A1077&amp;" "&amp;B1077&amp;" "&amp;C1077</f>
        <v>Female BB RS-775 -9</v>
      </c>
      <c r="E1077" s="167" t="n">
        <v>1</v>
      </c>
      <c r="F1077" s="167" t="n">
        <v>1</v>
      </c>
      <c r="G1077" s="167" t="n">
        <v>0</v>
      </c>
      <c r="H1077" s="167" t="n">
        <v>0</v>
      </c>
      <c r="I1077" s="167" t="n">
        <v>1</v>
      </c>
    </row>
    <row r="1078" customFormat="false" ht="15" hidden="false" customHeight="true" outlineLevel="0" collapsed="false">
      <c r="A1078" s="167" t="s">
        <v>253</v>
      </c>
      <c r="B1078" s="167" t="s">
        <v>239</v>
      </c>
      <c r="C1078" s="167" t="n">
        <v>-10</v>
      </c>
      <c r="D1078" s="167" t="str">
        <f aca="false">A1078&amp;" "&amp;B1078&amp;" "&amp;C1078</f>
        <v>Female BB RS-775 -10</v>
      </c>
      <c r="E1078" s="167" t="n">
        <v>1</v>
      </c>
      <c r="F1078" s="167" t="n">
        <v>1</v>
      </c>
      <c r="G1078" s="167" t="n">
        <v>0</v>
      </c>
      <c r="H1078" s="167" t="n">
        <v>0</v>
      </c>
      <c r="I1078" s="167" t="n">
        <v>1</v>
      </c>
    </row>
    <row r="1079" customFormat="false" ht="15" hidden="false" customHeight="true" outlineLevel="0" collapsed="false">
      <c r="A1079" s="167" t="s">
        <v>253</v>
      </c>
      <c r="B1079" s="167" t="s">
        <v>239</v>
      </c>
      <c r="C1079" s="167" t="n">
        <v>9</v>
      </c>
      <c r="D1079" s="167" t="str">
        <f aca="false">A1079&amp;" "&amp;B1079&amp;" "&amp;C1079</f>
        <v>Female BB RS-775 9</v>
      </c>
      <c r="E1079" s="167" t="n">
        <v>10</v>
      </c>
      <c r="F1079" s="167" t="n">
        <v>5</v>
      </c>
      <c r="G1079" s="167" t="n">
        <v>0</v>
      </c>
      <c r="H1079" s="167" t="n">
        <v>0</v>
      </c>
      <c r="I1079" s="167" t="n">
        <v>10</v>
      </c>
    </row>
    <row r="1080" customFormat="false" ht="15" hidden="false" customHeight="true" outlineLevel="0" collapsed="false">
      <c r="A1080" s="167" t="s">
        <v>253</v>
      </c>
      <c r="B1080" s="167" t="s">
        <v>239</v>
      </c>
      <c r="C1080" s="167" t="n">
        <v>12</v>
      </c>
      <c r="D1080" s="167" t="str">
        <f aca="false">A1080&amp;" "&amp;B1080&amp;" "&amp;C1080</f>
        <v>Female BB RS-775 12</v>
      </c>
      <c r="E1080" s="167" t="n">
        <v>10</v>
      </c>
      <c r="F1080" s="167" t="n">
        <v>5</v>
      </c>
      <c r="G1080" s="167" t="n">
        <v>0</v>
      </c>
      <c r="H1080" s="167" t="n">
        <v>0</v>
      </c>
      <c r="I1080" s="167" t="n">
        <v>10</v>
      </c>
    </row>
    <row r="1081" customFormat="false" ht="15" hidden="false" customHeight="true" outlineLevel="0" collapsed="false">
      <c r="A1081" s="167" t="s">
        <v>253</v>
      </c>
      <c r="B1081" s="167" t="s">
        <v>239</v>
      </c>
      <c r="C1081" s="167" t="n">
        <v>15</v>
      </c>
      <c r="D1081" s="167" t="str">
        <f aca="false">A1081&amp;" "&amp;B1081&amp;" "&amp;C1081</f>
        <v>Female BB RS-775 15</v>
      </c>
      <c r="E1081" s="167" t="n">
        <v>10</v>
      </c>
      <c r="F1081" s="167" t="n">
        <v>5</v>
      </c>
      <c r="G1081" s="167" t="n">
        <v>0</v>
      </c>
      <c r="H1081" s="167" t="n">
        <v>0</v>
      </c>
      <c r="I1081" s="167" t="n">
        <v>7</v>
      </c>
    </row>
    <row r="1082" customFormat="false" ht="15" hidden="false" customHeight="true" outlineLevel="0" collapsed="false">
      <c r="A1082" s="167" t="s">
        <v>253</v>
      </c>
      <c r="B1082" s="167" t="s">
        <v>239</v>
      </c>
      <c r="C1082" s="167" t="n">
        <v>16</v>
      </c>
      <c r="D1082" s="167" t="str">
        <f aca="false">A1082&amp;" "&amp;B1082&amp;" "&amp;C1082</f>
        <v>Female BB RS-775 16</v>
      </c>
      <c r="E1082" s="167" t="n">
        <v>10</v>
      </c>
      <c r="F1082" s="167" t="n">
        <v>5</v>
      </c>
      <c r="G1082" s="167" t="n">
        <v>0</v>
      </c>
      <c r="H1082" s="167" t="n">
        <v>0</v>
      </c>
      <c r="I1082" s="167" t="n">
        <v>7</v>
      </c>
    </row>
    <row r="1083" customFormat="false" ht="15" hidden="false" customHeight="true" outlineLevel="0" collapsed="false">
      <c r="A1083" s="167" t="s">
        <v>253</v>
      </c>
      <c r="B1083" s="167" t="s">
        <v>239</v>
      </c>
      <c r="C1083" s="167" t="n">
        <v>20</v>
      </c>
      <c r="D1083" s="167" t="str">
        <f aca="false">A1083&amp;" "&amp;B1083&amp;" "&amp;C1083</f>
        <v>Female BB RS-775 20</v>
      </c>
      <c r="E1083" s="167" t="n">
        <v>10</v>
      </c>
      <c r="F1083" s="167" t="n">
        <v>4</v>
      </c>
      <c r="G1083" s="167" t="n">
        <v>0</v>
      </c>
      <c r="H1083" s="167" t="n">
        <v>0</v>
      </c>
      <c r="I1083" s="167" t="n">
        <v>5</v>
      </c>
    </row>
    <row r="1084" customFormat="false" ht="15" hidden="false" customHeight="true" outlineLevel="0" collapsed="false">
      <c r="A1084" s="167" t="s">
        <v>253</v>
      </c>
      <c r="B1084" s="167" t="s">
        <v>239</v>
      </c>
      <c r="C1084" s="167" t="n">
        <v>21</v>
      </c>
      <c r="D1084" s="167" t="str">
        <f aca="false">A1084&amp;" "&amp;B1084&amp;" "&amp;C1084</f>
        <v>Female BB RS-775 21</v>
      </c>
      <c r="E1084" s="167" t="n">
        <v>10</v>
      </c>
      <c r="F1084" s="167" t="n">
        <v>4</v>
      </c>
      <c r="G1084" s="167" t="n">
        <v>0</v>
      </c>
      <c r="H1084" s="167" t="n">
        <v>0</v>
      </c>
      <c r="I1084" s="167" t="n">
        <v>5</v>
      </c>
    </row>
    <row r="1085" customFormat="false" ht="15" hidden="false" customHeight="true" outlineLevel="0" collapsed="false">
      <c r="A1085" s="167" t="s">
        <v>253</v>
      </c>
      <c r="B1085" s="167" t="s">
        <v>239</v>
      </c>
      <c r="C1085" s="167" t="n">
        <v>25</v>
      </c>
      <c r="D1085" s="167" t="str">
        <f aca="false">A1085&amp;" "&amp;B1085&amp;" "&amp;C1085</f>
        <v>Female BB RS-775 25</v>
      </c>
      <c r="E1085" s="167" t="n">
        <v>7</v>
      </c>
      <c r="F1085" s="167" t="n">
        <v>3</v>
      </c>
      <c r="G1085" s="167" t="n">
        <v>0</v>
      </c>
      <c r="H1085" s="167" t="n">
        <v>0</v>
      </c>
      <c r="I1085" s="167" t="n">
        <v>5</v>
      </c>
    </row>
    <row r="1086" customFormat="false" ht="15" hidden="false" customHeight="true" outlineLevel="0" collapsed="false">
      <c r="A1086" s="167" t="s">
        <v>253</v>
      </c>
      <c r="B1086" s="167" t="s">
        <v>239</v>
      </c>
      <c r="C1086" s="167" t="n">
        <v>27</v>
      </c>
      <c r="D1086" s="167" t="str">
        <f aca="false">A1086&amp;" "&amp;B1086&amp;" "&amp;C1086</f>
        <v>Female BB RS-775 27</v>
      </c>
      <c r="E1086" s="167" t="n">
        <v>7</v>
      </c>
      <c r="F1086" s="167" t="n">
        <v>3</v>
      </c>
      <c r="G1086" s="167" t="n">
        <v>0</v>
      </c>
      <c r="H1086" s="167" t="n">
        <v>0</v>
      </c>
      <c r="I1086" s="167" t="n">
        <v>4</v>
      </c>
    </row>
    <row r="1087" customFormat="false" ht="15" hidden="false" customHeight="true" outlineLevel="0" collapsed="false">
      <c r="A1087" s="167" t="s">
        <v>253</v>
      </c>
      <c r="B1087" s="167" t="s">
        <v>239</v>
      </c>
      <c r="C1087" s="167" t="n">
        <v>28</v>
      </c>
      <c r="D1087" s="167" t="str">
        <f aca="false">A1087&amp;" "&amp;B1087&amp;" "&amp;C1087</f>
        <v>Female BB RS-775 28</v>
      </c>
      <c r="E1087" s="167" t="n">
        <v>7</v>
      </c>
      <c r="F1087" s="167" t="n">
        <v>3</v>
      </c>
      <c r="G1087" s="167" t="n">
        <v>0</v>
      </c>
      <c r="H1087" s="167" t="n">
        <v>0</v>
      </c>
      <c r="I1087" s="167" t="n">
        <v>4</v>
      </c>
    </row>
    <row r="1088" customFormat="false" ht="15" hidden="false" customHeight="true" outlineLevel="0" collapsed="false">
      <c r="A1088" s="167" t="s">
        <v>253</v>
      </c>
      <c r="B1088" s="167" t="s">
        <v>239</v>
      </c>
      <c r="C1088" s="167" t="n">
        <v>30</v>
      </c>
      <c r="D1088" s="167" t="str">
        <f aca="false">A1088&amp;" "&amp;B1088&amp;" "&amp;C1088</f>
        <v>Female BB RS-775 30</v>
      </c>
      <c r="E1088" s="167" t="n">
        <v>7</v>
      </c>
      <c r="F1088" s="167" t="n">
        <v>3</v>
      </c>
      <c r="G1088" s="167" t="n">
        <v>0</v>
      </c>
      <c r="H1088" s="167" t="n">
        <v>0</v>
      </c>
      <c r="I1088" s="167" t="n">
        <v>4</v>
      </c>
    </row>
    <row r="1089" customFormat="false" ht="15" hidden="false" customHeight="true" outlineLevel="0" collapsed="false">
      <c r="A1089" s="167" t="s">
        <v>253</v>
      </c>
      <c r="B1089" s="167" t="s">
        <v>239</v>
      </c>
      <c r="C1089" s="167" t="n">
        <v>35</v>
      </c>
      <c r="D1089" s="167" t="str">
        <f aca="false">A1089&amp;" "&amp;B1089&amp;" "&amp;C1089</f>
        <v>Female BB RS-775 35</v>
      </c>
      <c r="E1089" s="167" t="n">
        <v>5</v>
      </c>
      <c r="F1089" s="167" t="n">
        <v>1</v>
      </c>
      <c r="G1089" s="167" t="n">
        <v>0</v>
      </c>
      <c r="H1089" s="167" t="n">
        <v>0</v>
      </c>
      <c r="I1089" s="167" t="n">
        <v>3</v>
      </c>
    </row>
    <row r="1090" customFormat="false" ht="15" hidden="false" customHeight="true" outlineLevel="0" collapsed="false">
      <c r="A1090" s="167" t="s">
        <v>253</v>
      </c>
      <c r="B1090" s="167" t="s">
        <v>239</v>
      </c>
      <c r="C1090" s="167" t="n">
        <v>36</v>
      </c>
      <c r="D1090" s="167" t="str">
        <f aca="false">A1090&amp;" "&amp;B1090&amp;" "&amp;C1090</f>
        <v>Female BB RS-775 36</v>
      </c>
      <c r="E1090" s="167" t="n">
        <v>5</v>
      </c>
      <c r="F1090" s="167" t="n">
        <v>1</v>
      </c>
      <c r="G1090" s="167" t="n">
        <v>0</v>
      </c>
      <c r="H1090" s="167" t="n">
        <v>0</v>
      </c>
      <c r="I1090" s="167" t="n">
        <v>3</v>
      </c>
    </row>
    <row r="1091" customFormat="false" ht="15" hidden="false" customHeight="true" outlineLevel="0" collapsed="false">
      <c r="A1091" s="167" t="s">
        <v>253</v>
      </c>
      <c r="B1091" s="167" t="s">
        <v>239</v>
      </c>
      <c r="C1091" s="167" t="n">
        <v>40</v>
      </c>
      <c r="D1091" s="167" t="str">
        <f aca="false">A1091&amp;" "&amp;B1091&amp;" "&amp;C1091</f>
        <v>Female BB RS-775 40</v>
      </c>
      <c r="E1091" s="167" t="n">
        <v>5</v>
      </c>
      <c r="F1091" s="167" t="n">
        <v>1</v>
      </c>
      <c r="G1091" s="167" t="n">
        <v>0</v>
      </c>
      <c r="H1091" s="167" t="n">
        <v>0</v>
      </c>
      <c r="I1091" s="167" t="n">
        <v>3</v>
      </c>
    </row>
    <row r="1092" customFormat="false" ht="15" hidden="false" customHeight="true" outlineLevel="0" collapsed="false">
      <c r="A1092" s="167" t="s">
        <v>253</v>
      </c>
      <c r="B1092" s="167" t="s">
        <v>239</v>
      </c>
      <c r="C1092" s="167" t="n">
        <v>45</v>
      </c>
      <c r="D1092" s="167" t="str">
        <f aca="false">A1092&amp;" "&amp;B1092&amp;" "&amp;C1092</f>
        <v>Female BB RS-775 45</v>
      </c>
      <c r="E1092" s="167" t="n">
        <v>5</v>
      </c>
      <c r="F1092" s="167" t="n">
        <v>1</v>
      </c>
      <c r="G1092" s="167" t="n">
        <v>0</v>
      </c>
      <c r="H1092" s="167" t="n">
        <v>0</v>
      </c>
      <c r="I1092" s="167" t="n">
        <v>1</v>
      </c>
    </row>
    <row r="1093" customFormat="false" ht="15" hidden="false" customHeight="true" outlineLevel="0" collapsed="false">
      <c r="A1093" s="167" t="s">
        <v>253</v>
      </c>
      <c r="B1093" s="167" t="s">
        <v>239</v>
      </c>
      <c r="C1093" s="167" t="n">
        <v>49</v>
      </c>
      <c r="D1093" s="167" t="str">
        <f aca="false">A1093&amp;" "&amp;B1093&amp;" "&amp;C1093</f>
        <v>Female BB RS-775 49</v>
      </c>
      <c r="E1093" s="167" t="n">
        <v>5</v>
      </c>
      <c r="F1093" s="167" t="n">
        <v>1</v>
      </c>
      <c r="G1093" s="167" t="n">
        <v>0</v>
      </c>
      <c r="H1093" s="167" t="n">
        <v>0</v>
      </c>
      <c r="I1093" s="167" t="n">
        <v>1</v>
      </c>
    </row>
    <row r="1094" customFormat="false" ht="15" hidden="false" customHeight="true" outlineLevel="0" collapsed="false">
      <c r="A1094" s="167" t="s">
        <v>253</v>
      </c>
      <c r="B1094" s="167" t="s">
        <v>239</v>
      </c>
      <c r="C1094" s="167" t="n">
        <v>50</v>
      </c>
      <c r="D1094" s="167" t="str">
        <f aca="false">A1094&amp;" "&amp;B1094&amp;" "&amp;C1094</f>
        <v>Female BB RS-775 50</v>
      </c>
      <c r="E1094" s="167" t="n">
        <v>5</v>
      </c>
      <c r="F1094" s="167" t="n">
        <v>1</v>
      </c>
      <c r="G1094" s="167" t="n">
        <v>0</v>
      </c>
      <c r="H1094" s="167" t="n">
        <v>0</v>
      </c>
      <c r="I1094" s="167" t="n">
        <v>1</v>
      </c>
    </row>
    <row r="1095" customFormat="false" ht="15" hidden="false" customHeight="true" outlineLevel="0" collapsed="false">
      <c r="A1095" s="167" t="s">
        <v>253</v>
      </c>
      <c r="B1095" s="167" t="s">
        <v>239</v>
      </c>
      <c r="C1095" s="167" t="n">
        <v>63</v>
      </c>
      <c r="D1095" s="167" t="str">
        <f aca="false">A1095&amp;" "&amp;B1095&amp;" "&amp;C1095</f>
        <v>Female BB RS-775 63</v>
      </c>
      <c r="E1095" s="167" t="n">
        <v>5</v>
      </c>
      <c r="F1095" s="167" t="n">
        <v>0</v>
      </c>
      <c r="G1095" s="167" t="n">
        <v>0</v>
      </c>
      <c r="H1095" s="167" t="n">
        <v>0</v>
      </c>
      <c r="I1095" s="167" t="n">
        <v>1</v>
      </c>
    </row>
    <row r="1096" customFormat="false" ht="15" hidden="false" customHeight="true" outlineLevel="0" collapsed="false">
      <c r="A1096" s="167" t="s">
        <v>253</v>
      </c>
      <c r="B1096" s="167" t="s">
        <v>239</v>
      </c>
      <c r="C1096" s="167" t="n">
        <v>70</v>
      </c>
      <c r="D1096" s="167" t="str">
        <f aca="false">A1096&amp;" "&amp;B1096&amp;" "&amp;C1096</f>
        <v>Female BB RS-775 70</v>
      </c>
      <c r="E1096" s="167" t="n">
        <v>4</v>
      </c>
      <c r="F1096" s="167" t="n">
        <v>0</v>
      </c>
      <c r="G1096" s="167" t="n">
        <v>0</v>
      </c>
      <c r="H1096" s="167" t="n">
        <v>0</v>
      </c>
      <c r="I1096" s="167" t="n">
        <v>1</v>
      </c>
    </row>
    <row r="1097" customFormat="false" ht="15" hidden="false" customHeight="true" outlineLevel="0" collapsed="false">
      <c r="A1097" s="167" t="s">
        <v>253</v>
      </c>
      <c r="B1097" s="167" t="s">
        <v>239</v>
      </c>
      <c r="C1097" s="167" t="n">
        <v>81</v>
      </c>
      <c r="D1097" s="167" t="str">
        <f aca="false">A1097&amp;" "&amp;B1097&amp;" "&amp;C1097</f>
        <v>Female BB RS-775 81</v>
      </c>
      <c r="E1097" s="167" t="n">
        <v>4</v>
      </c>
      <c r="F1097" s="167" t="n">
        <v>0</v>
      </c>
      <c r="G1097" s="167" t="n">
        <v>0</v>
      </c>
      <c r="H1097" s="167" t="n">
        <v>0</v>
      </c>
      <c r="I1097" s="167" t="n">
        <v>1</v>
      </c>
    </row>
    <row r="1098" customFormat="false" ht="15" hidden="false" customHeight="true" outlineLevel="0" collapsed="false">
      <c r="A1098" s="167" t="s">
        <v>253</v>
      </c>
      <c r="B1098" s="167" t="s">
        <v>239</v>
      </c>
      <c r="C1098" s="167" t="n">
        <v>90</v>
      </c>
      <c r="D1098" s="167" t="str">
        <f aca="false">A1098&amp;" "&amp;B1098&amp;" "&amp;C1098</f>
        <v>Female BB RS-775 90</v>
      </c>
      <c r="E1098" s="167" t="n">
        <v>3</v>
      </c>
      <c r="F1098" s="167" t="n">
        <v>0</v>
      </c>
      <c r="G1098" s="167" t="n">
        <v>0</v>
      </c>
      <c r="H1098" s="167" t="n">
        <v>0</v>
      </c>
      <c r="I1098" s="167" t="n">
        <v>1</v>
      </c>
    </row>
    <row r="1099" customFormat="false" ht="15" hidden="false" customHeight="true" outlineLevel="0" collapsed="false">
      <c r="A1099" s="167" t="s">
        <v>253</v>
      </c>
      <c r="B1099" s="167" t="s">
        <v>239</v>
      </c>
      <c r="C1099" s="167" t="n">
        <v>100</v>
      </c>
      <c r="D1099" s="167" t="str">
        <f aca="false">A1099&amp;" "&amp;B1099&amp;" "&amp;C1099</f>
        <v>Female BB RS-775 100</v>
      </c>
      <c r="E1099" s="167" t="n">
        <v>3</v>
      </c>
      <c r="F1099" s="167" t="n">
        <v>0</v>
      </c>
      <c r="G1099" s="167" t="n">
        <v>0</v>
      </c>
      <c r="H1099" s="167" t="n">
        <v>0</v>
      </c>
      <c r="I1099" s="167" t="n">
        <v>1</v>
      </c>
    </row>
    <row r="1100" customFormat="false" ht="15" hidden="false" customHeight="true" outlineLevel="0" collapsed="false">
      <c r="A1100" s="167" t="s">
        <v>253</v>
      </c>
      <c r="B1100" s="167" t="s">
        <v>242</v>
      </c>
      <c r="C1100" s="167" t="n">
        <v>-3</v>
      </c>
      <c r="D1100" s="167" t="str">
        <f aca="false">A1100&amp;" "&amp;B1100&amp;" "&amp;C1100</f>
        <v>Female BAG Motor -3</v>
      </c>
      <c r="E1100" s="167" t="n">
        <v>1</v>
      </c>
      <c r="F1100" s="167" t="n">
        <v>1</v>
      </c>
      <c r="G1100" s="167" t="n">
        <v>1</v>
      </c>
      <c r="H1100" s="167" t="n">
        <v>0</v>
      </c>
      <c r="I1100" s="167" t="n">
        <v>1</v>
      </c>
    </row>
    <row r="1101" customFormat="false" ht="15" hidden="false" customHeight="true" outlineLevel="0" collapsed="false">
      <c r="A1101" s="167" t="s">
        <v>253</v>
      </c>
      <c r="B1101" s="167" t="s">
        <v>242</v>
      </c>
      <c r="C1101" s="167" t="n">
        <v>-4</v>
      </c>
      <c r="D1101" s="167" t="str">
        <f aca="false">A1101&amp;" "&amp;B1101&amp;" "&amp;C1101</f>
        <v>Female BAG Motor -4</v>
      </c>
      <c r="E1101" s="167" t="n">
        <v>1</v>
      </c>
      <c r="F1101" s="167" t="n">
        <v>1</v>
      </c>
      <c r="G1101" s="167" t="n">
        <v>1</v>
      </c>
      <c r="H1101" s="167" t="n">
        <v>0</v>
      </c>
      <c r="I1101" s="167" t="n">
        <v>1</v>
      </c>
    </row>
    <row r="1102" customFormat="false" ht="15" hidden="false" customHeight="true" outlineLevel="0" collapsed="false">
      <c r="A1102" s="167" t="s">
        <v>253</v>
      </c>
      <c r="B1102" s="167" t="s">
        <v>242</v>
      </c>
      <c r="C1102" s="167" t="n">
        <v>-5</v>
      </c>
      <c r="D1102" s="167" t="str">
        <f aca="false">A1102&amp;" "&amp;B1102&amp;" "&amp;C1102</f>
        <v>Female BAG Motor -5</v>
      </c>
      <c r="E1102" s="167" t="n">
        <v>1</v>
      </c>
      <c r="F1102" s="167" t="n">
        <v>1</v>
      </c>
      <c r="G1102" s="167" t="n">
        <v>1</v>
      </c>
      <c r="H1102" s="167" t="n">
        <v>0</v>
      </c>
      <c r="I1102" s="167" t="n">
        <v>1</v>
      </c>
    </row>
    <row r="1103" customFormat="false" ht="15" hidden="false" customHeight="true" outlineLevel="0" collapsed="false">
      <c r="A1103" s="167" t="s">
        <v>253</v>
      </c>
      <c r="B1103" s="167" t="s">
        <v>242</v>
      </c>
      <c r="C1103" s="167" t="n">
        <v>-7</v>
      </c>
      <c r="D1103" s="167" t="str">
        <f aca="false">A1103&amp;" "&amp;B1103&amp;" "&amp;C1103</f>
        <v>Female BAG Motor -7</v>
      </c>
      <c r="E1103" s="167" t="n">
        <v>1</v>
      </c>
      <c r="F1103" s="167" t="n">
        <v>1</v>
      </c>
      <c r="G1103" s="167" t="n">
        <v>1</v>
      </c>
      <c r="H1103" s="167" t="n">
        <v>0</v>
      </c>
      <c r="I1103" s="167" t="n">
        <v>1</v>
      </c>
    </row>
    <row r="1104" customFormat="false" ht="15" hidden="false" customHeight="true" outlineLevel="0" collapsed="false">
      <c r="A1104" s="167" t="s">
        <v>253</v>
      </c>
      <c r="B1104" s="167" t="s">
        <v>242</v>
      </c>
      <c r="C1104" s="167" t="n">
        <v>-9</v>
      </c>
      <c r="D1104" s="167" t="str">
        <f aca="false">A1104&amp;" "&amp;B1104&amp;" "&amp;C1104</f>
        <v>Female BAG Motor -9</v>
      </c>
      <c r="E1104" s="167" t="n">
        <v>1</v>
      </c>
      <c r="F1104" s="167" t="n">
        <v>1</v>
      </c>
      <c r="G1104" s="167" t="n">
        <v>0</v>
      </c>
      <c r="H1104" s="167" t="n">
        <v>0</v>
      </c>
      <c r="I1104" s="167" t="n">
        <v>1</v>
      </c>
    </row>
    <row r="1105" customFormat="false" ht="15" hidden="false" customHeight="true" outlineLevel="0" collapsed="false">
      <c r="A1105" s="167" t="s">
        <v>253</v>
      </c>
      <c r="B1105" s="167" t="s">
        <v>242</v>
      </c>
      <c r="C1105" s="167" t="n">
        <v>-10</v>
      </c>
      <c r="D1105" s="167" t="str">
        <f aca="false">A1105&amp;" "&amp;B1105&amp;" "&amp;C1105</f>
        <v>Female BAG Motor -10</v>
      </c>
      <c r="E1105" s="167" t="n">
        <v>1</v>
      </c>
      <c r="F1105" s="167" t="n">
        <v>1</v>
      </c>
      <c r="G1105" s="167" t="n">
        <v>0</v>
      </c>
      <c r="H1105" s="167" t="n">
        <v>0</v>
      </c>
      <c r="I1105" s="167" t="n">
        <v>1</v>
      </c>
    </row>
    <row r="1106" customFormat="false" ht="15" hidden="false" customHeight="true" outlineLevel="0" collapsed="false">
      <c r="A1106" s="167" t="s">
        <v>253</v>
      </c>
      <c r="B1106" s="167" t="s">
        <v>242</v>
      </c>
      <c r="C1106" s="167" t="n">
        <v>9</v>
      </c>
      <c r="D1106" s="167" t="str">
        <f aca="false">A1106&amp;" "&amp;B1106&amp;" "&amp;C1106</f>
        <v>Female BAG Motor 9</v>
      </c>
      <c r="E1106" s="167" t="n">
        <v>10</v>
      </c>
      <c r="F1106" s="167" t="n">
        <v>10</v>
      </c>
      <c r="G1106" s="167" t="n">
        <v>1</v>
      </c>
      <c r="H1106" s="167" t="n">
        <v>0</v>
      </c>
      <c r="I1106" s="167" t="n">
        <v>9</v>
      </c>
    </row>
    <row r="1107" customFormat="false" ht="15" hidden="false" customHeight="true" outlineLevel="0" collapsed="false">
      <c r="A1107" s="167" t="s">
        <v>253</v>
      </c>
      <c r="B1107" s="167" t="s">
        <v>242</v>
      </c>
      <c r="C1107" s="167" t="n">
        <v>12</v>
      </c>
      <c r="D1107" s="167" t="str">
        <f aca="false">A1107&amp;" "&amp;B1107&amp;" "&amp;C1107</f>
        <v>Female BAG Motor 12</v>
      </c>
      <c r="E1107" s="167" t="n">
        <v>10</v>
      </c>
      <c r="F1107" s="167" t="n">
        <v>9</v>
      </c>
      <c r="G1107" s="167" t="n">
        <v>1</v>
      </c>
      <c r="H1107" s="167" t="n">
        <v>0</v>
      </c>
      <c r="I1107" s="167" t="n">
        <v>5</v>
      </c>
    </row>
    <row r="1108" customFormat="false" ht="15" hidden="false" customHeight="true" outlineLevel="0" collapsed="false">
      <c r="A1108" s="167" t="s">
        <v>253</v>
      </c>
      <c r="B1108" s="167" t="s">
        <v>242</v>
      </c>
      <c r="C1108" s="167" t="n">
        <v>15</v>
      </c>
      <c r="D1108" s="167" t="str">
        <f aca="false">A1108&amp;" "&amp;B1108&amp;" "&amp;C1108</f>
        <v>Female BAG Motor 15</v>
      </c>
      <c r="E1108" s="167" t="n">
        <v>10</v>
      </c>
      <c r="F1108" s="167" t="n">
        <v>7</v>
      </c>
      <c r="G1108" s="167" t="n">
        <v>0</v>
      </c>
      <c r="H1108" s="167" t="n">
        <v>0</v>
      </c>
      <c r="I1108" s="167" t="n">
        <v>5</v>
      </c>
    </row>
    <row r="1109" customFormat="false" ht="15" hidden="false" customHeight="true" outlineLevel="0" collapsed="false">
      <c r="A1109" s="167" t="s">
        <v>253</v>
      </c>
      <c r="B1109" s="167" t="s">
        <v>242</v>
      </c>
      <c r="C1109" s="167" t="n">
        <v>16</v>
      </c>
      <c r="D1109" s="167" t="str">
        <f aca="false">A1109&amp;" "&amp;B1109&amp;" "&amp;C1109</f>
        <v>Female BAG Motor 16</v>
      </c>
      <c r="E1109" s="167" t="n">
        <v>10</v>
      </c>
      <c r="F1109" s="167" t="n">
        <v>5</v>
      </c>
      <c r="G1109" s="167" t="n">
        <v>0</v>
      </c>
      <c r="H1109" s="167" t="n">
        <v>0</v>
      </c>
      <c r="I1109" s="167" t="n">
        <v>5</v>
      </c>
    </row>
    <row r="1110" customFormat="false" ht="15" hidden="false" customHeight="true" outlineLevel="0" collapsed="false">
      <c r="A1110" s="167" t="s">
        <v>253</v>
      </c>
      <c r="B1110" s="167" t="s">
        <v>242</v>
      </c>
      <c r="C1110" s="167" t="n">
        <v>20</v>
      </c>
      <c r="D1110" s="167" t="str">
        <f aca="false">A1110&amp;" "&amp;B1110&amp;" "&amp;C1110</f>
        <v>Female BAG Motor 20</v>
      </c>
      <c r="E1110" s="167" t="n">
        <v>9</v>
      </c>
      <c r="F1110" s="167" t="n">
        <v>5</v>
      </c>
      <c r="G1110" s="167" t="n">
        <v>0</v>
      </c>
      <c r="H1110" s="167" t="n">
        <v>0</v>
      </c>
      <c r="I1110" s="167" t="n">
        <v>4</v>
      </c>
    </row>
    <row r="1111" customFormat="false" ht="15" hidden="false" customHeight="true" outlineLevel="0" collapsed="false">
      <c r="A1111" s="167" t="s">
        <v>253</v>
      </c>
      <c r="B1111" s="167" t="s">
        <v>242</v>
      </c>
      <c r="C1111" s="167" t="n">
        <v>21</v>
      </c>
      <c r="D1111" s="167" t="str">
        <f aca="false">A1111&amp;" "&amp;B1111&amp;" "&amp;C1111</f>
        <v>Female BAG Motor 21</v>
      </c>
      <c r="E1111" s="167" t="n">
        <v>9</v>
      </c>
      <c r="F1111" s="167" t="n">
        <v>5</v>
      </c>
      <c r="G1111" s="167" t="n">
        <v>0</v>
      </c>
      <c r="H1111" s="167" t="n">
        <v>0</v>
      </c>
      <c r="I1111" s="167" t="n">
        <v>3</v>
      </c>
    </row>
    <row r="1112" customFormat="false" ht="15" hidden="false" customHeight="true" outlineLevel="0" collapsed="false">
      <c r="A1112" s="167" t="s">
        <v>253</v>
      </c>
      <c r="B1112" s="167" t="s">
        <v>242</v>
      </c>
      <c r="C1112" s="167" t="n">
        <v>25</v>
      </c>
      <c r="D1112" s="167" t="str">
        <f aca="false">A1112&amp;" "&amp;B1112&amp;" "&amp;C1112</f>
        <v>Female BAG Motor 25</v>
      </c>
      <c r="E1112" s="167" t="n">
        <v>7</v>
      </c>
      <c r="F1112" s="167" t="n">
        <v>5</v>
      </c>
      <c r="G1112" s="167" t="n">
        <v>0</v>
      </c>
      <c r="H1112" s="167" t="n">
        <v>0</v>
      </c>
      <c r="I1112" s="167" t="n">
        <v>3</v>
      </c>
    </row>
    <row r="1113" customFormat="false" ht="15" hidden="false" customHeight="true" outlineLevel="0" collapsed="false">
      <c r="A1113" s="167" t="s">
        <v>253</v>
      </c>
      <c r="B1113" s="167" t="s">
        <v>242</v>
      </c>
      <c r="C1113" s="167" t="n">
        <v>27</v>
      </c>
      <c r="D1113" s="167" t="str">
        <f aca="false">A1113&amp;" "&amp;B1113&amp;" "&amp;C1113</f>
        <v>Female BAG Motor 27</v>
      </c>
      <c r="E1113" s="167" t="n">
        <v>7</v>
      </c>
      <c r="F1113" s="167" t="n">
        <v>5</v>
      </c>
      <c r="G1113" s="167" t="n">
        <v>0</v>
      </c>
      <c r="H1113" s="167" t="n">
        <v>0</v>
      </c>
      <c r="I1113" s="167" t="n">
        <v>3</v>
      </c>
    </row>
    <row r="1114" customFormat="false" ht="15" hidden="false" customHeight="true" outlineLevel="0" collapsed="false">
      <c r="A1114" s="167" t="s">
        <v>253</v>
      </c>
      <c r="B1114" s="167" t="s">
        <v>242</v>
      </c>
      <c r="C1114" s="167" t="n">
        <v>28</v>
      </c>
      <c r="D1114" s="167" t="str">
        <f aca="false">A1114&amp;" "&amp;B1114&amp;" "&amp;C1114</f>
        <v>Female BAG Motor 28</v>
      </c>
      <c r="E1114" s="167" t="n">
        <v>7</v>
      </c>
      <c r="F1114" s="167" t="n">
        <v>5</v>
      </c>
      <c r="G1114" s="167" t="n">
        <v>0</v>
      </c>
      <c r="H1114" s="167" t="n">
        <v>0</v>
      </c>
      <c r="I1114" s="167" t="n">
        <v>1</v>
      </c>
    </row>
    <row r="1115" customFormat="false" ht="15" hidden="false" customHeight="true" outlineLevel="0" collapsed="false">
      <c r="A1115" s="167" t="s">
        <v>253</v>
      </c>
      <c r="B1115" s="167" t="s">
        <v>242</v>
      </c>
      <c r="C1115" s="167" t="n">
        <v>30</v>
      </c>
      <c r="D1115" s="167" t="str">
        <f aca="false">A1115&amp;" "&amp;B1115&amp;" "&amp;C1115</f>
        <v>Female BAG Motor 30</v>
      </c>
      <c r="E1115" s="167" t="n">
        <v>5</v>
      </c>
      <c r="F1115" s="167" t="n">
        <v>5</v>
      </c>
      <c r="G1115" s="167" t="n">
        <v>0</v>
      </c>
      <c r="H1115" s="167" t="n">
        <v>0</v>
      </c>
      <c r="I1115" s="167" t="n">
        <v>1</v>
      </c>
    </row>
    <row r="1116" customFormat="false" ht="15" hidden="false" customHeight="true" outlineLevel="0" collapsed="false">
      <c r="A1116" s="167" t="s">
        <v>253</v>
      </c>
      <c r="B1116" s="167" t="s">
        <v>242</v>
      </c>
      <c r="C1116" s="167" t="n">
        <v>35</v>
      </c>
      <c r="D1116" s="167" t="str">
        <f aca="false">A1116&amp;" "&amp;B1116&amp;" "&amp;C1116</f>
        <v>Female BAG Motor 35</v>
      </c>
      <c r="E1116" s="167" t="n">
        <v>5</v>
      </c>
      <c r="F1116" s="167" t="n">
        <v>4</v>
      </c>
      <c r="G1116" s="167" t="n">
        <v>0</v>
      </c>
      <c r="H1116" s="167" t="n">
        <v>0</v>
      </c>
      <c r="I1116" s="167" t="n">
        <v>1</v>
      </c>
    </row>
    <row r="1117" customFormat="false" ht="15" hidden="false" customHeight="true" outlineLevel="0" collapsed="false">
      <c r="A1117" s="167" t="s">
        <v>253</v>
      </c>
      <c r="B1117" s="167" t="s">
        <v>242</v>
      </c>
      <c r="C1117" s="167" t="n">
        <v>36</v>
      </c>
      <c r="D1117" s="167" t="str">
        <f aca="false">A1117&amp;" "&amp;B1117&amp;" "&amp;C1117</f>
        <v>Female BAG Motor 36</v>
      </c>
      <c r="E1117" s="167" t="n">
        <v>5</v>
      </c>
      <c r="F1117" s="167" t="n">
        <v>4</v>
      </c>
      <c r="G1117" s="167" t="n">
        <v>0</v>
      </c>
      <c r="H1117" s="167" t="n">
        <v>0</v>
      </c>
      <c r="I1117" s="167" t="n">
        <v>1</v>
      </c>
    </row>
    <row r="1118" customFormat="false" ht="15" hidden="false" customHeight="true" outlineLevel="0" collapsed="false">
      <c r="A1118" s="167" t="s">
        <v>253</v>
      </c>
      <c r="B1118" s="167" t="s">
        <v>242</v>
      </c>
      <c r="C1118" s="167" t="n">
        <v>40</v>
      </c>
      <c r="D1118" s="167" t="str">
        <f aca="false">A1118&amp;" "&amp;B1118&amp;" "&amp;C1118</f>
        <v>Female BAG Motor 40</v>
      </c>
      <c r="E1118" s="167" t="n">
        <v>5</v>
      </c>
      <c r="F1118" s="167" t="n">
        <v>4</v>
      </c>
      <c r="G1118" s="167" t="n">
        <v>0</v>
      </c>
      <c r="H1118" s="167" t="n">
        <v>0</v>
      </c>
      <c r="I1118" s="167" t="n">
        <v>1</v>
      </c>
    </row>
    <row r="1119" customFormat="false" ht="15" hidden="false" customHeight="true" outlineLevel="0" collapsed="false">
      <c r="A1119" s="167" t="s">
        <v>253</v>
      </c>
      <c r="B1119" s="167" t="s">
        <v>242</v>
      </c>
      <c r="C1119" s="167" t="n">
        <v>45</v>
      </c>
      <c r="D1119" s="167" t="str">
        <f aca="false">A1119&amp;" "&amp;B1119&amp;" "&amp;C1119</f>
        <v>Female BAG Motor 45</v>
      </c>
      <c r="E1119" s="167" t="n">
        <v>5</v>
      </c>
      <c r="F1119" s="167" t="n">
        <v>3</v>
      </c>
      <c r="G1119" s="167" t="n">
        <v>0</v>
      </c>
      <c r="H1119" s="167" t="n">
        <v>0</v>
      </c>
      <c r="I1119" s="167" t="n">
        <v>1</v>
      </c>
    </row>
    <row r="1120" customFormat="false" ht="15" hidden="false" customHeight="true" outlineLevel="0" collapsed="false">
      <c r="A1120" s="167" t="s">
        <v>253</v>
      </c>
      <c r="B1120" s="167" t="s">
        <v>242</v>
      </c>
      <c r="C1120" s="167" t="n">
        <v>49</v>
      </c>
      <c r="D1120" s="167" t="str">
        <f aca="false">A1120&amp;" "&amp;B1120&amp;" "&amp;C1120</f>
        <v>Female BAG Motor 49</v>
      </c>
      <c r="E1120" s="167" t="n">
        <v>5</v>
      </c>
      <c r="F1120" s="167" t="n">
        <v>3</v>
      </c>
      <c r="G1120" s="167" t="n">
        <v>0</v>
      </c>
      <c r="H1120" s="167" t="n">
        <v>0</v>
      </c>
      <c r="I1120" s="167" t="n">
        <v>1</v>
      </c>
    </row>
    <row r="1121" customFormat="false" ht="15" hidden="false" customHeight="true" outlineLevel="0" collapsed="false">
      <c r="A1121" s="167" t="s">
        <v>253</v>
      </c>
      <c r="B1121" s="167" t="s">
        <v>242</v>
      </c>
      <c r="C1121" s="167" t="n">
        <v>50</v>
      </c>
      <c r="D1121" s="167" t="str">
        <f aca="false">A1121&amp;" "&amp;B1121&amp;" "&amp;C1121</f>
        <v>Female BAG Motor 50</v>
      </c>
      <c r="E1121" s="167" t="n">
        <v>5</v>
      </c>
      <c r="F1121" s="167" t="n">
        <v>3</v>
      </c>
      <c r="G1121" s="167" t="n">
        <v>0</v>
      </c>
      <c r="H1121" s="167" t="n">
        <v>0</v>
      </c>
      <c r="I1121" s="167" t="n">
        <v>1</v>
      </c>
    </row>
    <row r="1122" customFormat="false" ht="15" hidden="false" customHeight="true" outlineLevel="0" collapsed="false">
      <c r="A1122" s="167" t="s">
        <v>253</v>
      </c>
      <c r="B1122" s="167" t="s">
        <v>242</v>
      </c>
      <c r="C1122" s="167" t="n">
        <v>63</v>
      </c>
      <c r="D1122" s="167" t="str">
        <f aca="false">A1122&amp;" "&amp;B1122&amp;" "&amp;C1122</f>
        <v>Female BAG Motor 63</v>
      </c>
      <c r="E1122" s="167" t="n">
        <v>4</v>
      </c>
      <c r="F1122" s="167" t="n">
        <v>1</v>
      </c>
      <c r="G1122" s="167" t="n">
        <v>0</v>
      </c>
      <c r="H1122" s="167" t="n">
        <v>0</v>
      </c>
      <c r="I1122" s="167" t="n">
        <v>1</v>
      </c>
    </row>
    <row r="1123" customFormat="false" ht="15" hidden="false" customHeight="true" outlineLevel="0" collapsed="false">
      <c r="A1123" s="167" t="s">
        <v>253</v>
      </c>
      <c r="B1123" s="167" t="s">
        <v>242</v>
      </c>
      <c r="C1123" s="167" t="n">
        <v>70</v>
      </c>
      <c r="D1123" s="167" t="str">
        <f aca="false">A1123&amp;" "&amp;B1123&amp;" "&amp;C1123</f>
        <v>Female BAG Motor 70</v>
      </c>
      <c r="E1123" s="167" t="n">
        <v>4</v>
      </c>
      <c r="F1123" s="167" t="n">
        <v>1</v>
      </c>
      <c r="G1123" s="167" t="n">
        <v>0</v>
      </c>
      <c r="H1123" s="167" t="n">
        <v>0</v>
      </c>
      <c r="I1123" s="167" t="n">
        <v>1</v>
      </c>
    </row>
    <row r="1124" customFormat="false" ht="15" hidden="false" customHeight="true" outlineLevel="0" collapsed="false">
      <c r="A1124" s="167" t="s">
        <v>253</v>
      </c>
      <c r="B1124" s="167" t="s">
        <v>242</v>
      </c>
      <c r="C1124" s="167" t="n">
        <v>81</v>
      </c>
      <c r="D1124" s="167" t="str">
        <f aca="false">A1124&amp;" "&amp;B1124&amp;" "&amp;C1124</f>
        <v>Female BAG Motor 81</v>
      </c>
      <c r="E1124" s="167" t="n">
        <v>3</v>
      </c>
      <c r="F1124" s="167" t="n">
        <v>1</v>
      </c>
      <c r="G1124" s="167" t="n">
        <v>0</v>
      </c>
      <c r="H1124" s="167" t="n">
        <v>0</v>
      </c>
      <c r="I1124" s="167" t="n">
        <v>1</v>
      </c>
    </row>
    <row r="1125" customFormat="false" ht="15" hidden="false" customHeight="true" outlineLevel="0" collapsed="false">
      <c r="A1125" s="167" t="s">
        <v>253</v>
      </c>
      <c r="B1125" s="167" t="s">
        <v>242</v>
      </c>
      <c r="C1125" s="167" t="n">
        <v>90</v>
      </c>
      <c r="D1125" s="167" t="str">
        <f aca="false">A1125&amp;" "&amp;B1125&amp;" "&amp;C1125</f>
        <v>Female BAG Motor 90</v>
      </c>
      <c r="E1125" s="167" t="n">
        <v>3</v>
      </c>
      <c r="F1125" s="167" t="n">
        <v>1</v>
      </c>
      <c r="G1125" s="167" t="n">
        <v>0</v>
      </c>
      <c r="H1125" s="167" t="n">
        <v>0</v>
      </c>
      <c r="I1125" s="167" t="n">
        <v>0</v>
      </c>
    </row>
    <row r="1126" customFormat="false" ht="15" hidden="false" customHeight="true" outlineLevel="0" collapsed="false">
      <c r="A1126" s="167" t="s">
        <v>253</v>
      </c>
      <c r="B1126" s="167" t="s">
        <v>242</v>
      </c>
      <c r="C1126" s="167" t="n">
        <v>100</v>
      </c>
      <c r="D1126" s="167" t="str">
        <f aca="false">A1126&amp;" "&amp;B1126&amp;" "&amp;C1126</f>
        <v>Female BAG Motor 100</v>
      </c>
      <c r="E1126" s="167" t="n">
        <v>3</v>
      </c>
      <c r="F1126" s="167" t="n">
        <v>1</v>
      </c>
      <c r="G1126" s="167" t="n">
        <v>0</v>
      </c>
      <c r="H1126" s="167" t="n">
        <v>0</v>
      </c>
      <c r="I1126" s="167" t="n">
        <v>0</v>
      </c>
    </row>
    <row r="1127" customFormat="false" ht="15" hidden="false" customHeight="true" outlineLevel="0" collapsed="false">
      <c r="A1127" s="167" t="s">
        <v>253</v>
      </c>
      <c r="B1127" s="167" t="s">
        <v>41</v>
      </c>
      <c r="C1127" s="167" t="n">
        <v>-3</v>
      </c>
      <c r="D1127" s="167" t="str">
        <f aca="false">A1127&amp;" "&amp;B1127&amp;" "&amp;C1127</f>
        <v>Female 775pro -3</v>
      </c>
      <c r="E1127" s="167" t="n">
        <v>1</v>
      </c>
      <c r="F1127" s="167" t="n">
        <v>1</v>
      </c>
      <c r="G1127" s="167" t="n">
        <v>1</v>
      </c>
      <c r="H1127" s="167" t="n">
        <v>0</v>
      </c>
      <c r="I1127" s="167" t="n">
        <v>1</v>
      </c>
    </row>
    <row r="1128" customFormat="false" ht="15" hidden="false" customHeight="true" outlineLevel="0" collapsed="false">
      <c r="A1128" s="167" t="s">
        <v>253</v>
      </c>
      <c r="B1128" s="167" t="s">
        <v>41</v>
      </c>
      <c r="C1128" s="167" t="n">
        <v>-4</v>
      </c>
      <c r="D1128" s="167" t="str">
        <f aca="false">A1128&amp;" "&amp;B1128&amp;" "&amp;C1128</f>
        <v>Female 775pro -4</v>
      </c>
      <c r="E1128" s="167" t="n">
        <v>1</v>
      </c>
      <c r="F1128" s="167" t="n">
        <v>1</v>
      </c>
      <c r="G1128" s="167" t="n">
        <v>1</v>
      </c>
      <c r="H1128" s="167" t="n">
        <v>0</v>
      </c>
      <c r="I1128" s="167" t="n">
        <v>1</v>
      </c>
    </row>
    <row r="1129" customFormat="false" ht="15" hidden="false" customHeight="true" outlineLevel="0" collapsed="false">
      <c r="A1129" s="167" t="s">
        <v>253</v>
      </c>
      <c r="B1129" s="167" t="s">
        <v>41</v>
      </c>
      <c r="C1129" s="167" t="n">
        <v>-5</v>
      </c>
      <c r="D1129" s="167" t="str">
        <f aca="false">A1129&amp;" "&amp;B1129&amp;" "&amp;C1129</f>
        <v>Female 775pro -5</v>
      </c>
      <c r="E1129" s="167" t="n">
        <v>1</v>
      </c>
      <c r="F1129" s="167" t="n">
        <v>1</v>
      </c>
      <c r="G1129" s="167" t="n">
        <v>1</v>
      </c>
      <c r="H1129" s="167" t="n">
        <v>0</v>
      </c>
      <c r="I1129" s="167" t="n">
        <v>1</v>
      </c>
    </row>
    <row r="1130" customFormat="false" ht="15" hidden="false" customHeight="true" outlineLevel="0" collapsed="false">
      <c r="A1130" s="167" t="s">
        <v>253</v>
      </c>
      <c r="B1130" s="167" t="s">
        <v>41</v>
      </c>
      <c r="C1130" s="167" t="n">
        <v>-7</v>
      </c>
      <c r="D1130" s="167" t="str">
        <f aca="false">A1130&amp;" "&amp;B1130&amp;" "&amp;C1130</f>
        <v>Female 775pro -7</v>
      </c>
      <c r="E1130" s="167" t="n">
        <v>1</v>
      </c>
      <c r="F1130" s="167" t="n">
        <v>1</v>
      </c>
      <c r="G1130" s="167" t="n">
        <v>0</v>
      </c>
      <c r="H1130" s="167" t="n">
        <v>0</v>
      </c>
      <c r="I1130" s="167" t="n">
        <v>1</v>
      </c>
    </row>
    <row r="1131" customFormat="false" ht="15" hidden="false" customHeight="true" outlineLevel="0" collapsed="false">
      <c r="A1131" s="167" t="s">
        <v>253</v>
      </c>
      <c r="B1131" s="167" t="s">
        <v>41</v>
      </c>
      <c r="C1131" s="167" t="n">
        <v>-9</v>
      </c>
      <c r="D1131" s="167" t="str">
        <f aca="false">A1131&amp;" "&amp;B1131&amp;" "&amp;C1131</f>
        <v>Female 775pro -9</v>
      </c>
      <c r="E1131" s="167" t="n">
        <v>1</v>
      </c>
      <c r="F1131" s="167" t="n">
        <v>1</v>
      </c>
      <c r="G1131" s="167" t="n">
        <v>0</v>
      </c>
      <c r="H1131" s="167" t="n">
        <v>0</v>
      </c>
      <c r="I1131" s="167" t="n">
        <v>1</v>
      </c>
    </row>
    <row r="1132" customFormat="false" ht="15" hidden="false" customHeight="true" outlineLevel="0" collapsed="false">
      <c r="A1132" s="167" t="s">
        <v>253</v>
      </c>
      <c r="B1132" s="167" t="s">
        <v>41</v>
      </c>
      <c r="C1132" s="167" t="n">
        <v>-10</v>
      </c>
      <c r="D1132" s="167" t="str">
        <f aca="false">A1132&amp;" "&amp;B1132&amp;" "&amp;C1132</f>
        <v>Female 775pro -10</v>
      </c>
      <c r="E1132" s="167" t="n">
        <v>1</v>
      </c>
      <c r="F1132" s="167" t="n">
        <v>1</v>
      </c>
      <c r="G1132" s="167" t="n">
        <v>0</v>
      </c>
      <c r="H1132" s="167" t="n">
        <v>0</v>
      </c>
      <c r="I1132" s="167" t="n">
        <v>1</v>
      </c>
    </row>
    <row r="1133" customFormat="false" ht="15" hidden="false" customHeight="true" outlineLevel="0" collapsed="false">
      <c r="A1133" s="167" t="s">
        <v>253</v>
      </c>
      <c r="B1133" s="167" t="s">
        <v>41</v>
      </c>
      <c r="C1133" s="167" t="n">
        <v>9</v>
      </c>
      <c r="D1133" s="167" t="str">
        <f aca="false">A1133&amp;" "&amp;B1133&amp;" "&amp;C1133</f>
        <v>Female 775pro 9</v>
      </c>
      <c r="E1133" s="167" t="n">
        <v>10</v>
      </c>
      <c r="F1133" s="167" t="n">
        <v>7</v>
      </c>
      <c r="G1133" s="167" t="n">
        <v>0</v>
      </c>
      <c r="H1133" s="167" t="n">
        <v>0</v>
      </c>
      <c r="I1133" s="167" t="n">
        <v>5</v>
      </c>
    </row>
    <row r="1134" customFormat="false" ht="15" hidden="false" customHeight="true" outlineLevel="0" collapsed="false">
      <c r="A1134" s="167" t="s">
        <v>253</v>
      </c>
      <c r="B1134" s="167" t="s">
        <v>41</v>
      </c>
      <c r="C1134" s="167" t="n">
        <v>12</v>
      </c>
      <c r="D1134" s="167" t="str">
        <f aca="false">A1134&amp;" "&amp;B1134&amp;" "&amp;C1134</f>
        <v>Female 775pro 12</v>
      </c>
      <c r="E1134" s="167" t="n">
        <v>10</v>
      </c>
      <c r="F1134" s="167" t="n">
        <v>5</v>
      </c>
      <c r="G1134" s="167" t="n">
        <v>0</v>
      </c>
      <c r="H1134" s="167" t="n">
        <v>0</v>
      </c>
      <c r="I1134" s="167" t="n">
        <v>4</v>
      </c>
    </row>
    <row r="1135" customFormat="false" ht="15" hidden="false" customHeight="true" outlineLevel="0" collapsed="false">
      <c r="A1135" s="167" t="s">
        <v>253</v>
      </c>
      <c r="B1135" s="167" t="s">
        <v>41</v>
      </c>
      <c r="C1135" s="167" t="n">
        <v>15</v>
      </c>
      <c r="D1135" s="167" t="str">
        <f aca="false">A1135&amp;" "&amp;B1135&amp;" "&amp;C1135</f>
        <v>Female 775pro 15</v>
      </c>
      <c r="E1135" s="167" t="n">
        <v>9</v>
      </c>
      <c r="F1135" s="167" t="n">
        <v>5</v>
      </c>
      <c r="G1135" s="167" t="n">
        <v>0</v>
      </c>
      <c r="H1135" s="167" t="n">
        <v>0</v>
      </c>
      <c r="I1135" s="167" t="n">
        <v>3</v>
      </c>
    </row>
    <row r="1136" customFormat="false" ht="15" hidden="false" customHeight="true" outlineLevel="0" collapsed="false">
      <c r="A1136" s="167" t="s">
        <v>253</v>
      </c>
      <c r="B1136" s="167" t="s">
        <v>41</v>
      </c>
      <c r="C1136" s="167" t="n">
        <v>16</v>
      </c>
      <c r="D1136" s="167" t="str">
        <f aca="false">A1136&amp;" "&amp;B1136&amp;" "&amp;C1136</f>
        <v>Female 775pro 16</v>
      </c>
      <c r="E1136" s="167" t="n">
        <v>7</v>
      </c>
      <c r="F1136" s="167" t="n">
        <v>5</v>
      </c>
      <c r="G1136" s="167" t="n">
        <v>0</v>
      </c>
      <c r="H1136" s="167" t="n">
        <v>0</v>
      </c>
      <c r="I1136" s="167" t="n">
        <v>3</v>
      </c>
    </row>
    <row r="1137" customFormat="false" ht="15" hidden="false" customHeight="true" outlineLevel="0" collapsed="false">
      <c r="A1137" s="167" t="s">
        <v>253</v>
      </c>
      <c r="B1137" s="167" t="s">
        <v>41</v>
      </c>
      <c r="C1137" s="167" t="n">
        <v>20</v>
      </c>
      <c r="D1137" s="167" t="str">
        <f aca="false">A1137&amp;" "&amp;B1137&amp;" "&amp;C1137</f>
        <v>Female 775pro 20</v>
      </c>
      <c r="E1137" s="167" t="n">
        <v>5</v>
      </c>
      <c r="F1137" s="167" t="n">
        <v>5</v>
      </c>
      <c r="G1137" s="167" t="n">
        <v>0</v>
      </c>
      <c r="H1137" s="167" t="n">
        <v>0</v>
      </c>
      <c r="I1137" s="167" t="n">
        <v>1</v>
      </c>
    </row>
    <row r="1138" customFormat="false" ht="15" hidden="false" customHeight="true" outlineLevel="0" collapsed="false">
      <c r="A1138" s="167" t="s">
        <v>253</v>
      </c>
      <c r="B1138" s="167" t="s">
        <v>41</v>
      </c>
      <c r="C1138" s="167" t="n">
        <v>21</v>
      </c>
      <c r="D1138" s="167" t="str">
        <f aca="false">A1138&amp;" "&amp;B1138&amp;" "&amp;C1138</f>
        <v>Female 775pro 21</v>
      </c>
      <c r="E1138" s="167" t="n">
        <v>5</v>
      </c>
      <c r="F1138" s="167" t="n">
        <v>5</v>
      </c>
      <c r="G1138" s="167" t="n">
        <v>0</v>
      </c>
      <c r="H1138" s="167" t="n">
        <v>0</v>
      </c>
      <c r="I1138" s="167" t="n">
        <v>1</v>
      </c>
    </row>
    <row r="1139" customFormat="false" ht="15" hidden="false" customHeight="true" outlineLevel="0" collapsed="false">
      <c r="A1139" s="167" t="s">
        <v>253</v>
      </c>
      <c r="B1139" s="167" t="s">
        <v>41</v>
      </c>
      <c r="C1139" s="167" t="n">
        <v>25</v>
      </c>
      <c r="D1139" s="167" t="str">
        <f aca="false">A1139&amp;" "&amp;B1139&amp;" "&amp;C1139</f>
        <v>Female 775pro 25</v>
      </c>
      <c r="E1139" s="167" t="n">
        <v>5</v>
      </c>
      <c r="F1139" s="167" t="n">
        <v>4</v>
      </c>
      <c r="G1139" s="167" t="n">
        <v>0</v>
      </c>
      <c r="H1139" s="167" t="n">
        <v>0</v>
      </c>
      <c r="I1139" s="167" t="n">
        <v>1</v>
      </c>
    </row>
    <row r="1140" customFormat="false" ht="15" hidden="false" customHeight="true" outlineLevel="0" collapsed="false">
      <c r="A1140" s="167" t="s">
        <v>253</v>
      </c>
      <c r="B1140" s="167" t="s">
        <v>41</v>
      </c>
      <c r="C1140" s="167" t="n">
        <v>27</v>
      </c>
      <c r="D1140" s="167" t="str">
        <f aca="false">A1140&amp;" "&amp;B1140&amp;" "&amp;C1140</f>
        <v>Female 775pro 27</v>
      </c>
      <c r="E1140" s="167" t="n">
        <v>5</v>
      </c>
      <c r="F1140" s="167" t="n">
        <v>4</v>
      </c>
      <c r="G1140" s="167" t="n">
        <v>0</v>
      </c>
      <c r="H1140" s="167" t="n">
        <v>0</v>
      </c>
      <c r="I1140" s="167" t="n">
        <v>1</v>
      </c>
    </row>
    <row r="1141" customFormat="false" ht="15" hidden="false" customHeight="true" outlineLevel="0" collapsed="false">
      <c r="A1141" s="167" t="s">
        <v>253</v>
      </c>
      <c r="B1141" s="167" t="s">
        <v>41</v>
      </c>
      <c r="C1141" s="167" t="n">
        <v>28</v>
      </c>
      <c r="D1141" s="167" t="str">
        <f aca="false">A1141&amp;" "&amp;B1141&amp;" "&amp;C1141</f>
        <v>Female 775pro 28</v>
      </c>
      <c r="E1141" s="167" t="n">
        <v>5</v>
      </c>
      <c r="F1141" s="167" t="n">
        <v>3</v>
      </c>
      <c r="G1141" s="167" t="n">
        <v>0</v>
      </c>
      <c r="H1141" s="167" t="n">
        <v>0</v>
      </c>
      <c r="I1141" s="167" t="n">
        <v>1</v>
      </c>
    </row>
    <row r="1142" customFormat="false" ht="15" hidden="false" customHeight="true" outlineLevel="0" collapsed="false">
      <c r="A1142" s="167" t="s">
        <v>253</v>
      </c>
      <c r="B1142" s="167" t="s">
        <v>41</v>
      </c>
      <c r="C1142" s="167" t="n">
        <v>30</v>
      </c>
      <c r="D1142" s="167" t="str">
        <f aca="false">A1142&amp;" "&amp;B1142&amp;" "&amp;C1142</f>
        <v>Female 775pro 30</v>
      </c>
      <c r="E1142" s="167" t="n">
        <v>5</v>
      </c>
      <c r="F1142" s="167" t="n">
        <v>3</v>
      </c>
      <c r="G1142" s="167" t="n">
        <v>0</v>
      </c>
      <c r="H1142" s="167" t="n">
        <v>0</v>
      </c>
      <c r="I1142" s="167" t="n">
        <v>1</v>
      </c>
    </row>
    <row r="1143" customFormat="false" ht="15" hidden="false" customHeight="true" outlineLevel="0" collapsed="false">
      <c r="A1143" s="167" t="s">
        <v>253</v>
      </c>
      <c r="B1143" s="167" t="s">
        <v>41</v>
      </c>
      <c r="C1143" s="167" t="n">
        <v>35</v>
      </c>
      <c r="D1143" s="167" t="str">
        <f aca="false">A1143&amp;" "&amp;B1143&amp;" "&amp;C1143</f>
        <v>Female 775pro 35</v>
      </c>
      <c r="E1143" s="167" t="n">
        <v>5</v>
      </c>
      <c r="F1143" s="167" t="n">
        <v>3</v>
      </c>
      <c r="G1143" s="167" t="n">
        <v>0</v>
      </c>
      <c r="H1143" s="167" t="n">
        <v>0</v>
      </c>
      <c r="I1143" s="167" t="n">
        <v>1</v>
      </c>
    </row>
    <row r="1144" customFormat="false" ht="15" hidden="false" customHeight="true" outlineLevel="0" collapsed="false">
      <c r="A1144" s="167" t="s">
        <v>253</v>
      </c>
      <c r="B1144" s="167" t="s">
        <v>41</v>
      </c>
      <c r="C1144" s="167" t="n">
        <v>36</v>
      </c>
      <c r="D1144" s="167" t="str">
        <f aca="false">A1144&amp;" "&amp;B1144&amp;" "&amp;C1144</f>
        <v>Female 775pro 36</v>
      </c>
      <c r="E1144" s="167" t="n">
        <v>5</v>
      </c>
      <c r="F1144" s="167" t="n">
        <v>3</v>
      </c>
      <c r="G1144" s="167" t="n">
        <v>0</v>
      </c>
      <c r="H1144" s="167" t="n">
        <v>0</v>
      </c>
      <c r="I1144" s="167" t="n">
        <v>1</v>
      </c>
    </row>
    <row r="1145" customFormat="false" ht="15" hidden="false" customHeight="true" outlineLevel="0" collapsed="false">
      <c r="A1145" s="167" t="s">
        <v>253</v>
      </c>
      <c r="B1145" s="167" t="s">
        <v>41</v>
      </c>
      <c r="C1145" s="167" t="n">
        <v>40</v>
      </c>
      <c r="D1145" s="167" t="str">
        <f aca="false">A1145&amp;" "&amp;B1145&amp;" "&amp;C1145</f>
        <v>Female 775pro 40</v>
      </c>
      <c r="E1145" s="167" t="n">
        <v>5</v>
      </c>
      <c r="F1145" s="167" t="n">
        <v>1</v>
      </c>
      <c r="G1145" s="167" t="n">
        <v>0</v>
      </c>
      <c r="H1145" s="167" t="n">
        <v>0</v>
      </c>
      <c r="I1145" s="167" t="n">
        <v>1</v>
      </c>
    </row>
    <row r="1146" customFormat="false" ht="15" hidden="false" customHeight="true" outlineLevel="0" collapsed="false">
      <c r="A1146" s="167" t="s">
        <v>253</v>
      </c>
      <c r="B1146" s="167" t="s">
        <v>41</v>
      </c>
      <c r="C1146" s="167" t="n">
        <v>45</v>
      </c>
      <c r="D1146" s="167" t="str">
        <f aca="false">A1146&amp;" "&amp;B1146&amp;" "&amp;C1146</f>
        <v>Female 775pro 45</v>
      </c>
      <c r="E1146" s="167" t="n">
        <v>4</v>
      </c>
      <c r="F1146" s="167" t="n">
        <v>1</v>
      </c>
      <c r="G1146" s="167" t="n">
        <v>0</v>
      </c>
      <c r="H1146" s="167" t="n">
        <v>0</v>
      </c>
      <c r="I1146" s="167" t="n">
        <v>1</v>
      </c>
    </row>
    <row r="1147" customFormat="false" ht="15" hidden="false" customHeight="true" outlineLevel="0" collapsed="false">
      <c r="A1147" s="167" t="s">
        <v>253</v>
      </c>
      <c r="B1147" s="167" t="s">
        <v>41</v>
      </c>
      <c r="C1147" s="167" t="n">
        <v>49</v>
      </c>
      <c r="D1147" s="167" t="str">
        <f aca="false">A1147&amp;" "&amp;B1147&amp;" "&amp;C1147</f>
        <v>Female 775pro 49</v>
      </c>
      <c r="E1147" s="167" t="n">
        <v>4</v>
      </c>
      <c r="F1147" s="167" t="n">
        <v>1</v>
      </c>
      <c r="G1147" s="167" t="n">
        <v>0</v>
      </c>
      <c r="H1147" s="167" t="n">
        <v>0</v>
      </c>
      <c r="I1147" s="167" t="n">
        <v>1</v>
      </c>
    </row>
    <row r="1148" customFormat="false" ht="15" hidden="false" customHeight="true" outlineLevel="0" collapsed="false">
      <c r="A1148" s="167" t="s">
        <v>253</v>
      </c>
      <c r="B1148" s="167" t="s">
        <v>41</v>
      </c>
      <c r="C1148" s="167" t="n">
        <v>50</v>
      </c>
      <c r="D1148" s="167" t="str">
        <f aca="false">A1148&amp;" "&amp;B1148&amp;" "&amp;C1148</f>
        <v>Female 775pro 50</v>
      </c>
      <c r="E1148" s="167" t="n">
        <v>4</v>
      </c>
      <c r="F1148" s="167" t="n">
        <v>1</v>
      </c>
      <c r="G1148" s="167" t="n">
        <v>0</v>
      </c>
      <c r="H1148" s="167" t="n">
        <v>0</v>
      </c>
      <c r="I1148" s="167" t="n">
        <v>0</v>
      </c>
    </row>
    <row r="1149" customFormat="false" ht="15" hidden="false" customHeight="true" outlineLevel="0" collapsed="false">
      <c r="A1149" s="167" t="s">
        <v>253</v>
      </c>
      <c r="B1149" s="167" t="s">
        <v>41</v>
      </c>
      <c r="C1149" s="167" t="n">
        <v>63</v>
      </c>
      <c r="D1149" s="167" t="str">
        <f aca="false">A1149&amp;" "&amp;B1149&amp;" "&amp;C1149</f>
        <v>Female 775pro 63</v>
      </c>
      <c r="E1149" s="167" t="n">
        <v>3</v>
      </c>
      <c r="F1149" s="167" t="n">
        <v>1</v>
      </c>
      <c r="G1149" s="167" t="n">
        <v>0</v>
      </c>
      <c r="H1149" s="167" t="n">
        <v>0</v>
      </c>
      <c r="I1149" s="167" t="n">
        <v>0</v>
      </c>
    </row>
    <row r="1150" customFormat="false" ht="15" hidden="false" customHeight="true" outlineLevel="0" collapsed="false">
      <c r="A1150" s="167" t="s">
        <v>253</v>
      </c>
      <c r="B1150" s="167" t="s">
        <v>41</v>
      </c>
      <c r="C1150" s="167" t="n">
        <v>70</v>
      </c>
      <c r="D1150" s="167" t="str">
        <f aca="false">A1150&amp;" "&amp;B1150&amp;" "&amp;C1150</f>
        <v>Female 775pro 70</v>
      </c>
      <c r="E1150" s="167" t="n">
        <v>3</v>
      </c>
      <c r="F1150" s="167" t="n">
        <v>0</v>
      </c>
      <c r="G1150" s="167" t="n">
        <v>0</v>
      </c>
      <c r="H1150" s="167" t="n">
        <v>0</v>
      </c>
      <c r="I1150" s="167" t="n">
        <v>0</v>
      </c>
    </row>
    <row r="1151" customFormat="false" ht="15" hidden="false" customHeight="true" outlineLevel="0" collapsed="false">
      <c r="A1151" s="167" t="s">
        <v>253</v>
      </c>
      <c r="B1151" s="167" t="s">
        <v>41</v>
      </c>
      <c r="C1151" s="167" t="n">
        <v>81</v>
      </c>
      <c r="D1151" s="167" t="str">
        <f aca="false">A1151&amp;" "&amp;B1151&amp;" "&amp;C1151</f>
        <v>Female 775pro 81</v>
      </c>
      <c r="E1151" s="167" t="n">
        <v>1</v>
      </c>
      <c r="F1151" s="167" t="n">
        <v>0</v>
      </c>
      <c r="G1151" s="167" t="n">
        <v>0</v>
      </c>
      <c r="H1151" s="167" t="n">
        <v>0</v>
      </c>
      <c r="I1151" s="167" t="n">
        <v>0</v>
      </c>
    </row>
    <row r="1152" customFormat="false" ht="15" hidden="false" customHeight="true" outlineLevel="0" collapsed="false">
      <c r="A1152" s="167" t="s">
        <v>253</v>
      </c>
      <c r="B1152" s="167" t="s">
        <v>41</v>
      </c>
      <c r="C1152" s="167" t="n">
        <v>90</v>
      </c>
      <c r="D1152" s="167" t="str">
        <f aca="false">A1152&amp;" "&amp;B1152&amp;" "&amp;C1152</f>
        <v>Female 775pro 90</v>
      </c>
      <c r="E1152" s="167" t="n">
        <v>1</v>
      </c>
      <c r="F1152" s="167" t="n">
        <v>0</v>
      </c>
      <c r="G1152" s="167" t="n">
        <v>0</v>
      </c>
      <c r="H1152" s="167" t="n">
        <v>0</v>
      </c>
      <c r="I1152" s="167" t="n">
        <v>0</v>
      </c>
    </row>
    <row r="1153" customFormat="false" ht="15" hidden="false" customHeight="true" outlineLevel="0" collapsed="false">
      <c r="A1153" s="167" t="s">
        <v>253</v>
      </c>
      <c r="B1153" s="167" t="s">
        <v>41</v>
      </c>
      <c r="C1153" s="167" t="n">
        <v>100</v>
      </c>
      <c r="D1153" s="167" t="str">
        <f aca="false">A1153&amp;" "&amp;B1153&amp;" "&amp;C1153</f>
        <v>Female 775pro 100</v>
      </c>
      <c r="E1153" s="167" t="n">
        <v>1</v>
      </c>
      <c r="F1153" s="167" t="n">
        <v>0</v>
      </c>
      <c r="G1153" s="167" t="n">
        <v>0</v>
      </c>
      <c r="H1153" s="167" t="n">
        <v>0</v>
      </c>
      <c r="I1153" s="167" t="n">
        <v>0</v>
      </c>
    </row>
    <row r="1154" customFormat="false" ht="15" hidden="false" customHeight="true" outlineLevel="0" collapsed="false">
      <c r="A1154" s="167" t="s">
        <v>253</v>
      </c>
      <c r="B1154" s="167" t="s">
        <v>249</v>
      </c>
      <c r="C1154" s="167" t="n">
        <v>-3</v>
      </c>
      <c r="D1154" s="167" t="str">
        <f aca="false">A1154&amp;" "&amp;B1154&amp;" "&amp;C1154</f>
        <v>Female Mini CIM -3</v>
      </c>
      <c r="E1154" s="167" t="n">
        <v>1</v>
      </c>
      <c r="I1154" s="167" t="n">
        <v>0</v>
      </c>
    </row>
    <row r="1155" customFormat="false" ht="15" hidden="false" customHeight="true" outlineLevel="0" collapsed="false">
      <c r="A1155" s="167" t="s">
        <v>253</v>
      </c>
      <c r="B1155" s="167" t="s">
        <v>249</v>
      </c>
      <c r="C1155" s="167" t="n">
        <v>-4</v>
      </c>
      <c r="D1155" s="167" t="str">
        <f aca="false">A1155&amp;" "&amp;B1155&amp;" "&amp;C1155</f>
        <v>Female Mini CIM -4</v>
      </c>
      <c r="E1155" s="167" t="n">
        <v>1</v>
      </c>
      <c r="I1155" s="167" t="n">
        <v>0</v>
      </c>
    </row>
    <row r="1156" customFormat="false" ht="15" hidden="false" customHeight="true" outlineLevel="0" collapsed="false">
      <c r="A1156" s="167" t="s">
        <v>253</v>
      </c>
      <c r="B1156" s="167" t="s">
        <v>249</v>
      </c>
      <c r="C1156" s="167" t="n">
        <v>-5</v>
      </c>
      <c r="D1156" s="167" t="str">
        <f aca="false">A1156&amp;" "&amp;B1156&amp;" "&amp;C1156</f>
        <v>Female Mini CIM -5</v>
      </c>
      <c r="E1156" s="167" t="n">
        <v>1</v>
      </c>
      <c r="I1156" s="167" t="n">
        <v>0</v>
      </c>
    </row>
    <row r="1157" customFormat="false" ht="15" hidden="false" customHeight="true" outlineLevel="0" collapsed="false">
      <c r="A1157" s="167" t="s">
        <v>253</v>
      </c>
      <c r="B1157" s="167" t="s">
        <v>249</v>
      </c>
      <c r="C1157" s="167" t="n">
        <v>-7</v>
      </c>
      <c r="D1157" s="167" t="str">
        <f aca="false">A1157&amp;" "&amp;B1157&amp;" "&amp;C1157</f>
        <v>Female Mini CIM -7</v>
      </c>
      <c r="E1157" s="167" t="n">
        <v>1</v>
      </c>
      <c r="I1157" s="167" t="n">
        <v>0</v>
      </c>
    </row>
    <row r="1158" customFormat="false" ht="15" hidden="false" customHeight="true" outlineLevel="0" collapsed="false">
      <c r="A1158" s="167" t="s">
        <v>253</v>
      </c>
      <c r="B1158" s="167" t="s">
        <v>249</v>
      </c>
      <c r="C1158" s="167" t="n">
        <v>-9</v>
      </c>
      <c r="D1158" s="167" t="str">
        <f aca="false">A1158&amp;" "&amp;B1158&amp;" "&amp;C1158</f>
        <v>Female Mini CIM -9</v>
      </c>
      <c r="E1158" s="167" t="n">
        <v>1</v>
      </c>
      <c r="I1158" s="167" t="n">
        <v>0</v>
      </c>
    </row>
    <row r="1159" customFormat="false" ht="15" hidden="false" customHeight="true" outlineLevel="0" collapsed="false">
      <c r="A1159" s="167" t="s">
        <v>253</v>
      </c>
      <c r="B1159" s="167" t="s">
        <v>249</v>
      </c>
      <c r="C1159" s="167" t="n">
        <v>-10</v>
      </c>
      <c r="D1159" s="167" t="str">
        <f aca="false">A1159&amp;" "&amp;B1159&amp;" "&amp;C1159</f>
        <v>Female Mini CIM -10</v>
      </c>
      <c r="E1159" s="167" t="n">
        <v>1</v>
      </c>
      <c r="I1159" s="167" t="n">
        <v>0</v>
      </c>
    </row>
    <row r="1160" customFormat="false" ht="15" hidden="false" customHeight="true" outlineLevel="0" collapsed="false">
      <c r="A1160" s="167" t="s">
        <v>253</v>
      </c>
      <c r="B1160" s="167" t="s">
        <v>249</v>
      </c>
      <c r="C1160" s="167" t="n">
        <v>9</v>
      </c>
      <c r="D1160" s="167" t="str">
        <f aca="false">A1160&amp;" "&amp;B1160&amp;" "&amp;C1160</f>
        <v>Female Mini CIM 9</v>
      </c>
      <c r="E1160" s="167" t="n">
        <v>7</v>
      </c>
      <c r="I1160" s="167" t="n">
        <v>0</v>
      </c>
    </row>
    <row r="1161" customFormat="false" ht="15" hidden="false" customHeight="true" outlineLevel="0" collapsed="false">
      <c r="A1161" s="167" t="s">
        <v>253</v>
      </c>
      <c r="B1161" s="167" t="s">
        <v>249</v>
      </c>
      <c r="C1161" s="167" t="n">
        <v>12</v>
      </c>
      <c r="D1161" s="167" t="str">
        <f aca="false">A1161&amp;" "&amp;B1161&amp;" "&amp;C1161</f>
        <v>Female Mini CIM 12</v>
      </c>
      <c r="E1161" s="167" t="n">
        <v>5</v>
      </c>
      <c r="I1161" s="167" t="n">
        <v>0</v>
      </c>
    </row>
    <row r="1162" customFormat="false" ht="15" hidden="false" customHeight="true" outlineLevel="0" collapsed="false">
      <c r="A1162" s="167" t="s">
        <v>253</v>
      </c>
      <c r="B1162" s="167" t="s">
        <v>249</v>
      </c>
      <c r="C1162" s="167" t="n">
        <v>15</v>
      </c>
      <c r="D1162" s="167" t="str">
        <f aca="false">A1162&amp;" "&amp;B1162&amp;" "&amp;C1162</f>
        <v>Female Mini CIM 15</v>
      </c>
      <c r="E1162" s="167" t="n">
        <v>5</v>
      </c>
      <c r="I1162" s="167" t="n">
        <v>0</v>
      </c>
    </row>
    <row r="1163" customFormat="false" ht="15" hidden="false" customHeight="true" outlineLevel="0" collapsed="false">
      <c r="A1163" s="167" t="s">
        <v>253</v>
      </c>
      <c r="B1163" s="167" t="s">
        <v>249</v>
      </c>
      <c r="C1163" s="167" t="n">
        <v>16</v>
      </c>
      <c r="D1163" s="167" t="str">
        <f aca="false">A1163&amp;" "&amp;B1163&amp;" "&amp;C1163</f>
        <v>Female Mini CIM 16</v>
      </c>
      <c r="E1163" s="167" t="n">
        <v>5</v>
      </c>
      <c r="I1163" s="167" t="n">
        <v>0</v>
      </c>
    </row>
    <row r="1164" customFormat="false" ht="15" hidden="false" customHeight="true" outlineLevel="0" collapsed="false">
      <c r="A1164" s="167" t="s">
        <v>253</v>
      </c>
      <c r="B1164" s="167" t="s">
        <v>249</v>
      </c>
      <c r="C1164" s="167" t="n">
        <v>20</v>
      </c>
      <c r="D1164" s="167" t="str">
        <f aca="false">A1164&amp;" "&amp;B1164&amp;" "&amp;C1164</f>
        <v>Female Mini CIM 20</v>
      </c>
      <c r="E1164" s="167" t="n">
        <v>5</v>
      </c>
      <c r="I1164" s="167" t="n">
        <v>0</v>
      </c>
    </row>
    <row r="1165" customFormat="false" ht="15" hidden="false" customHeight="true" outlineLevel="0" collapsed="false">
      <c r="A1165" s="167" t="s">
        <v>253</v>
      </c>
      <c r="B1165" s="167" t="s">
        <v>249</v>
      </c>
      <c r="C1165" s="167" t="n">
        <v>21</v>
      </c>
      <c r="D1165" s="167" t="str">
        <f aca="false">A1165&amp;" "&amp;B1165&amp;" "&amp;C1165</f>
        <v>Female Mini CIM 21</v>
      </c>
      <c r="E1165" s="167" t="n">
        <v>5</v>
      </c>
      <c r="I1165" s="167" t="n">
        <v>0</v>
      </c>
    </row>
    <row r="1166" customFormat="false" ht="15" hidden="false" customHeight="true" outlineLevel="0" collapsed="false">
      <c r="A1166" s="167" t="s">
        <v>253</v>
      </c>
      <c r="B1166" s="167" t="s">
        <v>249</v>
      </c>
      <c r="C1166" s="167" t="n">
        <v>25</v>
      </c>
      <c r="D1166" s="167" t="str">
        <f aca="false">A1166&amp;" "&amp;B1166&amp;" "&amp;C1166</f>
        <v>Female Mini CIM 25</v>
      </c>
      <c r="E1166" s="167" t="n">
        <v>4</v>
      </c>
      <c r="I1166" s="167" t="n">
        <v>0</v>
      </c>
    </row>
    <row r="1167" customFormat="false" ht="15" hidden="false" customHeight="true" outlineLevel="0" collapsed="false">
      <c r="A1167" s="167" t="s">
        <v>253</v>
      </c>
      <c r="B1167" s="167" t="s">
        <v>249</v>
      </c>
      <c r="C1167" s="167" t="n">
        <v>27</v>
      </c>
      <c r="D1167" s="167" t="str">
        <f aca="false">A1167&amp;" "&amp;B1167&amp;" "&amp;C1167</f>
        <v>Female Mini CIM 27</v>
      </c>
      <c r="E1167" s="167" t="n">
        <v>4</v>
      </c>
      <c r="I1167" s="167" t="n">
        <v>0</v>
      </c>
    </row>
    <row r="1168" customFormat="false" ht="15" hidden="false" customHeight="true" outlineLevel="0" collapsed="false">
      <c r="A1168" s="167" t="s">
        <v>253</v>
      </c>
      <c r="B1168" s="167" t="s">
        <v>249</v>
      </c>
      <c r="C1168" s="167" t="n">
        <v>28</v>
      </c>
      <c r="D1168" s="167" t="str">
        <f aca="false">A1168&amp;" "&amp;B1168&amp;" "&amp;C1168</f>
        <v>Female Mini CIM 28</v>
      </c>
      <c r="E1168" s="167" t="n">
        <v>3</v>
      </c>
      <c r="I1168" s="167" t="n">
        <v>0</v>
      </c>
    </row>
    <row r="1169" customFormat="false" ht="15" hidden="false" customHeight="true" outlineLevel="0" collapsed="false">
      <c r="A1169" s="167" t="s">
        <v>253</v>
      </c>
      <c r="B1169" s="167" t="s">
        <v>249</v>
      </c>
      <c r="C1169" s="167" t="n">
        <v>30</v>
      </c>
      <c r="D1169" s="167" t="str">
        <f aca="false">A1169&amp;" "&amp;B1169&amp;" "&amp;C1169</f>
        <v>Female Mini CIM 30</v>
      </c>
      <c r="E1169" s="167" t="n">
        <v>3</v>
      </c>
      <c r="I1169" s="167" t="n">
        <v>0</v>
      </c>
    </row>
    <row r="1170" customFormat="false" ht="15" hidden="false" customHeight="true" outlineLevel="0" collapsed="false">
      <c r="A1170" s="167" t="s">
        <v>253</v>
      </c>
      <c r="B1170" s="167" t="s">
        <v>249</v>
      </c>
      <c r="C1170" s="167" t="n">
        <v>35</v>
      </c>
      <c r="D1170" s="167" t="str">
        <f aca="false">A1170&amp;" "&amp;B1170&amp;" "&amp;C1170</f>
        <v>Female Mini CIM 35</v>
      </c>
      <c r="E1170" s="167" t="n">
        <v>3</v>
      </c>
      <c r="I1170" s="167" t="n">
        <v>0</v>
      </c>
    </row>
    <row r="1171" customFormat="false" ht="15" hidden="false" customHeight="true" outlineLevel="0" collapsed="false">
      <c r="A1171" s="167" t="s">
        <v>253</v>
      </c>
      <c r="B1171" s="167" t="s">
        <v>249</v>
      </c>
      <c r="C1171" s="167" t="n">
        <v>36</v>
      </c>
      <c r="D1171" s="167" t="str">
        <f aca="false">A1171&amp;" "&amp;B1171&amp;" "&amp;C1171</f>
        <v>Female Mini CIM 36</v>
      </c>
      <c r="E1171" s="167" t="n">
        <v>3</v>
      </c>
      <c r="I1171" s="167" t="n">
        <v>0</v>
      </c>
    </row>
    <row r="1172" customFormat="false" ht="15" hidden="false" customHeight="true" outlineLevel="0" collapsed="false">
      <c r="A1172" s="167" t="s">
        <v>253</v>
      </c>
      <c r="B1172" s="167" t="s">
        <v>249</v>
      </c>
      <c r="C1172" s="167" t="n">
        <v>40</v>
      </c>
      <c r="D1172" s="167" t="str">
        <f aca="false">A1172&amp;" "&amp;B1172&amp;" "&amp;C1172</f>
        <v>Female Mini CIM 40</v>
      </c>
      <c r="E1172" s="167" t="n">
        <v>1</v>
      </c>
      <c r="I1172" s="167" t="n">
        <v>0</v>
      </c>
    </row>
    <row r="1173" customFormat="false" ht="15" hidden="false" customHeight="true" outlineLevel="0" collapsed="false">
      <c r="A1173" s="167" t="s">
        <v>253</v>
      </c>
      <c r="B1173" s="167" t="s">
        <v>249</v>
      </c>
      <c r="C1173" s="167" t="n">
        <v>45</v>
      </c>
      <c r="D1173" s="167" t="str">
        <f aca="false">A1173&amp;" "&amp;B1173&amp;" "&amp;C1173</f>
        <v>Female Mini CIM 45</v>
      </c>
      <c r="E1173" s="167" t="n">
        <v>1</v>
      </c>
      <c r="I1173" s="167" t="n">
        <v>0</v>
      </c>
    </row>
    <row r="1174" customFormat="false" ht="15" hidden="false" customHeight="true" outlineLevel="0" collapsed="false">
      <c r="A1174" s="167" t="s">
        <v>253</v>
      </c>
      <c r="B1174" s="167" t="s">
        <v>249</v>
      </c>
      <c r="C1174" s="167" t="n">
        <v>49</v>
      </c>
      <c r="D1174" s="167" t="str">
        <f aca="false">A1174&amp;" "&amp;B1174&amp;" "&amp;C1174</f>
        <v>Female Mini CIM 49</v>
      </c>
      <c r="E1174" s="167" t="n">
        <v>1</v>
      </c>
      <c r="I1174" s="167" t="n">
        <v>0</v>
      </c>
    </row>
    <row r="1175" customFormat="false" ht="15" hidden="false" customHeight="true" outlineLevel="0" collapsed="false">
      <c r="A1175" s="167" t="s">
        <v>253</v>
      </c>
      <c r="B1175" s="167" t="s">
        <v>249</v>
      </c>
      <c r="C1175" s="167" t="n">
        <v>50</v>
      </c>
      <c r="D1175" s="167" t="str">
        <f aca="false">A1175&amp;" "&amp;B1175&amp;" "&amp;C1175</f>
        <v>Female Mini CIM 50</v>
      </c>
      <c r="E1175" s="167" t="n">
        <v>1</v>
      </c>
      <c r="I1175" s="167" t="n">
        <v>0</v>
      </c>
    </row>
    <row r="1176" customFormat="false" ht="15" hidden="false" customHeight="true" outlineLevel="0" collapsed="false">
      <c r="A1176" s="167" t="s">
        <v>253</v>
      </c>
      <c r="B1176" s="167" t="s">
        <v>249</v>
      </c>
      <c r="C1176" s="167" t="n">
        <v>63</v>
      </c>
      <c r="D1176" s="167" t="str">
        <f aca="false">A1176&amp;" "&amp;B1176&amp;" "&amp;C1176</f>
        <v>Female Mini CIM 63</v>
      </c>
      <c r="E1176" s="167" t="n">
        <v>1</v>
      </c>
      <c r="I1176" s="167" t="n">
        <v>0</v>
      </c>
    </row>
    <row r="1177" customFormat="false" ht="15" hidden="false" customHeight="true" outlineLevel="0" collapsed="false">
      <c r="A1177" s="167" t="s">
        <v>253</v>
      </c>
      <c r="B1177" s="167" t="s">
        <v>249</v>
      </c>
      <c r="C1177" s="167" t="n">
        <v>70</v>
      </c>
      <c r="D1177" s="167" t="str">
        <f aca="false">A1177&amp;" "&amp;B1177&amp;" "&amp;C1177</f>
        <v>Female Mini CIM 70</v>
      </c>
      <c r="E1177" s="167" t="n">
        <v>0</v>
      </c>
      <c r="I1177" s="167" t="n">
        <v>0</v>
      </c>
    </row>
    <row r="1178" customFormat="false" ht="15" hidden="false" customHeight="true" outlineLevel="0" collapsed="false">
      <c r="A1178" s="167" t="s">
        <v>253</v>
      </c>
      <c r="B1178" s="167" t="s">
        <v>249</v>
      </c>
      <c r="C1178" s="167" t="n">
        <v>81</v>
      </c>
      <c r="D1178" s="167" t="str">
        <f aca="false">A1178&amp;" "&amp;B1178&amp;" "&amp;C1178</f>
        <v>Female Mini CIM 81</v>
      </c>
      <c r="E1178" s="167" t="n">
        <v>0</v>
      </c>
      <c r="I1178" s="167" t="n">
        <v>0</v>
      </c>
    </row>
    <row r="1179" customFormat="false" ht="15" hidden="false" customHeight="true" outlineLevel="0" collapsed="false">
      <c r="A1179" s="167" t="s">
        <v>253</v>
      </c>
      <c r="B1179" s="167" t="s">
        <v>249</v>
      </c>
      <c r="C1179" s="167" t="n">
        <v>90</v>
      </c>
      <c r="D1179" s="167" t="str">
        <f aca="false">A1179&amp;" "&amp;B1179&amp;" "&amp;C1179</f>
        <v>Female Mini CIM 90</v>
      </c>
      <c r="E1179" s="167" t="n">
        <v>0</v>
      </c>
      <c r="I1179" s="167" t="n">
        <v>0</v>
      </c>
    </row>
    <row r="1180" customFormat="false" ht="15" hidden="false" customHeight="true" outlineLevel="0" collapsed="false">
      <c r="A1180" s="167" t="s">
        <v>253</v>
      </c>
      <c r="B1180" s="167" t="s">
        <v>249</v>
      </c>
      <c r="C1180" s="167" t="n">
        <v>100</v>
      </c>
      <c r="D1180" s="167" t="str">
        <f aca="false">A1180&amp;" "&amp;B1180&amp;" "&amp;C1180</f>
        <v>Female Mini CIM 100</v>
      </c>
      <c r="E1180" s="167" t="n">
        <v>0</v>
      </c>
      <c r="I1180" s="167" t="n">
        <v>0</v>
      </c>
    </row>
    <row r="1181" customFormat="false" ht="15" hidden="false" customHeight="true" outlineLevel="0" collapsed="false">
      <c r="A1181" s="167" t="s">
        <v>253</v>
      </c>
      <c r="B1181" s="167" t="s">
        <v>89</v>
      </c>
      <c r="C1181" s="167" t="n">
        <v>-3</v>
      </c>
      <c r="D1181" s="167" t="str">
        <f aca="false">A1181&amp;" "&amp;B1181&amp;" "&amp;C1181</f>
        <v>Female CIM -3</v>
      </c>
      <c r="E1181" s="167" t="n">
        <v>1</v>
      </c>
      <c r="I1181" s="167" t="n">
        <v>0</v>
      </c>
    </row>
    <row r="1182" customFormat="false" ht="15" hidden="false" customHeight="true" outlineLevel="0" collapsed="false">
      <c r="A1182" s="167" t="s">
        <v>253</v>
      </c>
      <c r="B1182" s="167" t="s">
        <v>89</v>
      </c>
      <c r="C1182" s="167" t="n">
        <v>-4</v>
      </c>
      <c r="D1182" s="167" t="str">
        <f aca="false">A1182&amp;" "&amp;B1182&amp;" "&amp;C1182</f>
        <v>Female CIM -4</v>
      </c>
      <c r="E1182" s="167" t="n">
        <v>1</v>
      </c>
      <c r="I1182" s="167" t="n">
        <v>0</v>
      </c>
    </row>
    <row r="1183" customFormat="false" ht="15" hidden="false" customHeight="true" outlineLevel="0" collapsed="false">
      <c r="A1183" s="167" t="s">
        <v>253</v>
      </c>
      <c r="B1183" s="167" t="s">
        <v>89</v>
      </c>
      <c r="C1183" s="167" t="n">
        <v>-5</v>
      </c>
      <c r="D1183" s="167" t="str">
        <f aca="false">A1183&amp;" "&amp;B1183&amp;" "&amp;C1183</f>
        <v>Female CIM -5</v>
      </c>
      <c r="E1183" s="167" t="n">
        <v>1</v>
      </c>
      <c r="I1183" s="167" t="n">
        <v>0</v>
      </c>
    </row>
    <row r="1184" customFormat="false" ht="15" hidden="false" customHeight="true" outlineLevel="0" collapsed="false">
      <c r="A1184" s="167" t="s">
        <v>253</v>
      </c>
      <c r="B1184" s="167" t="s">
        <v>89</v>
      </c>
      <c r="C1184" s="167" t="n">
        <v>-7</v>
      </c>
      <c r="D1184" s="167" t="str">
        <f aca="false">A1184&amp;" "&amp;B1184&amp;" "&amp;C1184</f>
        <v>Female CIM -7</v>
      </c>
      <c r="E1184" s="167" t="n">
        <v>1</v>
      </c>
      <c r="I1184" s="167" t="n">
        <v>0</v>
      </c>
    </row>
    <row r="1185" customFormat="false" ht="15" hidden="false" customHeight="true" outlineLevel="0" collapsed="false">
      <c r="A1185" s="167" t="s">
        <v>253</v>
      </c>
      <c r="B1185" s="167" t="s">
        <v>89</v>
      </c>
      <c r="C1185" s="167" t="n">
        <v>-9</v>
      </c>
      <c r="D1185" s="167" t="str">
        <f aca="false">A1185&amp;" "&amp;B1185&amp;" "&amp;C1185</f>
        <v>Female CIM -9</v>
      </c>
      <c r="E1185" s="167" t="n">
        <v>1</v>
      </c>
      <c r="I1185" s="167" t="n">
        <v>0</v>
      </c>
    </row>
    <row r="1186" customFormat="false" ht="15" hidden="false" customHeight="true" outlineLevel="0" collapsed="false">
      <c r="A1186" s="167" t="s">
        <v>253</v>
      </c>
      <c r="B1186" s="167" t="s">
        <v>89</v>
      </c>
      <c r="C1186" s="167" t="n">
        <v>-10</v>
      </c>
      <c r="D1186" s="167" t="str">
        <f aca="false">A1186&amp;" "&amp;B1186&amp;" "&amp;C1186</f>
        <v>Female CIM -10</v>
      </c>
      <c r="E1186" s="167" t="n">
        <v>1</v>
      </c>
      <c r="I1186" s="167" t="n">
        <v>0</v>
      </c>
    </row>
    <row r="1187" customFormat="false" ht="15" hidden="false" customHeight="true" outlineLevel="0" collapsed="false">
      <c r="A1187" s="167" t="s">
        <v>253</v>
      </c>
      <c r="B1187" s="167" t="s">
        <v>89</v>
      </c>
      <c r="C1187" s="167" t="n">
        <v>9</v>
      </c>
      <c r="D1187" s="167" t="str">
        <f aca="false">A1187&amp;" "&amp;B1187&amp;" "&amp;C1187</f>
        <v>Female CIM 9</v>
      </c>
      <c r="E1187" s="167" t="n">
        <v>5</v>
      </c>
      <c r="I1187" s="167" t="n">
        <v>0</v>
      </c>
    </row>
    <row r="1188" customFormat="false" ht="15" hidden="false" customHeight="true" outlineLevel="0" collapsed="false">
      <c r="A1188" s="167" t="s">
        <v>253</v>
      </c>
      <c r="B1188" s="167" t="s">
        <v>89</v>
      </c>
      <c r="C1188" s="167" t="n">
        <v>12</v>
      </c>
      <c r="D1188" s="167" t="str">
        <f aca="false">A1188&amp;" "&amp;B1188&amp;" "&amp;C1188</f>
        <v>Female CIM 12</v>
      </c>
      <c r="E1188" s="167" t="n">
        <v>5</v>
      </c>
      <c r="I1188" s="167" t="n">
        <v>0</v>
      </c>
    </row>
    <row r="1189" customFormat="false" ht="15" hidden="false" customHeight="true" outlineLevel="0" collapsed="false">
      <c r="A1189" s="167" t="s">
        <v>253</v>
      </c>
      <c r="B1189" s="167" t="s">
        <v>89</v>
      </c>
      <c r="C1189" s="167" t="n">
        <v>15</v>
      </c>
      <c r="D1189" s="167" t="str">
        <f aca="false">A1189&amp;" "&amp;B1189&amp;" "&amp;C1189</f>
        <v>Female CIM 15</v>
      </c>
      <c r="E1189" s="167" t="n">
        <v>4</v>
      </c>
      <c r="I1189" s="167" t="n">
        <v>0</v>
      </c>
    </row>
    <row r="1190" customFormat="false" ht="15" hidden="false" customHeight="true" outlineLevel="0" collapsed="false">
      <c r="A1190" s="167" t="s">
        <v>253</v>
      </c>
      <c r="B1190" s="167" t="s">
        <v>89</v>
      </c>
      <c r="C1190" s="167" t="n">
        <v>16</v>
      </c>
      <c r="D1190" s="167" t="str">
        <f aca="false">A1190&amp;" "&amp;B1190&amp;" "&amp;C1190</f>
        <v>Female CIM 16</v>
      </c>
      <c r="E1190" s="167" t="n">
        <v>4</v>
      </c>
      <c r="I1190" s="167" t="n">
        <v>0</v>
      </c>
    </row>
    <row r="1191" customFormat="false" ht="15" hidden="false" customHeight="true" outlineLevel="0" collapsed="false">
      <c r="A1191" s="167" t="s">
        <v>253</v>
      </c>
      <c r="B1191" s="167" t="s">
        <v>89</v>
      </c>
      <c r="C1191" s="167" t="n">
        <v>20</v>
      </c>
      <c r="D1191" s="167" t="str">
        <f aca="false">A1191&amp;" "&amp;B1191&amp;" "&amp;C1191</f>
        <v>Female CIM 20</v>
      </c>
      <c r="E1191" s="167" t="n">
        <v>3</v>
      </c>
      <c r="I1191" s="167" t="n">
        <v>0</v>
      </c>
    </row>
    <row r="1192" customFormat="false" ht="15" hidden="false" customHeight="true" outlineLevel="0" collapsed="false">
      <c r="A1192" s="167" t="s">
        <v>253</v>
      </c>
      <c r="B1192" s="167" t="s">
        <v>89</v>
      </c>
      <c r="C1192" s="167" t="n">
        <v>21</v>
      </c>
      <c r="D1192" s="167" t="str">
        <f aca="false">A1192&amp;" "&amp;B1192&amp;" "&amp;C1192</f>
        <v>Female CIM 21</v>
      </c>
      <c r="E1192" s="167" t="n">
        <v>3</v>
      </c>
      <c r="I1192" s="167" t="n">
        <v>0</v>
      </c>
    </row>
    <row r="1193" customFormat="false" ht="15" hidden="false" customHeight="true" outlineLevel="0" collapsed="false">
      <c r="A1193" s="167" t="s">
        <v>253</v>
      </c>
      <c r="B1193" s="167" t="s">
        <v>89</v>
      </c>
      <c r="C1193" s="167" t="n">
        <v>25</v>
      </c>
      <c r="D1193" s="167" t="str">
        <f aca="false">A1193&amp;" "&amp;B1193&amp;" "&amp;C1193</f>
        <v>Female CIM 25</v>
      </c>
      <c r="E1193" s="167" t="n">
        <v>1</v>
      </c>
      <c r="I1193" s="167" t="n">
        <v>0</v>
      </c>
    </row>
    <row r="1194" customFormat="false" ht="15" hidden="false" customHeight="true" outlineLevel="0" collapsed="false">
      <c r="A1194" s="167" t="s">
        <v>253</v>
      </c>
      <c r="B1194" s="167" t="s">
        <v>89</v>
      </c>
      <c r="C1194" s="167" t="n">
        <v>27</v>
      </c>
      <c r="D1194" s="167" t="str">
        <f aca="false">A1194&amp;" "&amp;B1194&amp;" "&amp;C1194</f>
        <v>Female CIM 27</v>
      </c>
      <c r="E1194" s="167" t="n">
        <v>1</v>
      </c>
      <c r="I1194" s="167" t="n">
        <v>0</v>
      </c>
    </row>
    <row r="1195" customFormat="false" ht="15" hidden="false" customHeight="true" outlineLevel="0" collapsed="false">
      <c r="A1195" s="167" t="s">
        <v>253</v>
      </c>
      <c r="B1195" s="167" t="s">
        <v>89</v>
      </c>
      <c r="C1195" s="167" t="n">
        <v>28</v>
      </c>
      <c r="D1195" s="167" t="str">
        <f aca="false">A1195&amp;" "&amp;B1195&amp;" "&amp;C1195</f>
        <v>Female CIM 28</v>
      </c>
      <c r="E1195" s="167" t="n">
        <v>1</v>
      </c>
      <c r="I1195" s="167" t="n">
        <v>0</v>
      </c>
    </row>
    <row r="1196" customFormat="false" ht="15" hidden="false" customHeight="true" outlineLevel="0" collapsed="false">
      <c r="A1196" s="167" t="s">
        <v>253</v>
      </c>
      <c r="B1196" s="167" t="s">
        <v>89</v>
      </c>
      <c r="C1196" s="167" t="n">
        <v>30</v>
      </c>
      <c r="D1196" s="167" t="str">
        <f aca="false">A1196&amp;" "&amp;B1196&amp;" "&amp;C1196</f>
        <v>Female CIM 30</v>
      </c>
      <c r="E1196" s="167" t="n">
        <v>1</v>
      </c>
      <c r="I1196" s="167" t="n">
        <v>0</v>
      </c>
    </row>
    <row r="1197" customFormat="false" ht="15" hidden="false" customHeight="true" outlineLevel="0" collapsed="false">
      <c r="A1197" s="167" t="s">
        <v>253</v>
      </c>
      <c r="B1197" s="167" t="s">
        <v>89</v>
      </c>
      <c r="C1197" s="167" t="n">
        <v>35</v>
      </c>
      <c r="D1197" s="167" t="str">
        <f aca="false">A1197&amp;" "&amp;B1197&amp;" "&amp;C1197</f>
        <v>Female CIM 35</v>
      </c>
      <c r="E1197" s="167" t="n">
        <v>1</v>
      </c>
      <c r="I1197" s="167" t="n">
        <v>0</v>
      </c>
    </row>
    <row r="1198" customFormat="false" ht="15" hidden="false" customHeight="true" outlineLevel="0" collapsed="false">
      <c r="A1198" s="167" t="s">
        <v>253</v>
      </c>
      <c r="B1198" s="167" t="s">
        <v>89</v>
      </c>
      <c r="C1198" s="167" t="n">
        <v>36</v>
      </c>
      <c r="D1198" s="167" t="str">
        <f aca="false">A1198&amp;" "&amp;B1198&amp;" "&amp;C1198</f>
        <v>Female CIM 36</v>
      </c>
      <c r="E1198" s="167" t="n">
        <v>1</v>
      </c>
      <c r="I1198" s="167" t="n">
        <v>0</v>
      </c>
    </row>
    <row r="1199" customFormat="false" ht="15" hidden="false" customHeight="true" outlineLevel="0" collapsed="false">
      <c r="A1199" s="167" t="s">
        <v>253</v>
      </c>
      <c r="B1199" s="167" t="s">
        <v>89</v>
      </c>
      <c r="C1199" s="167" t="n">
        <v>40</v>
      </c>
      <c r="D1199" s="167" t="str">
        <f aca="false">A1199&amp;" "&amp;B1199&amp;" "&amp;C1199</f>
        <v>Female CIM 40</v>
      </c>
      <c r="E1199" s="167" t="n">
        <v>1</v>
      </c>
      <c r="I1199" s="167" t="n">
        <v>0</v>
      </c>
    </row>
    <row r="1200" customFormat="false" ht="15" hidden="false" customHeight="true" outlineLevel="0" collapsed="false">
      <c r="A1200" s="167" t="s">
        <v>253</v>
      </c>
      <c r="B1200" s="167" t="s">
        <v>89</v>
      </c>
      <c r="C1200" s="167" t="n">
        <v>45</v>
      </c>
      <c r="D1200" s="167" t="str">
        <f aca="false">A1200&amp;" "&amp;B1200&amp;" "&amp;C1200</f>
        <v>Female CIM 45</v>
      </c>
      <c r="E1200" s="167" t="n">
        <v>1</v>
      </c>
      <c r="I1200" s="167" t="n">
        <v>0</v>
      </c>
    </row>
    <row r="1201" customFormat="false" ht="15" hidden="false" customHeight="true" outlineLevel="0" collapsed="false">
      <c r="A1201" s="167" t="s">
        <v>253</v>
      </c>
      <c r="B1201" s="167" t="s">
        <v>89</v>
      </c>
      <c r="C1201" s="167" t="n">
        <v>49</v>
      </c>
      <c r="D1201" s="167" t="str">
        <f aca="false">A1201&amp;" "&amp;B1201&amp;" "&amp;C1201</f>
        <v>Female CIM 49</v>
      </c>
      <c r="E1201" s="167" t="n">
        <v>0</v>
      </c>
      <c r="I1201" s="167" t="n">
        <v>0</v>
      </c>
    </row>
    <row r="1202" customFormat="false" ht="15" hidden="false" customHeight="true" outlineLevel="0" collapsed="false">
      <c r="A1202" s="167" t="s">
        <v>253</v>
      </c>
      <c r="B1202" s="167" t="s">
        <v>89</v>
      </c>
      <c r="C1202" s="167" t="n">
        <v>50</v>
      </c>
      <c r="D1202" s="167" t="str">
        <f aca="false">A1202&amp;" "&amp;B1202&amp;" "&amp;C1202</f>
        <v>Female CIM 50</v>
      </c>
      <c r="E1202" s="167" t="n">
        <v>1</v>
      </c>
      <c r="I1202" s="167" t="n">
        <v>0</v>
      </c>
    </row>
    <row r="1203" customFormat="false" ht="15" hidden="false" customHeight="true" outlineLevel="0" collapsed="false">
      <c r="A1203" s="167" t="s">
        <v>253</v>
      </c>
      <c r="B1203" s="167" t="s">
        <v>89</v>
      </c>
      <c r="C1203" s="167" t="n">
        <v>63</v>
      </c>
      <c r="D1203" s="167" t="str">
        <f aca="false">A1203&amp;" "&amp;B1203&amp;" "&amp;C1203</f>
        <v>Female CIM 63</v>
      </c>
      <c r="E1203" s="167" t="n">
        <v>0</v>
      </c>
      <c r="I1203" s="167" t="n">
        <v>0</v>
      </c>
    </row>
    <row r="1204" customFormat="false" ht="15" hidden="false" customHeight="true" outlineLevel="0" collapsed="false">
      <c r="A1204" s="167" t="s">
        <v>253</v>
      </c>
      <c r="B1204" s="167" t="s">
        <v>89</v>
      </c>
      <c r="C1204" s="167" t="n">
        <v>70</v>
      </c>
      <c r="D1204" s="167" t="str">
        <f aca="false">A1204&amp;" "&amp;B1204&amp;" "&amp;C1204</f>
        <v>Female CIM 70</v>
      </c>
      <c r="E1204" s="167" t="n">
        <v>0</v>
      </c>
      <c r="I1204" s="167" t="n">
        <v>0</v>
      </c>
    </row>
    <row r="1205" customFormat="false" ht="15" hidden="false" customHeight="true" outlineLevel="0" collapsed="false">
      <c r="A1205" s="167" t="s">
        <v>253</v>
      </c>
      <c r="B1205" s="167" t="s">
        <v>89</v>
      </c>
      <c r="C1205" s="167" t="n">
        <v>81</v>
      </c>
      <c r="D1205" s="167" t="str">
        <f aca="false">A1205&amp;" "&amp;B1205&amp;" "&amp;C1205</f>
        <v>Female CIM 81</v>
      </c>
      <c r="E1205" s="167" t="n">
        <v>0</v>
      </c>
      <c r="I1205" s="167" t="n">
        <v>0</v>
      </c>
    </row>
    <row r="1206" customFormat="false" ht="15" hidden="false" customHeight="true" outlineLevel="0" collapsed="false">
      <c r="A1206" s="167" t="s">
        <v>253</v>
      </c>
      <c r="B1206" s="167" t="s">
        <v>89</v>
      </c>
      <c r="C1206" s="167" t="n">
        <v>90</v>
      </c>
      <c r="D1206" s="167" t="str">
        <f aca="false">A1206&amp;" "&amp;B1206&amp;" "&amp;C1206</f>
        <v>Female CIM 90</v>
      </c>
      <c r="E1206" s="167" t="n">
        <v>0</v>
      </c>
      <c r="I1206" s="167" t="n">
        <v>0</v>
      </c>
    </row>
    <row r="1207" customFormat="false" ht="15" hidden="false" customHeight="true" outlineLevel="0" collapsed="false">
      <c r="A1207" s="167" t="s">
        <v>253</v>
      </c>
      <c r="B1207" s="167" t="s">
        <v>89</v>
      </c>
      <c r="C1207" s="167" t="n">
        <v>100</v>
      </c>
      <c r="D1207" s="167" t="str">
        <f aca="false">A1207&amp;" "&amp;B1207&amp;" "&amp;C1207</f>
        <v>Female CIM 100</v>
      </c>
      <c r="E1207" s="167" t="n">
        <v>0</v>
      </c>
      <c r="I1207" s="167" t="n">
        <v>0</v>
      </c>
    </row>
    <row r="1208" customFormat="false" ht="15" hidden="false" customHeight="true" outlineLevel="0" collapsed="false">
      <c r="A1208" s="167" t="s">
        <v>253</v>
      </c>
      <c r="B1208" s="167" t="s">
        <v>256</v>
      </c>
      <c r="C1208" s="167" t="n">
        <v>-3</v>
      </c>
      <c r="D1208" s="167" t="str">
        <f aca="false">A1208&amp;" "&amp;B1208&amp;" "&amp;C1208</f>
        <v>Female NEO -3</v>
      </c>
      <c r="E1208" s="167" t="n">
        <v>1</v>
      </c>
      <c r="I1208" s="167" t="n">
        <v>0</v>
      </c>
    </row>
    <row r="1209" customFormat="false" ht="15" hidden="false" customHeight="true" outlineLevel="0" collapsed="false">
      <c r="A1209" s="167" t="s">
        <v>253</v>
      </c>
      <c r="B1209" s="167" t="s">
        <v>256</v>
      </c>
      <c r="C1209" s="167" t="n">
        <v>-4</v>
      </c>
      <c r="D1209" s="167" t="str">
        <f aca="false">A1209&amp;" "&amp;B1209&amp;" "&amp;C1209</f>
        <v>Female NEO -4</v>
      </c>
      <c r="E1209" s="167" t="n">
        <v>1</v>
      </c>
      <c r="I1209" s="167" t="n">
        <v>0</v>
      </c>
    </row>
    <row r="1210" customFormat="false" ht="15" hidden="false" customHeight="true" outlineLevel="0" collapsed="false">
      <c r="A1210" s="167" t="s">
        <v>253</v>
      </c>
      <c r="B1210" s="167" t="s">
        <v>256</v>
      </c>
      <c r="C1210" s="167" t="n">
        <v>-5</v>
      </c>
      <c r="D1210" s="167" t="str">
        <f aca="false">A1210&amp;" "&amp;B1210&amp;" "&amp;C1210</f>
        <v>Female NEO -5</v>
      </c>
      <c r="E1210" s="167" t="n">
        <v>1</v>
      </c>
      <c r="I1210" s="167" t="n">
        <v>0</v>
      </c>
    </row>
    <row r="1211" customFormat="false" ht="15" hidden="false" customHeight="true" outlineLevel="0" collapsed="false">
      <c r="A1211" s="167" t="s">
        <v>253</v>
      </c>
      <c r="B1211" s="167" t="s">
        <v>256</v>
      </c>
      <c r="C1211" s="167" t="n">
        <v>-7</v>
      </c>
      <c r="D1211" s="167" t="str">
        <f aca="false">A1211&amp;" "&amp;B1211&amp;" "&amp;C1211</f>
        <v>Female NEO -7</v>
      </c>
      <c r="E1211" s="167" t="n">
        <v>1</v>
      </c>
      <c r="I1211" s="167" t="n">
        <v>0</v>
      </c>
    </row>
    <row r="1212" customFormat="false" ht="15" hidden="false" customHeight="true" outlineLevel="0" collapsed="false">
      <c r="A1212" s="167" t="s">
        <v>253</v>
      </c>
      <c r="B1212" s="167" t="s">
        <v>256</v>
      </c>
      <c r="C1212" s="167" t="n">
        <v>-9</v>
      </c>
      <c r="D1212" s="167" t="str">
        <f aca="false">A1212&amp;" "&amp;B1212&amp;" "&amp;C1212</f>
        <v>Female NEO -9</v>
      </c>
      <c r="E1212" s="167" t="n">
        <v>1</v>
      </c>
      <c r="I1212" s="167" t="n">
        <v>0</v>
      </c>
    </row>
    <row r="1213" customFormat="false" ht="15" hidden="false" customHeight="true" outlineLevel="0" collapsed="false">
      <c r="A1213" s="167" t="s">
        <v>253</v>
      </c>
      <c r="B1213" s="167" t="s">
        <v>256</v>
      </c>
      <c r="C1213" s="167" t="n">
        <v>-10</v>
      </c>
      <c r="D1213" s="167" t="str">
        <f aca="false">A1213&amp;" "&amp;B1213&amp;" "&amp;C1213</f>
        <v>Female NEO -10</v>
      </c>
      <c r="E1213" s="167" t="n">
        <v>1</v>
      </c>
      <c r="I1213" s="167" t="n">
        <v>0</v>
      </c>
    </row>
    <row r="1214" customFormat="false" ht="15" hidden="false" customHeight="true" outlineLevel="0" collapsed="false">
      <c r="A1214" s="167" t="s">
        <v>253</v>
      </c>
      <c r="B1214" s="167" t="s">
        <v>256</v>
      </c>
      <c r="C1214" s="167" t="n">
        <v>9</v>
      </c>
      <c r="D1214" s="167" t="str">
        <f aca="false">A1214&amp;" "&amp;B1214&amp;" "&amp;C1214</f>
        <v>Female NEO 9</v>
      </c>
      <c r="E1214" s="167" t="n">
        <v>5</v>
      </c>
      <c r="I1214" s="167" t="n">
        <v>0</v>
      </c>
    </row>
    <row r="1215" customFormat="false" ht="15" hidden="false" customHeight="true" outlineLevel="0" collapsed="false">
      <c r="A1215" s="167" t="s">
        <v>253</v>
      </c>
      <c r="B1215" s="167" t="s">
        <v>256</v>
      </c>
      <c r="C1215" s="167" t="n">
        <v>12</v>
      </c>
      <c r="D1215" s="167" t="str">
        <f aca="false">A1215&amp;" "&amp;B1215&amp;" "&amp;C1215</f>
        <v>Female NEO 12</v>
      </c>
      <c r="E1215" s="167" t="n">
        <v>3</v>
      </c>
      <c r="I1215" s="167" t="n">
        <v>0</v>
      </c>
    </row>
    <row r="1216" customFormat="false" ht="15" hidden="false" customHeight="true" outlineLevel="0" collapsed="false">
      <c r="A1216" s="167" t="s">
        <v>253</v>
      </c>
      <c r="B1216" s="167" t="s">
        <v>256</v>
      </c>
      <c r="C1216" s="167" t="n">
        <v>15</v>
      </c>
      <c r="D1216" s="167" t="str">
        <f aca="false">A1216&amp;" "&amp;B1216&amp;" "&amp;C1216</f>
        <v>Female NEO 15</v>
      </c>
      <c r="E1216" s="167" t="n">
        <v>3</v>
      </c>
      <c r="I1216" s="167" t="n">
        <v>0</v>
      </c>
    </row>
    <row r="1217" customFormat="false" ht="15" hidden="false" customHeight="true" outlineLevel="0" collapsed="false">
      <c r="A1217" s="167" t="s">
        <v>253</v>
      </c>
      <c r="B1217" s="167" t="s">
        <v>256</v>
      </c>
      <c r="C1217" s="167" t="n">
        <v>16</v>
      </c>
      <c r="D1217" s="167" t="str">
        <f aca="false">A1217&amp;" "&amp;B1217&amp;" "&amp;C1217</f>
        <v>Female NEO 16</v>
      </c>
      <c r="E1217" s="167" t="n">
        <v>1</v>
      </c>
      <c r="I1217" s="167" t="n">
        <v>0</v>
      </c>
    </row>
    <row r="1218" customFormat="false" ht="15" hidden="false" customHeight="true" outlineLevel="0" collapsed="false">
      <c r="A1218" s="167" t="s">
        <v>253</v>
      </c>
      <c r="B1218" s="167" t="s">
        <v>256</v>
      </c>
      <c r="C1218" s="167" t="n">
        <v>20</v>
      </c>
      <c r="D1218" s="167" t="str">
        <f aca="false">A1218&amp;" "&amp;B1218&amp;" "&amp;C1218</f>
        <v>Female NEO 20</v>
      </c>
      <c r="E1218" s="167" t="n">
        <v>1</v>
      </c>
      <c r="I1218" s="167" t="n">
        <v>0</v>
      </c>
    </row>
    <row r="1219" customFormat="false" ht="15" hidden="false" customHeight="true" outlineLevel="0" collapsed="false">
      <c r="A1219" s="167" t="s">
        <v>253</v>
      </c>
      <c r="B1219" s="167" t="s">
        <v>256</v>
      </c>
      <c r="C1219" s="167" t="n">
        <v>21</v>
      </c>
      <c r="D1219" s="167" t="str">
        <f aca="false">A1219&amp;" "&amp;B1219&amp;" "&amp;C1219</f>
        <v>Female NEO 21</v>
      </c>
      <c r="E1219" s="167" t="n">
        <v>1</v>
      </c>
      <c r="I1219" s="167" t="n">
        <v>0</v>
      </c>
    </row>
    <row r="1220" customFormat="false" ht="15" hidden="false" customHeight="true" outlineLevel="0" collapsed="false">
      <c r="A1220" s="167" t="s">
        <v>253</v>
      </c>
      <c r="B1220" s="167" t="s">
        <v>256</v>
      </c>
      <c r="C1220" s="167" t="n">
        <v>25</v>
      </c>
      <c r="D1220" s="167" t="str">
        <f aca="false">A1220&amp;" "&amp;B1220&amp;" "&amp;C1220</f>
        <v>Female NEO 25</v>
      </c>
      <c r="E1220" s="167" t="n">
        <v>1</v>
      </c>
      <c r="I1220" s="167" t="n">
        <v>0</v>
      </c>
    </row>
    <row r="1221" customFormat="false" ht="15" hidden="false" customHeight="true" outlineLevel="0" collapsed="false">
      <c r="A1221" s="167" t="s">
        <v>253</v>
      </c>
      <c r="B1221" s="167" t="s">
        <v>256</v>
      </c>
      <c r="C1221" s="167" t="n">
        <v>27</v>
      </c>
      <c r="D1221" s="167" t="str">
        <f aca="false">A1221&amp;" "&amp;B1221&amp;" "&amp;C1221</f>
        <v>Female NEO 27</v>
      </c>
      <c r="E1221" s="167" t="n">
        <v>1</v>
      </c>
      <c r="I1221" s="167" t="n">
        <v>0</v>
      </c>
    </row>
    <row r="1222" customFormat="false" ht="15" hidden="false" customHeight="true" outlineLevel="0" collapsed="false">
      <c r="A1222" s="167" t="s">
        <v>253</v>
      </c>
      <c r="B1222" s="167" t="s">
        <v>256</v>
      </c>
      <c r="C1222" s="167" t="n">
        <v>28</v>
      </c>
      <c r="D1222" s="167" t="str">
        <f aca="false">A1222&amp;" "&amp;B1222&amp;" "&amp;C1222</f>
        <v>Female NEO 28</v>
      </c>
      <c r="E1222" s="167" t="n">
        <v>1</v>
      </c>
      <c r="I1222" s="167" t="n">
        <v>0</v>
      </c>
    </row>
    <row r="1223" customFormat="false" ht="15" hidden="false" customHeight="true" outlineLevel="0" collapsed="false">
      <c r="A1223" s="167" t="s">
        <v>253</v>
      </c>
      <c r="B1223" s="167" t="s">
        <v>256</v>
      </c>
      <c r="C1223" s="167" t="n">
        <v>30</v>
      </c>
      <c r="D1223" s="167" t="str">
        <f aca="false">A1223&amp;" "&amp;B1223&amp;" "&amp;C1223</f>
        <v>Female NEO 30</v>
      </c>
      <c r="E1223" s="167" t="n">
        <v>1</v>
      </c>
      <c r="I1223" s="167" t="n">
        <v>0</v>
      </c>
    </row>
    <row r="1224" customFormat="false" ht="15" hidden="false" customHeight="true" outlineLevel="0" collapsed="false">
      <c r="A1224" s="167" t="s">
        <v>253</v>
      </c>
      <c r="B1224" s="167" t="s">
        <v>256</v>
      </c>
      <c r="C1224" s="167" t="n">
        <v>35</v>
      </c>
      <c r="D1224" s="167" t="str">
        <f aca="false">A1224&amp;" "&amp;B1224&amp;" "&amp;C1224</f>
        <v>Female NEO 35</v>
      </c>
      <c r="E1224" s="167" t="n">
        <v>1</v>
      </c>
      <c r="I1224" s="167" t="n">
        <v>0</v>
      </c>
    </row>
    <row r="1225" customFormat="false" ht="15" hidden="false" customHeight="true" outlineLevel="0" collapsed="false">
      <c r="A1225" s="167" t="s">
        <v>253</v>
      </c>
      <c r="B1225" s="167" t="s">
        <v>256</v>
      </c>
      <c r="C1225" s="167" t="n">
        <v>36</v>
      </c>
      <c r="D1225" s="167" t="str">
        <f aca="false">A1225&amp;" "&amp;B1225&amp;" "&amp;C1225</f>
        <v>Female NEO 36</v>
      </c>
      <c r="E1225" s="167" t="n">
        <v>1</v>
      </c>
      <c r="I1225" s="167" t="n">
        <v>0</v>
      </c>
    </row>
    <row r="1226" customFormat="false" ht="15" hidden="false" customHeight="true" outlineLevel="0" collapsed="false">
      <c r="A1226" s="167" t="s">
        <v>253</v>
      </c>
      <c r="B1226" s="167" t="s">
        <v>256</v>
      </c>
      <c r="C1226" s="167" t="n">
        <v>40</v>
      </c>
      <c r="D1226" s="167" t="str">
        <f aca="false">A1226&amp;" "&amp;B1226&amp;" "&amp;C1226</f>
        <v>Female NEO 40</v>
      </c>
      <c r="E1226" s="167" t="n">
        <v>1</v>
      </c>
      <c r="I1226" s="167" t="n">
        <v>0</v>
      </c>
    </row>
    <row r="1227" customFormat="false" ht="15" hidden="false" customHeight="true" outlineLevel="0" collapsed="false">
      <c r="A1227" s="167" t="s">
        <v>253</v>
      </c>
      <c r="B1227" s="167" t="s">
        <v>256</v>
      </c>
      <c r="C1227" s="167" t="n">
        <v>45</v>
      </c>
      <c r="D1227" s="167" t="str">
        <f aca="false">A1227&amp;" "&amp;B1227&amp;" "&amp;C1227</f>
        <v>Female NEO 45</v>
      </c>
      <c r="E1227" s="167" t="n">
        <v>1</v>
      </c>
      <c r="I1227" s="167" t="n">
        <v>0</v>
      </c>
    </row>
    <row r="1228" customFormat="false" ht="15" hidden="false" customHeight="true" outlineLevel="0" collapsed="false">
      <c r="A1228" s="167" t="s">
        <v>253</v>
      </c>
      <c r="B1228" s="167" t="s">
        <v>256</v>
      </c>
      <c r="C1228" s="167" t="n">
        <v>49</v>
      </c>
      <c r="D1228" s="167" t="str">
        <f aca="false">A1228&amp;" "&amp;B1228&amp;" "&amp;C1228</f>
        <v>Female NEO 49</v>
      </c>
      <c r="E1228" s="167" t="n">
        <v>0</v>
      </c>
      <c r="I1228" s="167" t="n">
        <v>0</v>
      </c>
    </row>
    <row r="1229" customFormat="false" ht="15" hidden="false" customHeight="true" outlineLevel="0" collapsed="false">
      <c r="A1229" s="167" t="s">
        <v>253</v>
      </c>
      <c r="B1229" s="167" t="s">
        <v>256</v>
      </c>
      <c r="C1229" s="167" t="n">
        <v>50</v>
      </c>
      <c r="D1229" s="167" t="str">
        <f aca="false">A1229&amp;" "&amp;B1229&amp;" "&amp;C1229</f>
        <v>Female NEO 50</v>
      </c>
      <c r="E1229" s="167" t="n">
        <v>0</v>
      </c>
      <c r="I1229" s="167" t="n">
        <v>0</v>
      </c>
    </row>
    <row r="1230" customFormat="false" ht="15" hidden="false" customHeight="true" outlineLevel="0" collapsed="false">
      <c r="A1230" s="167" t="s">
        <v>253</v>
      </c>
      <c r="B1230" s="167" t="s">
        <v>256</v>
      </c>
      <c r="C1230" s="167" t="n">
        <v>63</v>
      </c>
      <c r="D1230" s="167" t="str">
        <f aca="false">A1230&amp;" "&amp;B1230&amp;" "&amp;C1230</f>
        <v>Female NEO 63</v>
      </c>
      <c r="E1230" s="167" t="n">
        <v>0</v>
      </c>
      <c r="I1230" s="167" t="n">
        <v>0</v>
      </c>
    </row>
    <row r="1231" customFormat="false" ht="15" hidden="false" customHeight="true" outlineLevel="0" collapsed="false">
      <c r="A1231" s="167" t="s">
        <v>253</v>
      </c>
      <c r="B1231" s="167" t="s">
        <v>256</v>
      </c>
      <c r="C1231" s="167" t="n">
        <v>70</v>
      </c>
      <c r="D1231" s="167" t="str">
        <f aca="false">A1231&amp;" "&amp;B1231&amp;" "&amp;C1231</f>
        <v>Female NEO 70</v>
      </c>
      <c r="E1231" s="167" t="n">
        <v>0</v>
      </c>
      <c r="I1231" s="167" t="n">
        <v>0</v>
      </c>
    </row>
    <row r="1232" customFormat="false" ht="15" hidden="false" customHeight="true" outlineLevel="0" collapsed="false">
      <c r="A1232" s="167" t="s">
        <v>253</v>
      </c>
      <c r="B1232" s="167" t="s">
        <v>256</v>
      </c>
      <c r="C1232" s="167" t="n">
        <v>81</v>
      </c>
      <c r="D1232" s="167" t="str">
        <f aca="false">A1232&amp;" "&amp;B1232&amp;" "&amp;C1232</f>
        <v>Female NEO 81</v>
      </c>
      <c r="E1232" s="167" t="n">
        <v>0</v>
      </c>
      <c r="I1232" s="167" t="n">
        <v>0</v>
      </c>
    </row>
    <row r="1233" customFormat="false" ht="15" hidden="false" customHeight="true" outlineLevel="0" collapsed="false">
      <c r="A1233" s="167" t="s">
        <v>253</v>
      </c>
      <c r="B1233" s="167" t="s">
        <v>256</v>
      </c>
      <c r="C1233" s="167" t="n">
        <v>90</v>
      </c>
      <c r="D1233" s="167" t="str">
        <f aca="false">A1233&amp;" "&amp;B1233&amp;" "&amp;C1233</f>
        <v>Female NEO 90</v>
      </c>
      <c r="E1233" s="167" t="n">
        <v>0</v>
      </c>
      <c r="I1233" s="167" t="n">
        <v>0</v>
      </c>
    </row>
    <row r="1234" customFormat="false" ht="15" hidden="false" customHeight="true" outlineLevel="0" collapsed="false">
      <c r="A1234" s="167" t="s">
        <v>253</v>
      </c>
      <c r="B1234" s="167" t="s">
        <v>256</v>
      </c>
      <c r="C1234" s="167" t="n">
        <v>100</v>
      </c>
      <c r="D1234" s="167" t="str">
        <f aca="false">A1234&amp;" "&amp;B1234&amp;" "&amp;C1234</f>
        <v>Female NEO 100</v>
      </c>
      <c r="E1234" s="167" t="n">
        <v>0</v>
      </c>
      <c r="I1234" s="167" t="n">
        <v>0</v>
      </c>
    </row>
    <row r="1235" customFormat="false" ht="15" hidden="false" customHeight="true" outlineLevel="0" collapsed="false">
      <c r="A1235" s="167" t="s">
        <v>253</v>
      </c>
      <c r="B1235" s="167" t="s">
        <v>257</v>
      </c>
      <c r="C1235" s="167" t="n">
        <v>-3</v>
      </c>
      <c r="D1235" s="167" t="str">
        <f aca="false">A1235&amp;" "&amp;B1235&amp;" "&amp;C1235</f>
        <v>Female Falcon 500 -3</v>
      </c>
      <c r="E1235" s="167" t="n">
        <v>1</v>
      </c>
      <c r="I1235" s="167" t="n">
        <v>0</v>
      </c>
    </row>
    <row r="1236" customFormat="false" ht="15" hidden="false" customHeight="true" outlineLevel="0" collapsed="false">
      <c r="A1236" s="167" t="s">
        <v>253</v>
      </c>
      <c r="B1236" s="167" t="s">
        <v>257</v>
      </c>
      <c r="C1236" s="167" t="n">
        <v>-4</v>
      </c>
      <c r="D1236" s="167" t="str">
        <f aca="false">A1236&amp;" "&amp;B1236&amp;" "&amp;C1236</f>
        <v>Female Falcon 500 -4</v>
      </c>
      <c r="E1236" s="167" t="n">
        <v>1</v>
      </c>
      <c r="I1236" s="167" t="n">
        <v>0</v>
      </c>
    </row>
    <row r="1237" customFormat="false" ht="15" hidden="false" customHeight="true" outlineLevel="0" collapsed="false">
      <c r="A1237" s="167" t="s">
        <v>253</v>
      </c>
      <c r="B1237" s="167" t="s">
        <v>257</v>
      </c>
      <c r="C1237" s="167" t="n">
        <v>-5</v>
      </c>
      <c r="D1237" s="167" t="str">
        <f aca="false">A1237&amp;" "&amp;B1237&amp;" "&amp;C1237</f>
        <v>Female Falcon 500 -5</v>
      </c>
      <c r="E1237" s="167" t="n">
        <v>1</v>
      </c>
      <c r="I1237" s="167" t="n">
        <v>0</v>
      </c>
    </row>
    <row r="1238" customFormat="false" ht="15" hidden="false" customHeight="true" outlineLevel="0" collapsed="false">
      <c r="A1238" s="167" t="s">
        <v>253</v>
      </c>
      <c r="B1238" s="167" t="s">
        <v>257</v>
      </c>
      <c r="C1238" s="167" t="n">
        <v>-7</v>
      </c>
      <c r="D1238" s="167" t="str">
        <f aca="false">A1238&amp;" "&amp;B1238&amp;" "&amp;C1238</f>
        <v>Female Falcon 500 -7</v>
      </c>
      <c r="E1238" s="167" t="n">
        <v>1</v>
      </c>
      <c r="I1238" s="167" t="n">
        <v>0</v>
      </c>
    </row>
    <row r="1239" customFormat="false" ht="15" hidden="false" customHeight="true" outlineLevel="0" collapsed="false">
      <c r="A1239" s="167" t="s">
        <v>253</v>
      </c>
      <c r="B1239" s="167" t="s">
        <v>257</v>
      </c>
      <c r="C1239" s="167" t="n">
        <v>-9</v>
      </c>
      <c r="D1239" s="167" t="str">
        <f aca="false">A1239&amp;" "&amp;B1239&amp;" "&amp;C1239</f>
        <v>Female Falcon 500 -9</v>
      </c>
      <c r="E1239" s="167" t="n">
        <v>1</v>
      </c>
      <c r="I1239" s="167" t="n">
        <v>0</v>
      </c>
    </row>
    <row r="1240" customFormat="false" ht="15" hidden="false" customHeight="true" outlineLevel="0" collapsed="false">
      <c r="A1240" s="167" t="s">
        <v>253</v>
      </c>
      <c r="B1240" s="167" t="s">
        <v>257</v>
      </c>
      <c r="C1240" s="167" t="n">
        <v>-10</v>
      </c>
      <c r="D1240" s="167" t="str">
        <f aca="false">A1240&amp;" "&amp;B1240&amp;" "&amp;C1240</f>
        <v>Female Falcon 500 -10</v>
      </c>
      <c r="E1240" s="167" t="n">
        <v>1</v>
      </c>
      <c r="I1240" s="167" t="n">
        <v>0</v>
      </c>
    </row>
    <row r="1241" customFormat="false" ht="15" hidden="false" customHeight="true" outlineLevel="0" collapsed="false">
      <c r="A1241" s="167" t="s">
        <v>253</v>
      </c>
      <c r="B1241" s="167" t="s">
        <v>257</v>
      </c>
      <c r="C1241" s="167" t="n">
        <v>9</v>
      </c>
      <c r="D1241" s="167" t="str">
        <f aca="false">A1241&amp;" "&amp;B1241&amp;" "&amp;C1241</f>
        <v>Female Falcon 500 9</v>
      </c>
      <c r="E1241" s="167" t="n">
        <v>3</v>
      </c>
      <c r="I1241" s="167" t="n">
        <v>0</v>
      </c>
    </row>
    <row r="1242" customFormat="false" ht="15" hidden="false" customHeight="true" outlineLevel="0" collapsed="false">
      <c r="A1242" s="167" t="s">
        <v>253</v>
      </c>
      <c r="B1242" s="167" t="s">
        <v>257</v>
      </c>
      <c r="C1242" s="167" t="n">
        <v>12</v>
      </c>
      <c r="D1242" s="167" t="str">
        <f aca="false">A1242&amp;" "&amp;B1242&amp;" "&amp;C1242</f>
        <v>Female Falcon 500 12</v>
      </c>
      <c r="E1242" s="167" t="n">
        <v>1</v>
      </c>
      <c r="I1242" s="167" t="n">
        <v>0</v>
      </c>
    </row>
    <row r="1243" customFormat="false" ht="15" hidden="false" customHeight="true" outlineLevel="0" collapsed="false">
      <c r="A1243" s="167" t="s">
        <v>253</v>
      </c>
      <c r="B1243" s="167" t="s">
        <v>257</v>
      </c>
      <c r="C1243" s="167" t="n">
        <v>15</v>
      </c>
      <c r="D1243" s="167" t="str">
        <f aca="false">A1243&amp;" "&amp;B1243&amp;" "&amp;C1243</f>
        <v>Female Falcon 500 15</v>
      </c>
      <c r="E1243" s="167" t="n">
        <v>1</v>
      </c>
      <c r="I1243" s="167" t="n">
        <v>0</v>
      </c>
    </row>
    <row r="1244" customFormat="false" ht="15" hidden="false" customHeight="true" outlineLevel="0" collapsed="false">
      <c r="A1244" s="167" t="s">
        <v>253</v>
      </c>
      <c r="B1244" s="167" t="s">
        <v>257</v>
      </c>
      <c r="C1244" s="167" t="n">
        <v>16</v>
      </c>
      <c r="D1244" s="167" t="str">
        <f aca="false">A1244&amp;" "&amp;B1244&amp;" "&amp;C1244</f>
        <v>Female Falcon 500 16</v>
      </c>
      <c r="E1244" s="167" t="n">
        <v>1</v>
      </c>
      <c r="I1244" s="167" t="n">
        <v>0</v>
      </c>
    </row>
    <row r="1245" customFormat="false" ht="15" hidden="false" customHeight="true" outlineLevel="0" collapsed="false">
      <c r="A1245" s="167" t="s">
        <v>253</v>
      </c>
      <c r="B1245" s="167" t="s">
        <v>257</v>
      </c>
      <c r="C1245" s="167" t="n">
        <v>20</v>
      </c>
      <c r="D1245" s="167" t="str">
        <f aca="false">A1245&amp;" "&amp;B1245&amp;" "&amp;C1245</f>
        <v>Female Falcon 500 20</v>
      </c>
      <c r="E1245" s="167" t="n">
        <v>1</v>
      </c>
      <c r="I1245" s="167" t="n">
        <v>0</v>
      </c>
    </row>
    <row r="1246" customFormat="false" ht="15" hidden="false" customHeight="true" outlineLevel="0" collapsed="false">
      <c r="A1246" s="167" t="s">
        <v>253</v>
      </c>
      <c r="B1246" s="167" t="s">
        <v>257</v>
      </c>
      <c r="C1246" s="167" t="n">
        <v>21</v>
      </c>
      <c r="D1246" s="167" t="str">
        <f aca="false">A1246&amp;" "&amp;B1246&amp;" "&amp;C1246</f>
        <v>Female Falcon 500 21</v>
      </c>
      <c r="E1246" s="167" t="n">
        <v>1</v>
      </c>
      <c r="I1246" s="167" t="n">
        <v>0</v>
      </c>
    </row>
    <row r="1247" customFormat="false" ht="15" hidden="false" customHeight="true" outlineLevel="0" collapsed="false">
      <c r="A1247" s="167" t="s">
        <v>253</v>
      </c>
      <c r="B1247" s="167" t="s">
        <v>257</v>
      </c>
      <c r="C1247" s="167" t="n">
        <v>25</v>
      </c>
      <c r="D1247" s="167" t="str">
        <f aca="false">A1247&amp;" "&amp;B1247&amp;" "&amp;C1247</f>
        <v>Female Falcon 500 25</v>
      </c>
      <c r="E1247" s="167" t="n">
        <v>1</v>
      </c>
      <c r="I1247" s="167" t="n">
        <v>0</v>
      </c>
    </row>
    <row r="1248" customFormat="false" ht="15" hidden="false" customHeight="true" outlineLevel="0" collapsed="false">
      <c r="A1248" s="167" t="s">
        <v>253</v>
      </c>
      <c r="B1248" s="167" t="s">
        <v>257</v>
      </c>
      <c r="C1248" s="167" t="n">
        <v>27</v>
      </c>
      <c r="D1248" s="167" t="str">
        <f aca="false">A1248&amp;" "&amp;B1248&amp;" "&amp;C1248</f>
        <v>Female Falcon 500 27</v>
      </c>
      <c r="E1248" s="167" t="n">
        <v>1</v>
      </c>
      <c r="I1248" s="167" t="n">
        <v>0</v>
      </c>
    </row>
    <row r="1249" customFormat="false" ht="15" hidden="false" customHeight="true" outlineLevel="0" collapsed="false">
      <c r="A1249" s="167" t="s">
        <v>253</v>
      </c>
      <c r="B1249" s="167" t="s">
        <v>257</v>
      </c>
      <c r="C1249" s="167" t="n">
        <v>28</v>
      </c>
      <c r="D1249" s="167" t="str">
        <f aca="false">A1249&amp;" "&amp;B1249&amp;" "&amp;C1249</f>
        <v>Female Falcon 500 28</v>
      </c>
      <c r="E1249" s="167" t="n">
        <v>1</v>
      </c>
      <c r="I1249" s="167" t="n">
        <v>0</v>
      </c>
    </row>
    <row r="1250" customFormat="false" ht="15" hidden="false" customHeight="true" outlineLevel="0" collapsed="false">
      <c r="A1250" s="167" t="s">
        <v>253</v>
      </c>
      <c r="B1250" s="167" t="s">
        <v>257</v>
      </c>
      <c r="C1250" s="167" t="n">
        <v>30</v>
      </c>
      <c r="D1250" s="167" t="str">
        <f aca="false">A1250&amp;" "&amp;B1250&amp;" "&amp;C1250</f>
        <v>Female Falcon 500 30</v>
      </c>
      <c r="E1250" s="167" t="n">
        <v>1</v>
      </c>
      <c r="I1250" s="167" t="n">
        <v>0</v>
      </c>
    </row>
    <row r="1251" customFormat="false" ht="15" hidden="false" customHeight="true" outlineLevel="0" collapsed="false">
      <c r="A1251" s="167" t="s">
        <v>253</v>
      </c>
      <c r="B1251" s="167" t="s">
        <v>257</v>
      </c>
      <c r="C1251" s="167" t="n">
        <v>35</v>
      </c>
      <c r="D1251" s="167" t="str">
        <f aca="false">A1251&amp;" "&amp;B1251&amp;" "&amp;C1251</f>
        <v>Female Falcon 500 35</v>
      </c>
      <c r="E1251" s="167" t="n">
        <v>0</v>
      </c>
      <c r="I1251" s="167" t="n">
        <v>0</v>
      </c>
    </row>
    <row r="1252" customFormat="false" ht="15" hidden="false" customHeight="true" outlineLevel="0" collapsed="false">
      <c r="A1252" s="167" t="s">
        <v>253</v>
      </c>
      <c r="B1252" s="167" t="s">
        <v>257</v>
      </c>
      <c r="C1252" s="167" t="n">
        <v>36</v>
      </c>
      <c r="D1252" s="167" t="str">
        <f aca="false">A1252&amp;" "&amp;B1252&amp;" "&amp;C1252</f>
        <v>Female Falcon 500 36</v>
      </c>
      <c r="E1252" s="167" t="n">
        <v>0</v>
      </c>
      <c r="I1252" s="167" t="n">
        <v>0</v>
      </c>
    </row>
    <row r="1253" customFormat="false" ht="15" hidden="false" customHeight="true" outlineLevel="0" collapsed="false">
      <c r="A1253" s="167" t="s">
        <v>253</v>
      </c>
      <c r="B1253" s="167" t="s">
        <v>257</v>
      </c>
      <c r="C1253" s="167" t="n">
        <v>40</v>
      </c>
      <c r="D1253" s="167" t="str">
        <f aca="false">A1253&amp;" "&amp;B1253&amp;" "&amp;C1253</f>
        <v>Female Falcon 500 40</v>
      </c>
      <c r="E1253" s="167" t="n">
        <v>0</v>
      </c>
      <c r="I1253" s="167" t="n">
        <v>0</v>
      </c>
    </row>
    <row r="1254" customFormat="false" ht="15" hidden="false" customHeight="true" outlineLevel="0" collapsed="false">
      <c r="A1254" s="167" t="s">
        <v>253</v>
      </c>
      <c r="B1254" s="167" t="s">
        <v>257</v>
      </c>
      <c r="C1254" s="167" t="n">
        <v>45</v>
      </c>
      <c r="D1254" s="167" t="str">
        <f aca="false">A1254&amp;" "&amp;B1254&amp;" "&amp;C1254</f>
        <v>Female Falcon 500 45</v>
      </c>
      <c r="E1254" s="167" t="n">
        <v>0</v>
      </c>
      <c r="I1254" s="167" t="n">
        <v>0</v>
      </c>
    </row>
    <row r="1255" customFormat="false" ht="15" hidden="false" customHeight="true" outlineLevel="0" collapsed="false">
      <c r="A1255" s="167" t="s">
        <v>253</v>
      </c>
      <c r="B1255" s="167" t="s">
        <v>257</v>
      </c>
      <c r="C1255" s="167" t="n">
        <v>49</v>
      </c>
      <c r="D1255" s="167" t="str">
        <f aca="false">A1255&amp;" "&amp;B1255&amp;" "&amp;C1255</f>
        <v>Female Falcon 500 49</v>
      </c>
      <c r="E1255" s="167" t="n">
        <v>0</v>
      </c>
      <c r="I1255" s="167" t="n">
        <v>0</v>
      </c>
    </row>
    <row r="1256" customFormat="false" ht="15" hidden="false" customHeight="true" outlineLevel="0" collapsed="false">
      <c r="A1256" s="167" t="s">
        <v>253</v>
      </c>
      <c r="B1256" s="167" t="s">
        <v>257</v>
      </c>
      <c r="C1256" s="167" t="n">
        <v>50</v>
      </c>
      <c r="D1256" s="167" t="str">
        <f aca="false">A1256&amp;" "&amp;B1256&amp;" "&amp;C1256</f>
        <v>Female Falcon 500 50</v>
      </c>
      <c r="E1256" s="167" t="n">
        <v>0</v>
      </c>
      <c r="I1256" s="167" t="n">
        <v>0</v>
      </c>
    </row>
    <row r="1257" customFormat="false" ht="15" hidden="false" customHeight="true" outlineLevel="0" collapsed="false">
      <c r="A1257" s="167" t="s">
        <v>253</v>
      </c>
      <c r="B1257" s="167" t="s">
        <v>257</v>
      </c>
      <c r="C1257" s="167" t="n">
        <v>63</v>
      </c>
      <c r="D1257" s="167" t="str">
        <f aca="false">A1257&amp;" "&amp;B1257&amp;" "&amp;C1257</f>
        <v>Female Falcon 500 63</v>
      </c>
      <c r="E1257" s="167" t="n">
        <v>0</v>
      </c>
      <c r="I1257" s="167" t="n">
        <v>0</v>
      </c>
    </row>
    <row r="1258" customFormat="false" ht="15" hidden="false" customHeight="true" outlineLevel="0" collapsed="false">
      <c r="A1258" s="167" t="s">
        <v>253</v>
      </c>
      <c r="B1258" s="167" t="s">
        <v>257</v>
      </c>
      <c r="C1258" s="167" t="n">
        <v>70</v>
      </c>
      <c r="D1258" s="167" t="str">
        <f aca="false">A1258&amp;" "&amp;B1258&amp;" "&amp;C1258</f>
        <v>Female Falcon 500 70</v>
      </c>
      <c r="E1258" s="167" t="n">
        <v>0</v>
      </c>
      <c r="I1258" s="167" t="n">
        <v>0</v>
      </c>
    </row>
    <row r="1259" customFormat="false" ht="15" hidden="false" customHeight="true" outlineLevel="0" collapsed="false">
      <c r="A1259" s="167" t="s">
        <v>253</v>
      </c>
      <c r="B1259" s="167" t="s">
        <v>257</v>
      </c>
      <c r="C1259" s="167" t="n">
        <v>81</v>
      </c>
      <c r="D1259" s="167" t="str">
        <f aca="false">A1259&amp;" "&amp;B1259&amp;" "&amp;C1259</f>
        <v>Female Falcon 500 81</v>
      </c>
      <c r="E1259" s="167" t="n">
        <v>0</v>
      </c>
      <c r="I1259" s="167" t="n">
        <v>0</v>
      </c>
    </row>
    <row r="1260" customFormat="false" ht="15" hidden="false" customHeight="true" outlineLevel="0" collapsed="false">
      <c r="A1260" s="167" t="s">
        <v>253</v>
      </c>
      <c r="B1260" s="167" t="s">
        <v>257</v>
      </c>
      <c r="C1260" s="167" t="n">
        <v>90</v>
      </c>
      <c r="D1260" s="167" t="str">
        <f aca="false">A1260&amp;" "&amp;B1260&amp;" "&amp;C1260</f>
        <v>Female Falcon 500 90</v>
      </c>
      <c r="E1260" s="167" t="n">
        <v>0</v>
      </c>
      <c r="I1260" s="167" t="n">
        <v>0</v>
      </c>
    </row>
    <row r="1261" customFormat="false" ht="15" hidden="false" customHeight="true" outlineLevel="0" collapsed="false">
      <c r="A1261" s="167" t="s">
        <v>253</v>
      </c>
      <c r="B1261" s="167" t="s">
        <v>257</v>
      </c>
      <c r="C1261" s="167" t="n">
        <v>100</v>
      </c>
      <c r="D1261" s="167" t="str">
        <f aca="false">A1261&amp;" "&amp;B1261&amp;" "&amp;C1261</f>
        <v>Female Falcon 500 100</v>
      </c>
      <c r="E1261" s="167" t="n">
        <v>0</v>
      </c>
      <c r="I1261" s="167" t="n">
        <v>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B1:M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25" zeroHeight="false" outlineLevelRow="0" outlineLevelCol="0"/>
  <cols>
    <col collapsed="false" customWidth="true" hidden="false" outlineLevel="0" max="1" min="1" style="168" width="7.15"/>
    <col collapsed="false" customWidth="true" hidden="false" outlineLevel="0" max="2" min="2" style="168" width="3.29"/>
    <col collapsed="false" customWidth="true" hidden="false" outlineLevel="0" max="3" min="3" style="168" width="18.29"/>
    <col collapsed="false" customWidth="true" hidden="false" outlineLevel="0" max="4" min="4" style="168" width="12.42"/>
    <col collapsed="false" customWidth="true" hidden="false" outlineLevel="0" max="5" min="5" style="168" width="8.42"/>
    <col collapsed="false" customWidth="true" hidden="false" outlineLevel="0" max="6" min="6" style="168" width="26.14"/>
    <col collapsed="false" customWidth="true" hidden="false" outlineLevel="0" max="7" min="7" style="168" width="8.42"/>
    <col collapsed="false" customWidth="true" hidden="false" outlineLevel="0" max="8" min="8" style="168" width="4.43"/>
    <col collapsed="false" customWidth="true" hidden="false" outlineLevel="0" max="9" min="9" style="168" width="16.29"/>
    <col collapsed="false" customWidth="true" hidden="false" outlineLevel="0" max="10" min="10" style="168" width="6.42"/>
    <col collapsed="false" customWidth="true" hidden="false" outlineLevel="0" max="11" min="11" style="168" width="3.71"/>
    <col collapsed="false" customWidth="true" hidden="false" outlineLevel="0" max="12" min="12" style="168" width="22.01"/>
    <col collapsed="false" customWidth="true" hidden="false" outlineLevel="0" max="27" min="13" style="168" width="8.42"/>
    <col collapsed="false" customWidth="true" hidden="false" outlineLevel="0" max="1025" min="28" style="168" width="14.01"/>
  </cols>
  <sheetData>
    <row r="1" s="169" customFormat="true" ht="14.25" hidden="false" customHeight="true" outlineLevel="0" collapsed="false"/>
    <row r="2" s="169" customFormat="true" ht="31.15" hidden="false" customHeight="true" outlineLevel="0" collapsed="false">
      <c r="C2" s="19" t="s">
        <v>30</v>
      </c>
    </row>
    <row r="3" s="169" customFormat="true" ht="14.25" hidden="false" customHeight="true" outlineLevel="0" collapsed="false"/>
    <row r="4" s="169" customFormat="true" ht="14.25" hidden="false" customHeight="true" outlineLevel="0" collapsed="false">
      <c r="B4" s="20" t="n">
        <f aca="false">FALSE()</f>
        <v>0</v>
      </c>
      <c r="C4" s="169" t="s">
        <v>40</v>
      </c>
    </row>
    <row r="5" customFormat="false" ht="18" hidden="false" customHeight="true" outlineLevel="0" collapsed="false">
      <c r="H5" s="170" t="s">
        <v>315</v>
      </c>
      <c r="I5" s="170"/>
      <c r="K5" s="170" t="s">
        <v>316</v>
      </c>
      <c r="L5" s="170"/>
    </row>
    <row r="6" customFormat="false" ht="14.25" hidden="false" customHeight="true" outlineLevel="0" collapsed="false">
      <c r="C6" s="171" t="s">
        <v>317</v>
      </c>
      <c r="D6" s="172" t="s">
        <v>41</v>
      </c>
      <c r="F6" s="173" t="s">
        <v>318</v>
      </c>
      <c r="H6" s="174" t="s">
        <v>319</v>
      </c>
      <c r="I6" s="175" t="s">
        <v>320</v>
      </c>
      <c r="J6" s="176" t="e">
        <f aca="false">VLOOKUP($D$15, VP_Base, 6, 0) &amp; IF($D$7="None",VLOOKUP($D$6, VP_Motor, 6, 0), "") &amp; VLOOKUP($D$7, VP_DualMotor, CHOOSE(MATCH($D$6, {"775pro","CIM","Mini CIM","BAG","BB RS-775","BB RS-550","AM 9015","NeverRest"}),7,9,9,8,7,6,6,9), 0) &amp; VLOOKUP($D$9, VP_Stage, 6, 0) &amp; VLOOKUP($D$10, VP_Stage, 6, 0) &amp; VLOOKUP($D$11, VP_Stage, 6, 0) &amp; VLOOKUP($D$8, VP_180, CHOOSE(MATCH($D$6, {"775pro","CIM","Mini CIM","BAG","BB RS-775","BB RS-550","AM 9015","NeverRest"}),7,9,9,8,7,6,6,9), 0) &amp; VLOOKUP($D$12, VP_90, 6, 0) &amp; VLOOKUP($D$13, VP_Ratchet, 6, 0) &amp; VLOOKUP($D$14, VP_Encoder, 6, 0)</f>
        <v>#N/A</v>
      </c>
      <c r="K6" s="174" t="s">
        <v>319</v>
      </c>
      <c r="L6" s="175" t="s">
        <v>320</v>
      </c>
      <c r="M6" s="176" t="e">
        <f aca="false">VLOOKUP($D$15, VP_Base, 7, 0) &amp; IF($D$7="None",VLOOKUP($D$6, VP_Motor, 7, 0), "") &amp; VLOOKUP($D$7, VP_DualMotor, CHOOSE(MATCH($D$6, {"775pro","CIM","Mini CIM","BAG","BB RS-775","BB RS-550","AM 9015","NeverRest"}),7,9,9,8,7,6,6,9), 0) &amp; VLOOKUP($D$9, VP_Stage, 7, 0) &amp; VLOOKUP($D$10, VP_Stage, 7, 0) &amp; VLOOKUP($D$11, VP_Stage, 7, 0) &amp; VLOOKUP($D$8, VP_180, CHOOSE(MATCH($D$6, {"775pro","CIM","Mini CIM","BAG","BB RS-775","BB RS-550","AM 9015","NeverRest"}),7,9,9,8,7,6,6,9), 0) &amp; VLOOKUP($D$12, VP_90, 6, 0) &amp; VLOOKUP($D$13, VP_Ratchet, 6, 0) &amp; VLOOKUP($D$14, VP_Encoder, 6, 0)</f>
        <v>#N/A</v>
      </c>
    </row>
    <row r="7" customFormat="false" ht="14.25" hidden="false" customHeight="true" outlineLevel="0" collapsed="false">
      <c r="C7" s="171" t="s">
        <v>321</v>
      </c>
      <c r="D7" s="172" t="s">
        <v>263</v>
      </c>
      <c r="E7" s="176" t="n">
        <f aca="false">CHOOSE(MATCH($D$7, {"None","DM Nyl 1:1","DM Nyl 3.75:1","DM Nyl 5.33:1","DM Al 1:1","DM Al 3.75:1","DM Al 5.33:1","Dual Motor"}, 0), 1, 2, 7.5, 10.67, 2, 7.5, 10.67, 2)</f>
        <v>1</v>
      </c>
      <c r="F7" s="173"/>
      <c r="H7" s="177" t="e">
        <f aca="false">IF(LEN(J6)&gt;0, (LEN(J6)-LEN(J7))/9, "")</f>
        <v>#N/A</v>
      </c>
      <c r="I7" s="178" t="e">
        <f aca="false">LEFT(J6, 8)</f>
        <v>#N/A</v>
      </c>
      <c r="J7" s="176" t="e">
        <f aca="false">SUBSTITUTE(J6, I7&amp;",", "")</f>
        <v>#N/A</v>
      </c>
      <c r="K7" s="177" t="e">
        <f aca="false">IF(LEN(M6)&gt;0, (LEN(M6)-LEN(M7))/9, "")</f>
        <v>#N/A</v>
      </c>
      <c r="L7" s="178" t="e">
        <f aca="false">LEFT(M6, 8)</f>
        <v>#N/A</v>
      </c>
      <c r="M7" s="176" t="e">
        <f aca="false">SUBSTITUTE(M6, L7&amp;",", "")</f>
        <v>#N/A</v>
      </c>
    </row>
    <row r="8" customFormat="false" ht="14.25" hidden="false" customHeight="true" outlineLevel="0" collapsed="false">
      <c r="C8" s="171" t="s">
        <v>322</v>
      </c>
      <c r="D8" s="172" t="s">
        <v>308</v>
      </c>
      <c r="F8" s="173"/>
      <c r="H8" s="177" t="e">
        <f aca="false">IF(LEN(J7)&gt;0, (LEN(J7)-LEN(J8))/9, "")</f>
        <v>#N/A</v>
      </c>
      <c r="I8" s="178" t="e">
        <f aca="false">LEFT(J7, 8)</f>
        <v>#N/A</v>
      </c>
      <c r="J8" s="176" t="e">
        <f aca="false">SUBSTITUTE(J7, I8&amp;",", "")</f>
        <v>#N/A</v>
      </c>
      <c r="K8" s="177" t="e">
        <f aca="false">IF(LEN(M7)&gt;0, (LEN(M7)-LEN(M8))/9, "")</f>
        <v>#N/A</v>
      </c>
      <c r="L8" s="178" t="e">
        <f aca="false">LEFT(M7, 8)</f>
        <v>#N/A</v>
      </c>
      <c r="M8" s="176" t="e">
        <f aca="false">SUBSTITUTE(M7, L8&amp;",", "")</f>
        <v>#N/A</v>
      </c>
    </row>
    <row r="9" customFormat="false" ht="14.25" hidden="false" customHeight="true" outlineLevel="0" collapsed="false">
      <c r="C9" s="171" t="s">
        <v>323</v>
      </c>
      <c r="D9" s="179" t="s">
        <v>273</v>
      </c>
      <c r="F9" s="173"/>
      <c r="H9" s="177" t="e">
        <f aca="false">IF(LEN(J8)&gt;0, (LEN(J8)-LEN(J9))/9, "")</f>
        <v>#N/A</v>
      </c>
      <c r="I9" s="178" t="e">
        <f aca="false">LEFT(J8, 8)</f>
        <v>#N/A</v>
      </c>
      <c r="J9" s="176" t="e">
        <f aca="false">SUBSTITUTE(J8, I9&amp;",", "")</f>
        <v>#N/A</v>
      </c>
      <c r="K9" s="177" t="e">
        <f aca="false">IF(LEN(M8)&gt;0, (LEN(M8)-LEN(M9))/9, "")</f>
        <v>#N/A</v>
      </c>
      <c r="L9" s="178" t="e">
        <f aca="false">LEFT(M8, 8)</f>
        <v>#N/A</v>
      </c>
      <c r="M9" s="176" t="e">
        <f aca="false">SUBSTITUTE(M8, L9&amp;",", "")</f>
        <v>#N/A</v>
      </c>
    </row>
    <row r="10" customFormat="false" ht="14.25" hidden="false" customHeight="true" outlineLevel="0" collapsed="false">
      <c r="C10" s="171" t="s">
        <v>324</v>
      </c>
      <c r="D10" s="179" t="s">
        <v>270</v>
      </c>
      <c r="F10" s="173"/>
      <c r="H10" s="177" t="e">
        <f aca="false">IF(LEN(J9)&gt;0, (LEN(J9)-LEN(J10))/9, "")</f>
        <v>#N/A</v>
      </c>
      <c r="I10" s="178" t="e">
        <f aca="false">LEFT(J9, 8)</f>
        <v>#N/A</v>
      </c>
      <c r="J10" s="176" t="e">
        <f aca="false">SUBSTITUTE(J9, I10&amp;",", "")</f>
        <v>#N/A</v>
      </c>
      <c r="K10" s="177" t="e">
        <f aca="false">IF(LEN(M9)&gt;0, (LEN(M9)-LEN(M10))/9, "")</f>
        <v>#N/A</v>
      </c>
      <c r="L10" s="178" t="e">
        <f aca="false">LEFT(M9, 8)</f>
        <v>#N/A</v>
      </c>
      <c r="M10" s="176" t="e">
        <f aca="false">SUBSTITUTE(M9, L10&amp;",", "")</f>
        <v>#N/A</v>
      </c>
    </row>
    <row r="11" customFormat="false" ht="14.25" hidden="false" customHeight="true" outlineLevel="0" collapsed="false">
      <c r="C11" s="171" t="s">
        <v>228</v>
      </c>
      <c r="D11" s="179" t="s">
        <v>263</v>
      </c>
      <c r="H11" s="177" t="e">
        <f aca="false">IF(LEN(J10)&gt;0, (LEN(J10)-LEN(J11))/9, "")</f>
        <v>#N/A</v>
      </c>
      <c r="I11" s="178" t="e">
        <f aca="false">LEFT(J10, 8)</f>
        <v>#N/A</v>
      </c>
      <c r="J11" s="176" t="e">
        <f aca="false">SUBSTITUTE(J10, I11&amp;",", "")</f>
        <v>#N/A</v>
      </c>
      <c r="K11" s="177" t="e">
        <f aca="false">IF(LEN(M10)&gt;0, (LEN(M10)-LEN(M11))/9, "")</f>
        <v>#N/A</v>
      </c>
      <c r="L11" s="178" t="e">
        <f aca="false">LEFT(M10, 8)</f>
        <v>#N/A</v>
      </c>
      <c r="M11" s="176" t="e">
        <f aca="false">SUBSTITUTE(M10, L11&amp;",", "")</f>
        <v>#N/A</v>
      </c>
    </row>
    <row r="12" customFormat="false" ht="14.25" hidden="false" customHeight="true" outlineLevel="0" collapsed="false">
      <c r="C12" s="171" t="s">
        <v>309</v>
      </c>
      <c r="D12" s="172" t="s">
        <v>308</v>
      </c>
      <c r="F12" s="173" t="s">
        <v>325</v>
      </c>
      <c r="G12" s="180"/>
      <c r="H12" s="177" t="e">
        <f aca="false">IF(LEN(J11)&gt;0, (LEN(J11)-LEN(J12))/9, "")</f>
        <v>#N/A</v>
      </c>
      <c r="I12" s="178" t="e">
        <f aca="false">LEFT(J11, 8)</f>
        <v>#N/A</v>
      </c>
      <c r="J12" s="176" t="e">
        <f aca="false">SUBSTITUTE(J11, I12&amp;",", "")</f>
        <v>#N/A</v>
      </c>
      <c r="K12" s="177" t="e">
        <f aca="false">IF(LEN(M11)&gt;0, (LEN(M11)-LEN(M12))/9, "")</f>
        <v>#N/A</v>
      </c>
      <c r="L12" s="178" t="e">
        <f aca="false">LEFT(M11, 8)</f>
        <v>#N/A</v>
      </c>
      <c r="M12" s="176" t="e">
        <f aca="false">SUBSTITUTE(M11, L12&amp;",", "")</f>
        <v>#N/A</v>
      </c>
    </row>
    <row r="13" customFormat="false" ht="14.25" hidden="false" customHeight="true" outlineLevel="0" collapsed="false">
      <c r="C13" s="171" t="s">
        <v>311</v>
      </c>
      <c r="D13" s="172" t="s">
        <v>308</v>
      </c>
      <c r="F13" s="173"/>
      <c r="G13" s="180"/>
      <c r="H13" s="177" t="e">
        <f aca="false">IF(LEN(J12)&gt;0, (LEN(J12)-LEN(J13))/9, "")</f>
        <v>#N/A</v>
      </c>
      <c r="I13" s="178" t="e">
        <f aca="false">LEFT(J12, 8)</f>
        <v>#N/A</v>
      </c>
      <c r="J13" s="176" t="e">
        <f aca="false">SUBSTITUTE(J12, I13&amp;",", "")</f>
        <v>#N/A</v>
      </c>
      <c r="K13" s="177" t="e">
        <f aca="false">IF(LEN(M12)&gt;0, (LEN(M12)-LEN(M13))/9, "")</f>
        <v>#N/A</v>
      </c>
      <c r="L13" s="178" t="e">
        <f aca="false">LEFT(M12, 8)</f>
        <v>#N/A</v>
      </c>
      <c r="M13" s="176" t="e">
        <f aca="false">SUBSTITUTE(M12, L13&amp;",", "")</f>
        <v>#N/A</v>
      </c>
    </row>
    <row r="14" customFormat="false" ht="14.25" hidden="false" customHeight="true" outlineLevel="0" collapsed="false">
      <c r="C14" s="171" t="s">
        <v>313</v>
      </c>
      <c r="D14" s="172" t="s">
        <v>308</v>
      </c>
      <c r="F14" s="173"/>
      <c r="G14" s="180"/>
      <c r="H14" s="177" t="e">
        <f aca="false">IF(LEN(J13)&gt;0, (LEN(J13)-LEN(J14))/9, "")</f>
        <v>#N/A</v>
      </c>
      <c r="I14" s="178" t="e">
        <f aca="false">LEFT(J13, 8)</f>
        <v>#N/A</v>
      </c>
      <c r="J14" s="176" t="e">
        <f aca="false">SUBSTITUTE(J13, I14&amp;",", "")</f>
        <v>#N/A</v>
      </c>
      <c r="K14" s="177" t="e">
        <f aca="false">IF(LEN(M13)&gt;0, (LEN(M13)-LEN(M14))/9, "")</f>
        <v>#N/A</v>
      </c>
      <c r="L14" s="178" t="e">
        <f aca="false">LEFT(M13, 8)</f>
        <v>#N/A</v>
      </c>
      <c r="M14" s="176" t="e">
        <f aca="false">SUBSTITUTE(M13, L14&amp;",", "")</f>
        <v>#N/A</v>
      </c>
    </row>
    <row r="15" customFormat="false" ht="14.25" hidden="false" customHeight="true" outlineLevel="0" collapsed="false">
      <c r="C15" s="171" t="s">
        <v>225</v>
      </c>
      <c r="D15" s="172" t="s">
        <v>156</v>
      </c>
      <c r="F15" s="173"/>
      <c r="G15" s="180"/>
      <c r="H15" s="177" t="e">
        <f aca="false">IF(LEN(J14)&gt;0, (LEN(J14)-LEN(J15))/9, "")</f>
        <v>#N/A</v>
      </c>
      <c r="I15" s="178" t="e">
        <f aca="false">LEFT(J14, 8)</f>
        <v>#N/A</v>
      </c>
      <c r="J15" s="176" t="e">
        <f aca="false">SUBSTITUTE(J14, I15&amp;",", "")</f>
        <v>#N/A</v>
      </c>
      <c r="K15" s="177" t="e">
        <f aca="false">IF(LEN(M14)&gt;0, (LEN(M14)-LEN(M15))/9, "")</f>
        <v>#N/A</v>
      </c>
      <c r="L15" s="178" t="e">
        <f aca="false">LEFT(M14, 8)</f>
        <v>#N/A</v>
      </c>
      <c r="M15" s="176" t="e">
        <f aca="false">SUBSTITUTE(M14, L15&amp;",", "")</f>
        <v>#N/A</v>
      </c>
    </row>
    <row r="16" customFormat="false" ht="14.25" hidden="false" customHeight="true" outlineLevel="0" collapsed="false">
      <c r="H16" s="177" t="e">
        <f aca="false">IF(LEN(J15)&gt;0, (LEN(J15)-LEN(J16))/9, "")</f>
        <v>#N/A</v>
      </c>
      <c r="I16" s="178" t="e">
        <f aca="false">LEFT(J15, 8)</f>
        <v>#N/A</v>
      </c>
      <c r="J16" s="176" t="e">
        <f aca="false">SUBSTITUTE(J15, I16&amp;",", "")</f>
        <v>#N/A</v>
      </c>
      <c r="K16" s="177" t="e">
        <f aca="false">IF(LEN(M15)&gt;0, (LEN(M15)-LEN(M16))/9, "")</f>
        <v>#N/A</v>
      </c>
      <c r="L16" s="178" t="e">
        <f aca="false">LEFT(M15, 8)</f>
        <v>#N/A</v>
      </c>
      <c r="M16" s="176" t="e">
        <f aca="false">SUBSTITUTE(M15, L16&amp;",", "")</f>
        <v>#N/A</v>
      </c>
    </row>
    <row r="17" customFormat="false" ht="14.25" hidden="false" customHeight="true" outlineLevel="0" collapsed="false">
      <c r="C17" s="171" t="s">
        <v>326</v>
      </c>
      <c r="D17" s="181" t="n">
        <f aca="false">VALUE(IF($D$9="None", 1, LEFT($D$9, 2)))*VALUE(IF($D$10="None", 1, LEFT($D$10, 2)))*VALUE(IF($D$11="None", 1, LEFT($D$11, 2)))</f>
        <v>35</v>
      </c>
      <c r="F17" s="182" t="s">
        <v>327</v>
      </c>
      <c r="H17" s="177" t="e">
        <f aca="false">IF(LEN(J16)&gt;0, (LEN(J16)-LEN(J17))/9, "")</f>
        <v>#N/A</v>
      </c>
      <c r="I17" s="178" t="e">
        <f aca="false">LEFT(J16, 8)</f>
        <v>#N/A</v>
      </c>
      <c r="J17" s="176" t="e">
        <f aca="false">SUBSTITUTE(J16, I17&amp;",", "")</f>
        <v>#N/A</v>
      </c>
      <c r="K17" s="177" t="e">
        <f aca="false">IF(LEN(M16)&gt;0, (LEN(M16)-LEN(M17))/9, "")</f>
        <v>#N/A</v>
      </c>
      <c r="L17" s="178" t="e">
        <f aca="false">LEFT(M16, 8)</f>
        <v>#N/A</v>
      </c>
      <c r="M17" s="176" t="e">
        <f aca="false">SUBSTITUTE(M16, L17&amp;",", "")</f>
        <v>#N/A</v>
      </c>
    </row>
    <row r="18" customFormat="false" ht="14.25" hidden="false" customHeight="true" outlineLevel="0" collapsed="false">
      <c r="C18" s="171" t="s">
        <v>328</v>
      </c>
      <c r="D18" s="183" t="n">
        <f aca="false">VLOOKUP($D$6, MotorSpecs, 2, 0)/D17</f>
        <v>535.142857142857</v>
      </c>
      <c r="F18" s="182"/>
      <c r="H18" s="177" t="e">
        <f aca="false">IF(LEN(J17)&gt;0, (LEN(J17)-LEN(J18))/9, "")</f>
        <v>#N/A</v>
      </c>
      <c r="I18" s="178" t="e">
        <f aca="false">LEFT(J17, 8)</f>
        <v>#N/A</v>
      </c>
      <c r="J18" s="176" t="e">
        <f aca="false">SUBSTITUTE(J17, I18&amp;",", "")</f>
        <v>#N/A</v>
      </c>
      <c r="K18" s="177" t="e">
        <f aca="false">IF(LEN(M17)&gt;0, (LEN(M17)-LEN(M18))/9, "")</f>
        <v>#N/A</v>
      </c>
      <c r="L18" s="178" t="e">
        <f aca="false">LEFT(M17, 8)</f>
        <v>#N/A</v>
      </c>
      <c r="M18" s="176" t="e">
        <f aca="false">SUBSTITUTE(M17, L18&amp;",", "")</f>
        <v>#N/A</v>
      </c>
    </row>
    <row r="19" customFormat="false" ht="14.25" hidden="false" customHeight="true" outlineLevel="0" collapsed="false">
      <c r="C19" s="171" t="str">
        <f aca="false">"Stall Torque ("&amp;IF($B$4,"Nm","ft-lbs")&amp;")"</f>
        <v>Stall Torque (ft-lbs)</v>
      </c>
      <c r="D19" s="184" t="n">
        <f aca="false">VLOOKUP($D$6,MotorSpecs,3,0)*D17*IF($B$4,1,0.73756)</f>
        <v>18.328366</v>
      </c>
      <c r="F19" s="182"/>
      <c r="H19" s="177" t="e">
        <f aca="false">IF(LEN(J18)&gt;0, (LEN(J18)-LEN(J19))/9, "")</f>
        <v>#N/A</v>
      </c>
      <c r="I19" s="178" t="e">
        <f aca="false">LEFT(J18, 8)</f>
        <v>#N/A</v>
      </c>
      <c r="J19" s="176" t="e">
        <f aca="false">SUBSTITUTE(J18, I19&amp;",", "")</f>
        <v>#N/A</v>
      </c>
      <c r="K19" s="177" t="e">
        <f aca="false">IF(LEN(M18)&gt;0, (LEN(M18)-LEN(M19))/9, "")</f>
        <v>#N/A</v>
      </c>
      <c r="L19" s="178" t="e">
        <f aca="false">LEFT(M18, 8)</f>
        <v>#N/A</v>
      </c>
      <c r="M19" s="176" t="e">
        <f aca="false">SUBSTITUTE(M18, L19&amp;",", "")</f>
        <v>#N/A</v>
      </c>
    </row>
    <row r="20" customFormat="false" ht="14.25" hidden="false" customHeight="true" outlineLevel="0" collapsed="false">
      <c r="F20" s="185"/>
      <c r="H20" s="177" t="e">
        <f aca="false">IF(LEN(J19)&gt;0, (LEN(J19)-LEN(J20))/9, "")</f>
        <v>#N/A</v>
      </c>
      <c r="I20" s="178" t="e">
        <f aca="false">LEFT(J19, 8)</f>
        <v>#N/A</v>
      </c>
      <c r="J20" s="176" t="e">
        <f aca="false">SUBSTITUTE(J19, I20&amp;",", "")</f>
        <v>#N/A</v>
      </c>
      <c r="K20" s="177" t="e">
        <f aca="false">IF(LEN(M19)&gt;0, (LEN(M19)-LEN(M20))/9, "")</f>
        <v>#N/A</v>
      </c>
      <c r="L20" s="178" t="e">
        <f aca="false">LEFT(M19, 8)</f>
        <v>#N/A</v>
      </c>
      <c r="M20" s="176" t="e">
        <f aca="false">SUBSTITUTE(M19, L20&amp;",", "")</f>
        <v>#N/A</v>
      </c>
    </row>
    <row r="21" customFormat="false" ht="14.25" hidden="false" customHeight="true" outlineLevel="0" collapsed="false">
      <c r="C21" s="171" t="s">
        <v>329</v>
      </c>
      <c r="D21" s="186" t="e">
        <f aca="false">IF(OR(VALUE(IF($D$10="None", 1, LEFT($D$10, 2)))&gt;VALUE(IF($D$9="None", 1, LEFT($D$9, 2))), VALUE(IF($D$11="None", 1, LEFT($D$11, 2)))&gt;VALUE(IF($D$10="None", 1, LEFT($D$10, 2))), VALUE(IF($D$11="None", 1, LEFT($D$11, 2)))&gt;VALUE(IF($D$9="None", 1, LEFT($D$9, 2)))), "----&gt;", VLOOKUP($D$15&amp;" "&amp;D6&amp;" "&amp;(IF($D$9="None", 1, LEFT($D$9, 2))*IF($D$10="None", -1, LEFT($D$10, 2))), VP_Load, MATCH($E$7, {1,2,7.5,10.67}, 0)+1, 0)&gt;=VALUE(IF($D$11="None", 1, LEFT($D$11, 2))))</f>
        <v>#N/A</v>
      </c>
      <c r="F21" s="182" t="s">
        <v>330</v>
      </c>
      <c r="H21" s="177" t="e">
        <f aca="false">IF(LEN(J20)&gt;0, (LEN(J20)-LEN(J21))/9, "")</f>
        <v>#N/A</v>
      </c>
      <c r="I21" s="178" t="e">
        <f aca="false">LEFT(J20, 8)</f>
        <v>#N/A</v>
      </c>
      <c r="J21" s="176" t="e">
        <f aca="false">SUBSTITUTE(J20, I21&amp;",", "")</f>
        <v>#N/A</v>
      </c>
      <c r="K21" s="177" t="e">
        <f aca="false">IF(LEN(M20)&gt;0, (LEN(M20)-LEN(M21))/9, "")</f>
        <v>#N/A</v>
      </c>
      <c r="L21" s="178" t="e">
        <f aca="false">LEFT(M20, 8)</f>
        <v>#N/A</v>
      </c>
      <c r="M21" s="176" t="e">
        <f aca="false">SUBSTITUTE(M20, L21&amp;",", "")</f>
        <v>#N/A</v>
      </c>
    </row>
    <row r="22" customFormat="false" ht="14.25" hidden="false" customHeight="true" outlineLevel="0" collapsed="false">
      <c r="C22" s="171" t="s">
        <v>331</v>
      </c>
      <c r="D22" s="187" t="e">
        <f aca="false">VLOOKUP($D$15, VP_Base, 2, 0)+VLOOKUP($D$6, VP_Motor, 2, 0)+VLOOKUP($D$9, VP_Stage, 2, 0)+VLOOKUP($D$10, VP_Stage, 2, 0)+VLOOKUP($D$11, VP_Stage, 2, 0)+VLOOKUP($D$7, VP_DualMotor, 2, 0)+VLOOKUP($D$8, VP_180, 2, 0)+VLOOKUP($D$12, VP_90, 2, 0)+VLOOKUP($D$13, VP_Ratchet, 2, 0)+VLOOKUP($D$14, VP_Encoder, 2, 0)</f>
        <v>#N/A</v>
      </c>
      <c r="F22" s="182"/>
      <c r="H22" s="177" t="e">
        <f aca="false">IF(LEN(J21)&gt;0, (LEN(J21)-LEN(J22))/9, "")</f>
        <v>#N/A</v>
      </c>
      <c r="I22" s="178" t="e">
        <f aca="false">LEFT(J21, 8)</f>
        <v>#N/A</v>
      </c>
      <c r="J22" s="176" t="e">
        <f aca="false">SUBSTITUTE(J21, I22&amp;",", "")</f>
        <v>#N/A</v>
      </c>
      <c r="K22" s="177" t="e">
        <f aca="false">IF(LEN(M21)&gt;0, (LEN(M21)-LEN(M22))/9, "")</f>
        <v>#N/A</v>
      </c>
      <c r="L22" s="178" t="e">
        <f aca="false">LEFT(M21, 8)</f>
        <v>#N/A</v>
      </c>
      <c r="M22" s="176" t="e">
        <f aca="false">SUBSTITUTE(M21, L22&amp;",", "")</f>
        <v>#N/A</v>
      </c>
    </row>
    <row r="23" customFormat="false" ht="14.25" hidden="false" customHeight="true" outlineLevel="0" collapsed="false">
      <c r="C23" s="171" t="str">
        <f aca="false">"VP Weight ("&amp;IF($B$4,"kg","lbs")&amp;")"</f>
        <v>VP Weight (lbs)</v>
      </c>
      <c r="D23" s="188" t="e">
        <f aca="false">(VLOOKUP($D$15, VP_Base, 4, 0) + IF($D$7="None",VLOOKUP($D$6, VP_Motor, 4, 0), 0) + VLOOKUP($D$7, VP_DualMotor, 4, 0) + VLOOKUP($D$9, VP_Stage, 4, 0) + VLOOKUP($D$10, VP_Stage, 4, 0) + VLOOKUP($D$11, VP_Stage, 4, 0) + VLOOKUP($D$8, VP_180, 4, 0) + VLOOKUP($D$12, VP_90, 4, 0) + VLOOKUP($D$13, VP_Ratchet, 4, 0) + VLOOKUP($D$14, VP_Encoder, 4, 0))/IF($B$4, 2.2, 1)</f>
        <v>#N/A</v>
      </c>
      <c r="F23" s="182"/>
      <c r="H23" s="177" t="e">
        <f aca="false">IF(LEN(J22)&gt;0, (LEN(J22)-LEN(J23))/9, "")</f>
        <v>#N/A</v>
      </c>
      <c r="I23" s="178" t="e">
        <f aca="false">LEFT(J22, 8)</f>
        <v>#N/A</v>
      </c>
      <c r="J23" s="176" t="e">
        <f aca="false">SUBSTITUTE(J22, I23&amp;",", "")</f>
        <v>#N/A</v>
      </c>
      <c r="K23" s="177" t="e">
        <f aca="false">IF(LEN(M22)&gt;0, (LEN(M22)-LEN(M23))/9, "")</f>
        <v>#N/A</v>
      </c>
      <c r="L23" s="178" t="e">
        <f aca="false">LEFT(M22, 8)</f>
        <v>#N/A</v>
      </c>
      <c r="M23" s="176" t="e">
        <f aca="false">SUBSTITUTE(M22, L23&amp;",", "")</f>
        <v>#N/A</v>
      </c>
    </row>
    <row r="24" customFormat="false" ht="14.25" hidden="false" customHeight="true" outlineLevel="0" collapsed="false">
      <c r="F24" s="182"/>
      <c r="H24" s="177" t="e">
        <f aca="false">IF(LEN(J23)&gt;0, (LEN(J23)-LEN(J24))/9, "")</f>
        <v>#N/A</v>
      </c>
      <c r="I24" s="178" t="e">
        <f aca="false">LEFT(J23, 8)</f>
        <v>#N/A</v>
      </c>
      <c r="J24" s="176" t="e">
        <f aca="false">SUBSTITUTE(J23, I24&amp;",", "")</f>
        <v>#N/A</v>
      </c>
      <c r="K24" s="177" t="e">
        <f aca="false">IF(LEN(M23)&gt;0, (LEN(M23)-LEN(M24))/9, "")</f>
        <v>#N/A</v>
      </c>
      <c r="L24" s="178" t="e">
        <f aca="false">LEFT(M23, 8)</f>
        <v>#N/A</v>
      </c>
      <c r="M24" s="176" t="e">
        <f aca="false">SUBSTITUTE(M23, L24&amp;",", "")</f>
        <v>#N/A</v>
      </c>
    </row>
    <row r="25" customFormat="false" ht="14.25" hidden="false" customHeight="true" outlineLevel="0" collapsed="false">
      <c r="C25" s="171" t="s">
        <v>332</v>
      </c>
      <c r="D25" s="186" t="e">
        <f aca="false">IF(OR(VALUE(IF($D$10="None", 1, LEFT($D$10, 2)))&gt;VALUE(IF($D$9="None", 1, LEFT($D$9, 2))), VALUE(IF($D$11="None", 1, LEFT($D$11, 2)))&gt;VALUE(IF($D$10="None", 1, LEFT($D$10, 2))), VALUE(IF($D$11="None", 1, LEFT($D$11, 2)))&gt;VALUE(IF($D$9="None", 1, LEFT($D$9, 2)))), "----&gt;", VLOOKUP($D$15&amp;" "&amp;D6&amp;" "&amp;(IF($D$9="None", 1, LEFT($D$9, 2))*IF($D$10="None", -1, LEFT($D$10, 2))), VP_Load, MATCH($E$7, {1,2,7.5,10.67}, 0)+5, 0)&gt;=VALUE(IF($D$11="None", 1, LEFT($D$11, 2))))</f>
        <v>#N/A</v>
      </c>
      <c r="H25" s="189" t="e">
        <f aca="false">IF(LEN(J24)&gt;0, (LEN(J24)-LEN(J25))/9, "")</f>
        <v>#N/A</v>
      </c>
      <c r="I25" s="190" t="e">
        <f aca="false">LEFT(J24, 8)</f>
        <v>#N/A</v>
      </c>
      <c r="J25" s="176" t="e">
        <f aca="false">SUBSTITUTE(J24, I25&amp;",", "")</f>
        <v>#N/A</v>
      </c>
      <c r="K25" s="189" t="e">
        <f aca="false">IF(LEN(M24)&gt;0, (LEN(M24)-LEN(M25))/9, "")</f>
        <v>#N/A</v>
      </c>
      <c r="L25" s="190" t="e">
        <f aca="false">LEFT(M24, 8)</f>
        <v>#N/A</v>
      </c>
      <c r="M25" s="176" t="e">
        <f aca="false">SUBSTITUTE(M24, L25&amp;",", "")</f>
        <v>#N/A</v>
      </c>
    </row>
    <row r="26" customFormat="false" ht="14.25" hidden="false" customHeight="true" outlineLevel="0" collapsed="false">
      <c r="C26" s="171" t="s">
        <v>333</v>
      </c>
      <c r="D26" s="187" t="e">
        <f aca="false">VLOOKUP($D$15, VP_Base, 3, 0)+VLOOKUP($D$6, VP_Motor, 3, 0)+VLOOKUP($D$9, VP_Stage, 3, 0)+VLOOKUP($D$10, VP_Stage, 3, 0)+VLOOKUP($D$11, VP_Stage, 3, 0)+VLOOKUP($D$7, VP_DualMotor, 2, 0)+VLOOKUP($D$8, VP_180, 2, 0)+VLOOKUP($D$12, VP_90, 2, 0)+VLOOKUP($D$13, VP_Ratchet, 2, 0)+VLOOKUP($D$14, VP_Encoder, 2, 0)</f>
        <v>#N/A</v>
      </c>
    </row>
    <row r="27" customFormat="false" ht="14.25" hidden="false" customHeight="true" outlineLevel="0" collapsed="false">
      <c r="C27" s="171" t="str">
        <f aca="false">"VP Lite Weight ("&amp;IF($B$4,"kg","lbs")&amp;")"</f>
        <v>VP Lite Weight (lbs)</v>
      </c>
      <c r="D27" s="188" t="e">
        <f aca="false">(VLOOKUP($D$15, VP_Base, 5, 0) + IF($D$7="None",VLOOKUP($D$6, VP_Motor, 5, 0), 0) + VLOOKUP($D$7, VP_DualMotor, 4, 0) + VLOOKUP($D$9, VP_Stage, 5, 0) + VLOOKUP($D$10, VP_Stage, 5, 0) + VLOOKUP($D$11, VP_Stage, 5, 0) + VLOOKUP($D$8, VP_180, 4, 0) + VLOOKUP($D$12, VP_90, 4, 0) + VLOOKUP($D$13, VP_Ratchet, 4, 0) + VLOOKUP($D$14, VP_Encoder, 4, 0))/IF($B$4, 2.2, 1)</f>
        <v>#N/A</v>
      </c>
    </row>
  </sheetData>
  <sheetProtection sheet="true" objects="true" scenarios="true"/>
  <mergeCells count="6">
    <mergeCell ref="H5:I5"/>
    <mergeCell ref="K5:L5"/>
    <mergeCell ref="F6:F10"/>
    <mergeCell ref="F12:F15"/>
    <mergeCell ref="F17:F19"/>
    <mergeCell ref="F21:F24"/>
  </mergeCells>
  <conditionalFormatting sqref="D21 D25">
    <cfRule type="cellIs" priority="2" operator="equal" aboveAverage="0" equalAverage="0" bottom="0" percent="0" rank="0" text="" dxfId="0">
      <formula>0</formula>
    </cfRule>
    <cfRule type="cellIs" priority="3" operator="equal" aboveAverage="0" equalAverage="0" bottom="0" percent="0" rank="0" text="" dxfId="1">
      <formula>1</formula>
    </cfRule>
  </conditionalFormatting>
  <conditionalFormatting sqref="F21:F24">
    <cfRule type="expression" priority="4" aboveAverage="0" equalAverage="0" bottom="0" percent="0" rank="0" text="" dxfId="2">
      <formula>NOT(OR(VALUE(IF($D$10="None", 1, LEFT($D$10, 2)))&gt;VALUE(IF($D$9="None", 1, LEFT($D$9, 2))), VALUE(IF($D$11="None", 1, LEFT($D$11, 2)))&gt;VALUE(IF($D$10="None", 1, LEFT($D$10, 2))), VALUE(IF($D$11="None", 1, LEFT($D$11, 2)))&gt;VALUE(IF($D$9="None", 1, LEFT($D$9, 2)))))</formula>
    </cfRule>
  </conditionalFormatting>
  <conditionalFormatting sqref="F17:F19">
    <cfRule type="expression" priority="5" aboveAverage="0" equalAverage="0" bottom="0" percent="0" rank="0" text="" dxfId="3">
      <formula>OR($D$7="None", OR($D$6="775pro", $D$6="BB RS-775", $D$6="BB RS-550", $D$6="BAG"))</formula>
    </cfRule>
  </conditionalFormatting>
  <conditionalFormatting sqref="D6:D7">
    <cfRule type="expression" priority="6" aboveAverage="0" equalAverage="0" bottom="0" percent="0" rank="0" text="" dxfId="4">
      <formula>NOT(OR($D$7="None", OR($D$6="775pro", $D$6="BB RS-775", $D$6="BB RS-550", $D$6="BAG")))</formula>
    </cfRule>
  </conditionalFormatting>
  <conditionalFormatting sqref="D9:D10">
    <cfRule type="expression" priority="7" aboveAverage="0" equalAverage="0" bottom="0" percent="0" rank="0" text="" dxfId="5">
      <formula>VALUE(IF($D$10="None", 1, LEFT($D$10, 2)))&gt;VALUE(IF($D$9="None", 1, LEFT($D$9, 2)))</formula>
    </cfRule>
  </conditionalFormatting>
  <conditionalFormatting sqref="D10:D11">
    <cfRule type="expression" priority="8" aboveAverage="0" equalAverage="0" bottom="0" percent="0" rank="0" text="" dxfId="6">
      <formula>VALUE(IF($D$11="None", 1, LEFT($D$11, 2)))&gt;VALUE(IF($D$10="None", 1, LEFT($D$10, 2)))</formula>
    </cfRule>
  </conditionalFormatting>
  <conditionalFormatting sqref="D9 D11">
    <cfRule type="expression" priority="9" aboveAverage="0" equalAverage="0" bottom="0" percent="0" rank="0" text="" dxfId="7">
      <formula>VALUE(IF($D$11="None", 1, LEFT($D$11, 2)))&gt;VALUE(IF($D$9="None", 1, LEFT($D$9, 2)))</formula>
    </cfRule>
  </conditionalFormatting>
  <conditionalFormatting sqref="H5:I25">
    <cfRule type="expression" priority="10" aboveAverage="0" equalAverage="0" bottom="0" percent="0" rank="0" text="" dxfId="8">
      <formula>NOT($D$21)</formula>
    </cfRule>
    <cfRule type="expression" priority="11" aboveAverage="0" equalAverage="0" bottom="0" percent="0" rank="0" text="" dxfId="9">
      <formula>$D$21</formula>
    </cfRule>
  </conditionalFormatting>
  <conditionalFormatting sqref="K5:L25">
    <cfRule type="expression" priority="12" aboveAverage="0" equalAverage="0" bottom="0" percent="0" rank="0" text="" dxfId="10">
      <formula>NOT($D$25)</formula>
    </cfRule>
    <cfRule type="expression" priority="13" aboveAverage="0" equalAverage="0" bottom="0" percent="0" rank="0" text="" dxfId="11">
      <formula>$D$25</formula>
    </cfRule>
  </conditionalFormatting>
  <dataValidations count="5">
    <dataValidation allowBlank="true" operator="between" showDropDown="false" showErrorMessage="true" showInputMessage="false" sqref="D15" type="list">
      <formula1>"1/2" Hex,1/2" Round,3/8" Hex,CIM Motor,Female"</formula1>
      <formula2>0</formula2>
    </dataValidation>
    <dataValidation allowBlank="true" operator="between" showDropDown="false" showErrorMessage="true" showInputMessage="false" sqref="D6" type="list">
      <formula1>"775pro,CIM,Mini CIM,BAG Motor,BB RS-775,BB RS-550,AM 9015,NeveRest"</formula1>
      <formula2>0</formula2>
    </dataValidation>
    <dataValidation allowBlank="true" operator="between" showDropDown="false" showErrorMessage="true" showInputMessage="false" sqref="D9:D11" type="list">
      <formula1>"None,3 : 1,4 : 1,5 : 1,7 : 1,9 : 1,10 : 1"</formula1>
      <formula2>0</formula2>
    </dataValidation>
    <dataValidation allowBlank="true" operator="between" showDropDown="false" showErrorMessage="true" showInputMessage="false" sqref="D8 D12:D14" type="list">
      <formula1>"Yes,No"</formula1>
      <formula2>0</formula2>
    </dataValidation>
    <dataValidation allowBlank="true" operator="between" showDropDown="false" showErrorMessage="true" showInputMessage="false" sqref="D7" type="list">
      <formula1>"None,DM Nyl 1:1,DM Nyl 3.75:1,DM Nyl 5.33:1,DM Al 1:1,DM Al 3.75:1,DM Al 5.33:1,Dual Motor"</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false"/>
  </sheetPr>
  <dimension ref="A2:S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18" width="9.14"/>
    <col collapsed="false" customWidth="true" hidden="false" outlineLevel="0" max="2" min="2" style="18" width="18.71"/>
    <col collapsed="false" customWidth="true" hidden="false" outlineLevel="0" max="3" min="3" style="18" width="16.86"/>
    <col collapsed="false" customWidth="true" hidden="false" outlineLevel="0" max="4" min="4" style="18" width="17"/>
    <col collapsed="false" customWidth="true" hidden="false" outlineLevel="0" max="5" min="5" style="18" width="15.15"/>
    <col collapsed="false" customWidth="true" hidden="false" outlineLevel="0" max="6" min="6" style="18" width="15"/>
    <col collapsed="false" customWidth="true" hidden="false" outlineLevel="0" max="7" min="7" style="18" width="12.29"/>
    <col collapsed="false" customWidth="true" hidden="false" outlineLevel="0" max="9" min="8" style="18" width="9.14"/>
    <col collapsed="false" customWidth="true" hidden="false" outlineLevel="0" max="10" min="10" style="18" width="9.85"/>
    <col collapsed="false" customWidth="true" hidden="false" outlineLevel="0" max="16" min="11" style="18" width="9.14"/>
    <col collapsed="false" customWidth="true" hidden="false" outlineLevel="0" max="17" min="17" style="18" width="11.29"/>
    <col collapsed="false" customWidth="true" hidden="false" outlineLevel="0" max="19" min="18" style="18" width="22.28"/>
    <col collapsed="false" customWidth="true" hidden="false" outlineLevel="0" max="1025" min="20" style="18" width="9.14"/>
  </cols>
  <sheetData>
    <row r="2" customFormat="false" ht="31.15" hidden="false" customHeight="false" outlineLevel="0" collapsed="false">
      <c r="B2" s="19" t="s">
        <v>334</v>
      </c>
      <c r="J2" s="19" t="s">
        <v>150</v>
      </c>
      <c r="Q2" s="19" t="s">
        <v>335</v>
      </c>
    </row>
    <row r="3" customFormat="false" ht="14.45" hidden="false" customHeight="false" outlineLevel="0" collapsed="false">
      <c r="B3" s="191"/>
    </row>
    <row r="4" customFormat="false" ht="14.45" hidden="false" customHeight="false" outlineLevel="0" collapsed="false">
      <c r="A4" s="191"/>
      <c r="B4" s="191"/>
      <c r="C4" s="192" t="s">
        <v>52</v>
      </c>
      <c r="D4" s="193" t="s">
        <v>54</v>
      </c>
      <c r="E4" s="193" t="s">
        <v>56</v>
      </c>
      <c r="F4" s="193" t="s">
        <v>58</v>
      </c>
      <c r="G4" s="194" t="s">
        <v>59</v>
      </c>
      <c r="J4" s="23"/>
      <c r="K4" s="195" t="s">
        <v>336</v>
      </c>
      <c r="L4" s="196" t="s">
        <v>337</v>
      </c>
      <c r="M4" s="196" t="s">
        <v>338</v>
      </c>
      <c r="N4" s="197" t="s">
        <v>339</v>
      </c>
      <c r="R4" s="198" t="s">
        <v>340</v>
      </c>
      <c r="S4" s="197" t="s">
        <v>341</v>
      </c>
    </row>
    <row r="5" customFormat="false" ht="14.45" hidden="false" customHeight="false" outlineLevel="0" collapsed="false">
      <c r="B5" s="199" t="s">
        <v>89</v>
      </c>
      <c r="C5" s="200" t="n">
        <v>5330</v>
      </c>
      <c r="D5" s="200" t="n">
        <v>2.41</v>
      </c>
      <c r="E5" s="200" t="n">
        <v>2.7</v>
      </c>
      <c r="F5" s="200" t="n">
        <v>131</v>
      </c>
      <c r="G5" s="201" t="n">
        <f aca="false">IF(ISBLANK(B5), "", (C5/60*2*PI())*D5/4)</f>
        <v>336.289167609641</v>
      </c>
      <c r="J5" s="199" t="s">
        <v>342</v>
      </c>
      <c r="K5" s="202" t="n">
        <v>6.35</v>
      </c>
      <c r="L5" s="202" t="n">
        <v>9</v>
      </c>
      <c r="M5" s="202" t="n">
        <v>5.9</v>
      </c>
      <c r="N5" s="203" t="n">
        <v>0.31</v>
      </c>
      <c r="Q5" s="204" t="s">
        <v>115</v>
      </c>
      <c r="R5" s="200" t="n">
        <v>71700</v>
      </c>
      <c r="S5" s="205" t="n">
        <v>26900</v>
      </c>
    </row>
    <row r="6" customFormat="false" ht="14.45" hidden="false" customHeight="false" outlineLevel="0" collapsed="false">
      <c r="B6" s="199" t="s">
        <v>249</v>
      </c>
      <c r="C6" s="200" t="n">
        <v>5840</v>
      </c>
      <c r="D6" s="200" t="n">
        <v>1.41</v>
      </c>
      <c r="E6" s="200" t="n">
        <v>3</v>
      </c>
      <c r="F6" s="200" t="n">
        <v>89</v>
      </c>
      <c r="G6" s="201" t="n">
        <f aca="false">IF(ISBLANK(B6), "", (C6/60*2*PI())*D6/4)</f>
        <v>215.576087889332</v>
      </c>
      <c r="J6" s="199" t="s">
        <v>136</v>
      </c>
      <c r="K6" s="202" t="n">
        <v>9.53</v>
      </c>
      <c r="L6" s="202" t="n">
        <v>11.76</v>
      </c>
      <c r="M6" s="202" t="n">
        <v>8.94</v>
      </c>
      <c r="N6" s="203" t="n">
        <v>0.41</v>
      </c>
      <c r="Q6" s="204" t="s">
        <v>343</v>
      </c>
      <c r="R6" s="200" t="n">
        <v>68900</v>
      </c>
      <c r="S6" s="205" t="n">
        <v>26000</v>
      </c>
    </row>
    <row r="7" customFormat="false" ht="14.45" hidden="false" customHeight="false" outlineLevel="0" collapsed="false">
      <c r="B7" s="199" t="s">
        <v>256</v>
      </c>
      <c r="C7" s="200" t="n">
        <v>5676</v>
      </c>
      <c r="D7" s="200" t="n">
        <v>2.6</v>
      </c>
      <c r="E7" s="200" t="n">
        <v>1.8</v>
      </c>
      <c r="F7" s="200" t="n">
        <v>105</v>
      </c>
      <c r="G7" s="201" t="n">
        <f aca="false">IF(ISBLANK(B7), "", (C7/60*2*PI())*D7/4)</f>
        <v>386.353064538473</v>
      </c>
      <c r="J7" s="199" t="s">
        <v>344</v>
      </c>
      <c r="K7" s="202" t="n">
        <v>5</v>
      </c>
      <c r="L7" s="202" t="n">
        <v>15</v>
      </c>
      <c r="M7" s="202" t="n">
        <v>3</v>
      </c>
      <c r="N7" s="203" t="n">
        <v>0</v>
      </c>
      <c r="Q7" s="204" t="s">
        <v>75</v>
      </c>
      <c r="R7" s="200" t="n">
        <v>206000</v>
      </c>
      <c r="S7" s="205" t="n">
        <v>70000</v>
      </c>
    </row>
    <row r="8" customFormat="false" ht="14.45" hidden="false" customHeight="false" outlineLevel="0" collapsed="false">
      <c r="B8" s="199" t="s">
        <v>257</v>
      </c>
      <c r="C8" s="200" t="n">
        <v>6380</v>
      </c>
      <c r="D8" s="200" t="n">
        <v>4.69</v>
      </c>
      <c r="E8" s="200" t="n">
        <v>1.5</v>
      </c>
      <c r="F8" s="200" t="n">
        <v>257</v>
      </c>
      <c r="G8" s="201" t="n">
        <f aca="false">IF(ISBLANK(B8), "", (C8/60*2*PI())*D8/4)</f>
        <v>783.361364160371</v>
      </c>
      <c r="J8" s="199" t="s">
        <v>345</v>
      </c>
      <c r="K8" s="202" t="n">
        <v>3</v>
      </c>
      <c r="L8" s="202" t="n">
        <v>9</v>
      </c>
      <c r="M8" s="202" t="n">
        <v>3</v>
      </c>
      <c r="N8" s="203" t="n">
        <v>0</v>
      </c>
      <c r="Q8" s="204" t="s">
        <v>346</v>
      </c>
      <c r="R8" s="200" t="n">
        <v>193000</v>
      </c>
      <c r="S8" s="205" t="n">
        <v>77000</v>
      </c>
    </row>
    <row r="9" customFormat="false" ht="14.45" hidden="false" customHeight="false" outlineLevel="0" collapsed="false">
      <c r="B9" s="199" t="s">
        <v>41</v>
      </c>
      <c r="C9" s="200" t="n">
        <v>18730</v>
      </c>
      <c r="D9" s="200" t="n">
        <v>0.71</v>
      </c>
      <c r="E9" s="200" t="n">
        <v>0.7</v>
      </c>
      <c r="F9" s="200" t="n">
        <v>134</v>
      </c>
      <c r="G9" s="201" t="n">
        <f aca="false">IF(ISBLANK(B9), "", (C9/60*2*PI())*D9/4)</f>
        <v>348.148679876943</v>
      </c>
      <c r="J9" s="199"/>
      <c r="K9" s="202"/>
      <c r="L9" s="202"/>
      <c r="M9" s="202"/>
      <c r="N9" s="203"/>
      <c r="Q9" s="204"/>
      <c r="R9" s="200"/>
      <c r="S9" s="205"/>
    </row>
    <row r="10" customFormat="false" ht="14.45" hidden="false" customHeight="false" outlineLevel="0" collapsed="false">
      <c r="B10" s="199" t="s">
        <v>347</v>
      </c>
      <c r="C10" s="200" t="n">
        <v>21020</v>
      </c>
      <c r="D10" s="200" t="n">
        <v>0.7</v>
      </c>
      <c r="E10" s="200" t="n">
        <v>3.8</v>
      </c>
      <c r="F10" s="200" t="n">
        <v>130</v>
      </c>
      <c r="G10" s="201" t="n">
        <f aca="false">IF(ISBLANK(B10), "", (C10/60*2*PI())*D10/4)</f>
        <v>385.211619207668</v>
      </c>
      <c r="J10" s="199"/>
      <c r="K10" s="202"/>
      <c r="L10" s="202"/>
      <c r="M10" s="202"/>
      <c r="N10" s="203"/>
      <c r="Q10" s="204"/>
      <c r="R10" s="200"/>
      <c r="S10" s="205"/>
    </row>
    <row r="11" customFormat="false" ht="14.45" hidden="false" customHeight="false" outlineLevel="0" collapsed="false">
      <c r="B11" s="199" t="s">
        <v>348</v>
      </c>
      <c r="C11" s="200" t="n">
        <v>11000</v>
      </c>
      <c r="D11" s="200" t="n">
        <v>0.97</v>
      </c>
      <c r="E11" s="200" t="n">
        <v>1.4</v>
      </c>
      <c r="F11" s="200" t="n">
        <v>100</v>
      </c>
      <c r="G11" s="201" t="n">
        <f aca="false">IF(ISBLANK(B11), "", (C11/60*2*PI())*D11/4)</f>
        <v>279.339946781692</v>
      </c>
      <c r="J11" s="199"/>
      <c r="K11" s="202"/>
      <c r="L11" s="202"/>
      <c r="M11" s="202"/>
      <c r="N11" s="203"/>
      <c r="Q11" s="204"/>
      <c r="R11" s="200"/>
      <c r="S11" s="205"/>
    </row>
    <row r="12" customFormat="false" ht="14.45" hidden="false" customHeight="false" outlineLevel="0" collapsed="false">
      <c r="B12" s="199" t="s">
        <v>242</v>
      </c>
      <c r="C12" s="200" t="n">
        <v>13180</v>
      </c>
      <c r="D12" s="200" t="n">
        <v>0.43</v>
      </c>
      <c r="E12" s="200" t="n">
        <v>1.8</v>
      </c>
      <c r="F12" s="200" t="n">
        <v>53</v>
      </c>
      <c r="G12" s="201" t="n">
        <f aca="false">IF(ISBLANK(B12), "", (C12/60*2*PI())*D12/4)</f>
        <v>148.37218504129</v>
      </c>
    </row>
    <row r="13" customFormat="false" ht="14.45" hidden="false" customHeight="false" outlineLevel="0" collapsed="false">
      <c r="B13" s="199" t="s">
        <v>349</v>
      </c>
      <c r="C13" s="200" t="n">
        <v>5800</v>
      </c>
      <c r="D13" s="200" t="n">
        <v>0.28</v>
      </c>
      <c r="E13" s="200" t="n">
        <v>1.6</v>
      </c>
      <c r="F13" s="200" t="n">
        <v>18</v>
      </c>
      <c r="G13" s="201" t="n">
        <f aca="false">IF(ISBLANK(B13), "", (C13/60*2*PI())*D13/4)</f>
        <v>42.5162205785819</v>
      </c>
      <c r="J13" s="18" t="s">
        <v>350</v>
      </c>
    </row>
    <row r="14" customFormat="false" ht="14.45" hidden="false" customHeight="false" outlineLevel="0" collapsed="false">
      <c r="B14" s="199" t="s">
        <v>236</v>
      </c>
      <c r="C14" s="200" t="n">
        <v>14270</v>
      </c>
      <c r="D14" s="200" t="n">
        <v>0.36</v>
      </c>
      <c r="E14" s="200" t="n">
        <v>3.7</v>
      </c>
      <c r="F14" s="200" t="n">
        <v>71</v>
      </c>
      <c r="G14" s="201" t="n">
        <f aca="false">IF(ISBLANK(B14), "", (C14/60*2*PI())*D14/4)</f>
        <v>134.491581500179</v>
      </c>
    </row>
    <row r="15" customFormat="false" ht="14.45" hidden="false" customHeight="false" outlineLevel="0" collapsed="false">
      <c r="B15" s="199" t="s">
        <v>239</v>
      </c>
      <c r="C15" s="200" t="n">
        <v>13050</v>
      </c>
      <c r="D15" s="200" t="n">
        <v>0.72</v>
      </c>
      <c r="E15" s="200" t="n">
        <v>2.7</v>
      </c>
      <c r="F15" s="200" t="n">
        <v>97</v>
      </c>
      <c r="G15" s="201" t="n">
        <f aca="false">IF(ISBLANK(B15), "", (C15/60*2*PI())*D15/4)</f>
        <v>245.986704776081</v>
      </c>
    </row>
    <row r="16" customFormat="false" ht="14.45" hidden="false" customHeight="false" outlineLevel="0" collapsed="false">
      <c r="B16" s="199" t="s">
        <v>237</v>
      </c>
      <c r="C16" s="200" t="n">
        <v>19000</v>
      </c>
      <c r="D16" s="200" t="n">
        <v>0.38</v>
      </c>
      <c r="E16" s="200" t="n">
        <v>0.4</v>
      </c>
      <c r="F16" s="200" t="n">
        <v>84</v>
      </c>
      <c r="G16" s="201" t="n">
        <f aca="false">IF(ISBLANK(B16), "", (C16/60*2*PI())*D16/4)</f>
        <v>189.019157990986</v>
      </c>
    </row>
    <row r="17" customFormat="false" ht="14.45" hidden="false" customHeight="false" outlineLevel="0" collapsed="false">
      <c r="B17" s="199" t="s">
        <v>351</v>
      </c>
      <c r="C17" s="200" t="n">
        <v>410</v>
      </c>
      <c r="D17" s="200" t="n">
        <v>4.4</v>
      </c>
      <c r="E17" s="200"/>
      <c r="F17" s="200" t="n">
        <v>26</v>
      </c>
      <c r="G17" s="201" t="n">
        <f aca="false">IF(ISBLANK(B17), "", (C17/60*2*PI())*D17/4)</f>
        <v>47.2286095589666</v>
      </c>
    </row>
    <row r="18" customFormat="false" ht="14.45" hidden="false" customHeight="false" outlineLevel="0" collapsed="false">
      <c r="B18" s="199" t="s">
        <v>352</v>
      </c>
      <c r="C18" s="200" t="n">
        <v>100</v>
      </c>
      <c r="D18" s="200" t="n">
        <v>7.91</v>
      </c>
      <c r="E18" s="200" t="n">
        <v>5</v>
      </c>
      <c r="F18" s="200" t="n">
        <v>24</v>
      </c>
      <c r="G18" s="201" t="n">
        <f aca="false">IF(ISBLANK(B18), "", (C18/60*2*PI())*D18/4)</f>
        <v>20.7083315749127</v>
      </c>
      <c r="M18" s="148"/>
    </row>
    <row r="19" customFormat="false" ht="14.45" hidden="false" customHeight="false" outlineLevel="0" collapsed="false">
      <c r="B19" s="199" t="s">
        <v>260</v>
      </c>
      <c r="C19" s="200" t="n">
        <v>6600</v>
      </c>
      <c r="D19" s="200" t="n">
        <v>0.0618</v>
      </c>
      <c r="E19" s="200" t="n">
        <v>2</v>
      </c>
      <c r="F19" s="200" t="n">
        <v>11.5</v>
      </c>
      <c r="G19" s="201" t="n">
        <f aca="false">IF(ISBLANK(B19), "", (C19/60*2*PI())*D19/4)</f>
        <v>10.6782734295517</v>
      </c>
      <c r="M19" s="148"/>
    </row>
    <row r="20" customFormat="false" ht="14.45" hidden="false" customHeight="false" outlineLevel="0" collapsed="false">
      <c r="B20" s="199" t="s">
        <v>353</v>
      </c>
      <c r="C20" s="200" t="n">
        <v>5300</v>
      </c>
      <c r="D20" s="200" t="n">
        <v>0.13</v>
      </c>
      <c r="E20" s="200" t="n">
        <v>1</v>
      </c>
      <c r="F20" s="200" t="n">
        <v>7</v>
      </c>
      <c r="G20" s="201" t="n">
        <f aca="false">IF(ISBLANK(B20), "", (C20/60*2*PI())*D20/4)</f>
        <v>18.0379778193614</v>
      </c>
    </row>
    <row r="21" customFormat="false" ht="14.45" hidden="false" customHeight="false" outlineLevel="0" collapsed="false">
      <c r="B21" s="199" t="s">
        <v>354</v>
      </c>
      <c r="C21" s="200" t="n">
        <v>24</v>
      </c>
      <c r="D21" s="200" t="n">
        <v>22</v>
      </c>
      <c r="E21" s="200" t="n">
        <v>3</v>
      </c>
      <c r="F21" s="200" t="n">
        <v>12</v>
      </c>
      <c r="G21" s="201" t="n">
        <f aca="false">IF(ISBLANK(B21), "", (C21/60*2*PI())*D21/4)</f>
        <v>13.8230076757951</v>
      </c>
    </row>
    <row r="22" customFormat="false" ht="14.45" hidden="false" customHeight="false" outlineLevel="0" collapsed="false">
      <c r="B22" s="199" t="s">
        <v>355</v>
      </c>
      <c r="C22" s="200" t="n">
        <v>3084</v>
      </c>
      <c r="D22" s="200" t="n">
        <v>0.32</v>
      </c>
      <c r="E22" s="200" t="n">
        <v>0.28</v>
      </c>
      <c r="F22" s="200" t="n">
        <v>6.5</v>
      </c>
      <c r="G22" s="201" t="n">
        <f aca="false">IF(ISBLANK(B22), "", (C22/60*2*PI())*D22/4)</f>
        <v>25.8364579831225</v>
      </c>
    </row>
    <row r="23" customFormat="false" ht="14.45" hidden="false" customHeight="false" outlineLevel="0" collapsed="false">
      <c r="B23" s="199" t="s">
        <v>356</v>
      </c>
      <c r="C23" s="200" t="n">
        <v>90</v>
      </c>
      <c r="D23" s="200" t="n">
        <v>9.24</v>
      </c>
      <c r="E23" s="200" t="n">
        <v>1.5</v>
      </c>
      <c r="F23" s="200" t="n">
        <v>16.25</v>
      </c>
      <c r="G23" s="201" t="n">
        <f aca="false">IF(ISBLANK(B23), "", (C23/60*2*PI())*D23/4)</f>
        <v>21.7712370893773</v>
      </c>
    </row>
    <row r="24" customFormat="false" ht="14.45" hidden="false" customHeight="false" outlineLevel="0" collapsed="false">
      <c r="B24" s="199" t="s">
        <v>357</v>
      </c>
      <c r="C24" s="200" t="n">
        <v>5508</v>
      </c>
      <c r="D24" s="200" t="n">
        <v>3.82</v>
      </c>
      <c r="E24" s="200" t="n">
        <v>8.16</v>
      </c>
      <c r="F24" s="200" t="n">
        <v>220</v>
      </c>
      <c r="G24" s="201" t="n">
        <f aca="false">IF(ISBLANK(B24), "", (C24/60*2*PI())*D24/4)</f>
        <v>550.840572695127</v>
      </c>
    </row>
    <row r="25" customFormat="false" ht="14.45" hidden="false" customHeight="false" outlineLevel="0" collapsed="false">
      <c r="B25" s="199" t="s">
        <v>358</v>
      </c>
      <c r="C25" s="200" t="n">
        <v>5593</v>
      </c>
      <c r="D25" s="200" t="n">
        <v>5.23</v>
      </c>
      <c r="E25" s="200" t="n">
        <v>9.62</v>
      </c>
      <c r="F25" s="200" t="n">
        <v>309</v>
      </c>
      <c r="G25" s="201" t="n">
        <f aca="false">IF(ISBLANK(B25), "", (C25/60*2*PI())*D25/4)</f>
        <v>765.799599427416</v>
      </c>
    </row>
    <row r="26" customFormat="false" ht="14.45" hidden="false" customHeight="false" outlineLevel="0" collapsed="false">
      <c r="B26" s="199" t="s">
        <v>359</v>
      </c>
      <c r="C26" s="200" t="n">
        <v>5437</v>
      </c>
      <c r="D26" s="200" t="n">
        <v>6.23</v>
      </c>
      <c r="E26" s="200" t="n">
        <v>9.15</v>
      </c>
      <c r="F26" s="200" t="n">
        <v>351</v>
      </c>
      <c r="G26" s="201" t="n">
        <f aca="false">IF(ISBLANK(B26), "", (C26/60*2*PI())*D26/4)</f>
        <v>886.780238122057</v>
      </c>
    </row>
    <row r="27" customFormat="false" ht="14.45" hidden="false" customHeight="false" outlineLevel="0" collapsed="false">
      <c r="B27" s="199"/>
      <c r="C27" s="200"/>
      <c r="D27" s="200"/>
      <c r="E27" s="200"/>
      <c r="F27" s="200"/>
      <c r="G27" s="201" t="str">
        <f aca="false">IF(ISBLANK(B27), "", (C27/60*2*PI())*D27/4)</f>
        <v/>
      </c>
    </row>
    <row r="28" customFormat="false" ht="14.45" hidden="false" customHeight="false" outlineLevel="0" collapsed="false">
      <c r="B28" s="199"/>
      <c r="C28" s="200"/>
      <c r="D28" s="200"/>
      <c r="E28" s="200"/>
      <c r="F28" s="200"/>
      <c r="G28" s="201" t="str">
        <f aca="false">IF(ISBLANK(B28), "", (C28/60*2*PI())*D28/4)</f>
        <v/>
      </c>
    </row>
    <row r="29" customFormat="false" ht="14.45" hidden="false" customHeight="false" outlineLevel="0" collapsed="false">
      <c r="B29" s="199"/>
      <c r="C29" s="200"/>
      <c r="D29" s="200"/>
      <c r="E29" s="200"/>
      <c r="F29" s="200"/>
      <c r="G29" s="201" t="str">
        <f aca="false">IF(ISBLANK(B29), "", (C29/60*2*PI())*D29/4)</f>
        <v/>
      </c>
    </row>
    <row r="30" customFormat="false" ht="14.45" hidden="false" customHeight="false" outlineLevel="0" collapsed="false">
      <c r="B30" s="199"/>
      <c r="C30" s="200"/>
      <c r="D30" s="200"/>
      <c r="E30" s="200"/>
      <c r="F30" s="200"/>
      <c r="G30" s="201" t="str">
        <f aca="false">IF(ISBLANK(B30), "", (C30/60*2*PI())*D30/4)</f>
        <v/>
      </c>
    </row>
    <row r="32" customFormat="false" ht="14.45" hidden="false" customHeight="false" outlineLevel="0" collapsed="false">
      <c r="B32" s="18" t="s">
        <v>360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LibreOffice/6.0.7.3$Linux_X86_64 LibreOffice_project/00m0$Build-3</Application>
  <Company>Microsoft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2019-06-08T20:43:41Z</dcterms:created>
  <dc:creator>Ari Meles-Braverman</dc:creator>
  <dc:description/>
  <dc:language>en-US</dc:language>
  <cp:lastModifiedBy>Ari Meles-Braverman</cp:lastModifiedBy>
  <dcterms:modified xsi:type="dcterms:W3CDTF">2020-01-11T12:11:30Z</dcterms:modified>
  <cp:revision>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Microsoft</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